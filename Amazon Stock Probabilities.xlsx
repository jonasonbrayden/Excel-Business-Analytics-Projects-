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ona\Downloads\"/>
    </mc:Choice>
  </mc:AlternateContent>
  <xr:revisionPtr revIDLastSave="0" documentId="8_{C5622D86-66FE-4093-BD42-0DBD2A14DC96}" xr6:coauthVersionLast="47" xr6:coauthVersionMax="47" xr10:uidLastSave="{00000000-0000-0000-0000-000000000000}"/>
  <bookViews>
    <workbookView xWindow="3510" yWindow="3510" windowWidth="21585" windowHeight="11370" activeTab="3" xr2:uid="{00000000-000D-0000-FFFF-FFFF00000000}"/>
  </bookViews>
  <sheets>
    <sheet name="Snowfall" sheetId="1" r:id="rId1"/>
    <sheet name="Sheet1" sheetId="4" r:id="rId2"/>
    <sheet name="Responses" sheetId="2" r:id="rId3"/>
    <sheet name="Part 3" sheetId="6" r:id="rId4"/>
    <sheet name="Part 2" sheetId="5" r:id="rId5"/>
    <sheet name="Occurrence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7" i="2" l="1"/>
  <c r="AK19" i="2"/>
  <c r="AK31" i="2"/>
  <c r="AK43" i="2"/>
  <c r="AK55" i="2"/>
  <c r="AK67" i="2"/>
  <c r="AK79" i="2"/>
  <c r="AK91" i="2"/>
  <c r="AK103" i="2"/>
  <c r="AK115" i="2"/>
  <c r="AK127" i="2"/>
  <c r="AK139" i="2"/>
  <c r="AK151" i="2"/>
  <c r="AK163" i="2"/>
  <c r="AK175" i="2"/>
  <c r="AK187" i="2"/>
  <c r="AK199" i="2"/>
  <c r="AK211" i="2"/>
  <c r="AK223" i="2"/>
  <c r="AK235" i="2"/>
  <c r="AK247" i="2"/>
  <c r="AK259" i="2"/>
  <c r="AK271" i="2"/>
  <c r="AK283" i="2"/>
  <c r="AK295" i="2"/>
  <c r="AK307" i="2"/>
  <c r="AK319" i="2"/>
  <c r="AK331" i="2"/>
  <c r="AK343" i="2"/>
  <c r="AK355" i="2"/>
  <c r="AK367" i="2"/>
  <c r="AK379" i="2"/>
  <c r="AK391" i="2"/>
  <c r="AK403" i="2"/>
  <c r="AK415" i="2"/>
  <c r="AK427" i="2"/>
  <c r="AK439" i="2"/>
  <c r="AK451" i="2"/>
  <c r="AK463" i="2"/>
  <c r="AK475" i="2"/>
  <c r="AK487" i="2"/>
  <c r="AK499" i="2"/>
  <c r="AK511" i="2"/>
  <c r="AK523" i="2"/>
  <c r="AK535" i="2"/>
  <c r="AK547" i="2"/>
  <c r="AK559" i="2"/>
  <c r="AK571" i="2"/>
  <c r="AK583" i="2"/>
  <c r="AK595" i="2"/>
  <c r="AK607" i="2"/>
  <c r="AK619" i="2"/>
  <c r="AK631" i="2"/>
  <c r="AK643" i="2"/>
  <c r="AK655" i="2"/>
  <c r="AK667" i="2"/>
  <c r="AK679" i="2"/>
  <c r="AK691" i="2"/>
  <c r="AK703" i="2"/>
  <c r="AK715" i="2"/>
  <c r="AK727" i="2"/>
  <c r="AK739" i="2"/>
  <c r="AK751" i="2"/>
  <c r="AK763" i="2"/>
  <c r="AK775" i="2"/>
  <c r="AK787" i="2"/>
  <c r="AK799" i="2"/>
  <c r="AK811" i="2"/>
  <c r="AK823" i="2"/>
  <c r="AK835" i="2"/>
  <c r="AK847" i="2"/>
  <c r="AJ8" i="2"/>
  <c r="AK8" i="2" s="1"/>
  <c r="AJ9" i="2"/>
  <c r="AK9" i="2" s="1"/>
  <c r="AJ10" i="2"/>
  <c r="AK10" i="2" s="1"/>
  <c r="AJ11" i="2"/>
  <c r="AK11" i="2" s="1"/>
  <c r="AJ12" i="2"/>
  <c r="AK12" i="2" s="1"/>
  <c r="AJ13" i="2"/>
  <c r="AK13" i="2" s="1"/>
  <c r="AJ14" i="2"/>
  <c r="AK14" i="2" s="1"/>
  <c r="AJ15" i="2"/>
  <c r="AK15" i="2" s="1"/>
  <c r="AJ16" i="2"/>
  <c r="AK16" i="2" s="1"/>
  <c r="AJ17" i="2"/>
  <c r="AK17" i="2" s="1"/>
  <c r="AJ18" i="2"/>
  <c r="AK18" i="2" s="1"/>
  <c r="AJ19" i="2"/>
  <c r="AJ20" i="2"/>
  <c r="AK20" i="2" s="1"/>
  <c r="AJ21" i="2"/>
  <c r="AK21" i="2" s="1"/>
  <c r="AJ22" i="2"/>
  <c r="AK22" i="2" s="1"/>
  <c r="AJ23" i="2"/>
  <c r="AK23" i="2" s="1"/>
  <c r="AJ24" i="2"/>
  <c r="AK24" i="2" s="1"/>
  <c r="AJ25" i="2"/>
  <c r="AK25" i="2" s="1"/>
  <c r="AJ26" i="2"/>
  <c r="AK26" i="2" s="1"/>
  <c r="AJ27" i="2"/>
  <c r="AK27" i="2" s="1"/>
  <c r="AJ28" i="2"/>
  <c r="AK28" i="2" s="1"/>
  <c r="AJ29" i="2"/>
  <c r="AK29" i="2" s="1"/>
  <c r="AJ30" i="2"/>
  <c r="AK30" i="2" s="1"/>
  <c r="AJ31" i="2"/>
  <c r="AJ32" i="2"/>
  <c r="AK32" i="2" s="1"/>
  <c r="AJ33" i="2"/>
  <c r="AK33" i="2" s="1"/>
  <c r="AJ34" i="2"/>
  <c r="AK34" i="2" s="1"/>
  <c r="AJ35" i="2"/>
  <c r="AK35" i="2" s="1"/>
  <c r="AJ36" i="2"/>
  <c r="AK36" i="2" s="1"/>
  <c r="AJ37" i="2"/>
  <c r="AK37" i="2" s="1"/>
  <c r="AJ38" i="2"/>
  <c r="AK38" i="2" s="1"/>
  <c r="AJ39" i="2"/>
  <c r="AK39" i="2" s="1"/>
  <c r="AJ40" i="2"/>
  <c r="AK40" i="2" s="1"/>
  <c r="AJ41" i="2"/>
  <c r="AK41" i="2" s="1"/>
  <c r="AJ42" i="2"/>
  <c r="AK42" i="2" s="1"/>
  <c r="AJ43" i="2"/>
  <c r="AJ44" i="2"/>
  <c r="AK44" i="2" s="1"/>
  <c r="AJ45" i="2"/>
  <c r="AK45" i="2" s="1"/>
  <c r="AJ46" i="2"/>
  <c r="AK46" i="2" s="1"/>
  <c r="AJ47" i="2"/>
  <c r="AK47" i="2" s="1"/>
  <c r="AJ48" i="2"/>
  <c r="AK48" i="2" s="1"/>
  <c r="AJ49" i="2"/>
  <c r="AK49" i="2" s="1"/>
  <c r="AJ50" i="2"/>
  <c r="AK50" i="2" s="1"/>
  <c r="AJ51" i="2"/>
  <c r="AK51" i="2" s="1"/>
  <c r="AJ52" i="2"/>
  <c r="AK52" i="2" s="1"/>
  <c r="AJ53" i="2"/>
  <c r="AK53" i="2" s="1"/>
  <c r="AJ54" i="2"/>
  <c r="AK54" i="2" s="1"/>
  <c r="AJ55" i="2"/>
  <c r="AJ56" i="2"/>
  <c r="AK56" i="2" s="1"/>
  <c r="AJ57" i="2"/>
  <c r="AK57" i="2" s="1"/>
  <c r="AJ58" i="2"/>
  <c r="AK58" i="2" s="1"/>
  <c r="AJ59" i="2"/>
  <c r="AK59" i="2" s="1"/>
  <c r="AJ60" i="2"/>
  <c r="AK60" i="2" s="1"/>
  <c r="AJ61" i="2"/>
  <c r="AK61" i="2" s="1"/>
  <c r="AJ62" i="2"/>
  <c r="AK62" i="2" s="1"/>
  <c r="AJ63" i="2"/>
  <c r="AK63" i="2" s="1"/>
  <c r="AJ64" i="2"/>
  <c r="AK64" i="2" s="1"/>
  <c r="AJ65" i="2"/>
  <c r="AK65" i="2" s="1"/>
  <c r="AJ66" i="2"/>
  <c r="AK66" i="2" s="1"/>
  <c r="AJ67" i="2"/>
  <c r="AJ68" i="2"/>
  <c r="AK68" i="2" s="1"/>
  <c r="AJ69" i="2"/>
  <c r="AK69" i="2" s="1"/>
  <c r="AJ70" i="2"/>
  <c r="AK70" i="2" s="1"/>
  <c r="AJ71" i="2"/>
  <c r="AK71" i="2" s="1"/>
  <c r="AJ72" i="2"/>
  <c r="AK72" i="2" s="1"/>
  <c r="AJ73" i="2"/>
  <c r="AK73" i="2" s="1"/>
  <c r="AJ74" i="2"/>
  <c r="AK74" i="2" s="1"/>
  <c r="AJ75" i="2"/>
  <c r="AK75" i="2" s="1"/>
  <c r="AJ76" i="2"/>
  <c r="AK76" i="2" s="1"/>
  <c r="AJ77" i="2"/>
  <c r="AK77" i="2" s="1"/>
  <c r="AJ78" i="2"/>
  <c r="AK78" i="2" s="1"/>
  <c r="AJ79" i="2"/>
  <c r="AJ80" i="2"/>
  <c r="AK80" i="2" s="1"/>
  <c r="AJ81" i="2"/>
  <c r="AK81" i="2" s="1"/>
  <c r="AJ82" i="2"/>
  <c r="AK82" i="2" s="1"/>
  <c r="AJ83" i="2"/>
  <c r="AK83" i="2" s="1"/>
  <c r="AJ84" i="2"/>
  <c r="AK84" i="2" s="1"/>
  <c r="AJ85" i="2"/>
  <c r="AK85" i="2" s="1"/>
  <c r="AJ86" i="2"/>
  <c r="AK86" i="2" s="1"/>
  <c r="AJ87" i="2"/>
  <c r="AK87" i="2" s="1"/>
  <c r="AJ88" i="2"/>
  <c r="AK88" i="2" s="1"/>
  <c r="AJ89" i="2"/>
  <c r="AK89" i="2" s="1"/>
  <c r="AJ90" i="2"/>
  <c r="AK90" i="2" s="1"/>
  <c r="AJ91" i="2"/>
  <c r="AJ92" i="2"/>
  <c r="AK92" i="2" s="1"/>
  <c r="AJ93" i="2"/>
  <c r="AK93" i="2" s="1"/>
  <c r="AJ94" i="2"/>
  <c r="AK94" i="2" s="1"/>
  <c r="AJ95" i="2"/>
  <c r="AK95" i="2" s="1"/>
  <c r="AJ96" i="2"/>
  <c r="AK96" i="2" s="1"/>
  <c r="AJ97" i="2"/>
  <c r="AK97" i="2" s="1"/>
  <c r="AJ98" i="2"/>
  <c r="AK98" i="2" s="1"/>
  <c r="AJ99" i="2"/>
  <c r="AK99" i="2" s="1"/>
  <c r="AJ100" i="2"/>
  <c r="AK100" i="2" s="1"/>
  <c r="AJ101" i="2"/>
  <c r="AK101" i="2" s="1"/>
  <c r="AJ102" i="2"/>
  <c r="AK102" i="2" s="1"/>
  <c r="AJ103" i="2"/>
  <c r="AJ104" i="2"/>
  <c r="AK104" i="2" s="1"/>
  <c r="AJ105" i="2"/>
  <c r="AK105" i="2" s="1"/>
  <c r="AJ106" i="2"/>
  <c r="AK106" i="2" s="1"/>
  <c r="AJ107" i="2"/>
  <c r="AK107" i="2" s="1"/>
  <c r="AJ108" i="2"/>
  <c r="AK108" i="2" s="1"/>
  <c r="AJ109" i="2"/>
  <c r="AK109" i="2" s="1"/>
  <c r="AJ110" i="2"/>
  <c r="AK110" i="2" s="1"/>
  <c r="AJ111" i="2"/>
  <c r="AK111" i="2" s="1"/>
  <c r="AJ112" i="2"/>
  <c r="AK112" i="2" s="1"/>
  <c r="AJ113" i="2"/>
  <c r="AK113" i="2" s="1"/>
  <c r="AJ114" i="2"/>
  <c r="AK114" i="2" s="1"/>
  <c r="AJ115" i="2"/>
  <c r="AJ116" i="2"/>
  <c r="AK116" i="2" s="1"/>
  <c r="AJ117" i="2"/>
  <c r="AK117" i="2" s="1"/>
  <c r="AJ118" i="2"/>
  <c r="AK118" i="2" s="1"/>
  <c r="AJ119" i="2"/>
  <c r="AK119" i="2" s="1"/>
  <c r="AJ120" i="2"/>
  <c r="AK120" i="2" s="1"/>
  <c r="AJ121" i="2"/>
  <c r="AK121" i="2" s="1"/>
  <c r="AJ122" i="2"/>
  <c r="AK122" i="2" s="1"/>
  <c r="AJ123" i="2"/>
  <c r="AK123" i="2" s="1"/>
  <c r="AJ124" i="2"/>
  <c r="AK124" i="2" s="1"/>
  <c r="AJ125" i="2"/>
  <c r="AK125" i="2" s="1"/>
  <c r="AJ126" i="2"/>
  <c r="AK126" i="2" s="1"/>
  <c r="AJ127" i="2"/>
  <c r="AJ128" i="2"/>
  <c r="AK128" i="2" s="1"/>
  <c r="AJ129" i="2"/>
  <c r="AK129" i="2" s="1"/>
  <c r="AJ130" i="2"/>
  <c r="AK130" i="2" s="1"/>
  <c r="AJ131" i="2"/>
  <c r="AK131" i="2" s="1"/>
  <c r="AJ132" i="2"/>
  <c r="AK132" i="2" s="1"/>
  <c r="AJ133" i="2"/>
  <c r="AK133" i="2" s="1"/>
  <c r="AJ134" i="2"/>
  <c r="AK134" i="2" s="1"/>
  <c r="AJ135" i="2"/>
  <c r="AK135" i="2" s="1"/>
  <c r="AJ136" i="2"/>
  <c r="AK136" i="2" s="1"/>
  <c r="AJ137" i="2"/>
  <c r="AK137" i="2" s="1"/>
  <c r="AJ138" i="2"/>
  <c r="AK138" i="2" s="1"/>
  <c r="AJ139" i="2"/>
  <c r="AJ140" i="2"/>
  <c r="AK140" i="2" s="1"/>
  <c r="AJ141" i="2"/>
  <c r="AK141" i="2" s="1"/>
  <c r="AJ142" i="2"/>
  <c r="AK142" i="2" s="1"/>
  <c r="AJ143" i="2"/>
  <c r="AK143" i="2" s="1"/>
  <c r="AJ144" i="2"/>
  <c r="AK144" i="2" s="1"/>
  <c r="AJ145" i="2"/>
  <c r="AK145" i="2" s="1"/>
  <c r="AJ146" i="2"/>
  <c r="AK146" i="2" s="1"/>
  <c r="AJ147" i="2"/>
  <c r="AK147" i="2" s="1"/>
  <c r="AJ148" i="2"/>
  <c r="AK148" i="2" s="1"/>
  <c r="AJ149" i="2"/>
  <c r="AK149" i="2" s="1"/>
  <c r="AJ150" i="2"/>
  <c r="AK150" i="2" s="1"/>
  <c r="AJ151" i="2"/>
  <c r="AJ152" i="2"/>
  <c r="AK152" i="2" s="1"/>
  <c r="AJ153" i="2"/>
  <c r="AK153" i="2" s="1"/>
  <c r="AJ154" i="2"/>
  <c r="AK154" i="2" s="1"/>
  <c r="AJ155" i="2"/>
  <c r="AK155" i="2" s="1"/>
  <c r="AJ156" i="2"/>
  <c r="AK156" i="2" s="1"/>
  <c r="AJ157" i="2"/>
  <c r="AK157" i="2" s="1"/>
  <c r="AJ158" i="2"/>
  <c r="AK158" i="2" s="1"/>
  <c r="AJ159" i="2"/>
  <c r="AK159" i="2" s="1"/>
  <c r="AJ160" i="2"/>
  <c r="AK160" i="2" s="1"/>
  <c r="AJ161" i="2"/>
  <c r="AK161" i="2" s="1"/>
  <c r="AJ162" i="2"/>
  <c r="AK162" i="2" s="1"/>
  <c r="AJ163" i="2"/>
  <c r="AJ164" i="2"/>
  <c r="AK164" i="2" s="1"/>
  <c r="AJ165" i="2"/>
  <c r="AK165" i="2" s="1"/>
  <c r="AJ166" i="2"/>
  <c r="AK166" i="2" s="1"/>
  <c r="AJ167" i="2"/>
  <c r="AK167" i="2" s="1"/>
  <c r="AJ168" i="2"/>
  <c r="AK168" i="2" s="1"/>
  <c r="AJ169" i="2"/>
  <c r="AK169" i="2" s="1"/>
  <c r="AJ170" i="2"/>
  <c r="AK170" i="2" s="1"/>
  <c r="AJ171" i="2"/>
  <c r="AK171" i="2" s="1"/>
  <c r="AJ172" i="2"/>
  <c r="AK172" i="2" s="1"/>
  <c r="AJ173" i="2"/>
  <c r="AK173" i="2" s="1"/>
  <c r="AJ174" i="2"/>
  <c r="AK174" i="2" s="1"/>
  <c r="AJ175" i="2"/>
  <c r="AJ176" i="2"/>
  <c r="AK176" i="2" s="1"/>
  <c r="AJ177" i="2"/>
  <c r="AK177" i="2" s="1"/>
  <c r="AJ178" i="2"/>
  <c r="AK178" i="2" s="1"/>
  <c r="AJ179" i="2"/>
  <c r="AK179" i="2" s="1"/>
  <c r="AJ180" i="2"/>
  <c r="AK180" i="2" s="1"/>
  <c r="AJ181" i="2"/>
  <c r="AK181" i="2" s="1"/>
  <c r="AJ182" i="2"/>
  <c r="AK182" i="2" s="1"/>
  <c r="AJ183" i="2"/>
  <c r="AK183" i="2" s="1"/>
  <c r="AJ184" i="2"/>
  <c r="AK184" i="2" s="1"/>
  <c r="AJ185" i="2"/>
  <c r="AK185" i="2" s="1"/>
  <c r="AJ186" i="2"/>
  <c r="AK186" i="2" s="1"/>
  <c r="AJ187" i="2"/>
  <c r="AJ188" i="2"/>
  <c r="AK188" i="2" s="1"/>
  <c r="AJ189" i="2"/>
  <c r="AK189" i="2" s="1"/>
  <c r="AJ190" i="2"/>
  <c r="AK190" i="2" s="1"/>
  <c r="AJ191" i="2"/>
  <c r="AK191" i="2" s="1"/>
  <c r="AJ192" i="2"/>
  <c r="AK192" i="2" s="1"/>
  <c r="AJ193" i="2"/>
  <c r="AK193" i="2" s="1"/>
  <c r="AJ194" i="2"/>
  <c r="AK194" i="2" s="1"/>
  <c r="AJ195" i="2"/>
  <c r="AK195" i="2" s="1"/>
  <c r="AJ196" i="2"/>
  <c r="AK196" i="2" s="1"/>
  <c r="AJ197" i="2"/>
  <c r="AK197" i="2" s="1"/>
  <c r="AJ198" i="2"/>
  <c r="AK198" i="2" s="1"/>
  <c r="AJ199" i="2"/>
  <c r="AJ200" i="2"/>
  <c r="AK200" i="2" s="1"/>
  <c r="AJ201" i="2"/>
  <c r="AK201" i="2" s="1"/>
  <c r="AJ202" i="2"/>
  <c r="AK202" i="2" s="1"/>
  <c r="AJ203" i="2"/>
  <c r="AK203" i="2" s="1"/>
  <c r="AJ204" i="2"/>
  <c r="AK204" i="2" s="1"/>
  <c r="AJ205" i="2"/>
  <c r="AK205" i="2" s="1"/>
  <c r="AJ206" i="2"/>
  <c r="AK206" i="2" s="1"/>
  <c r="AJ207" i="2"/>
  <c r="AK207" i="2" s="1"/>
  <c r="AJ208" i="2"/>
  <c r="AK208" i="2" s="1"/>
  <c r="AJ209" i="2"/>
  <c r="AK209" i="2" s="1"/>
  <c r="AJ210" i="2"/>
  <c r="AK210" i="2" s="1"/>
  <c r="AJ211" i="2"/>
  <c r="AJ212" i="2"/>
  <c r="AK212" i="2" s="1"/>
  <c r="AJ213" i="2"/>
  <c r="AK213" i="2" s="1"/>
  <c r="AJ214" i="2"/>
  <c r="AK214" i="2" s="1"/>
  <c r="AJ215" i="2"/>
  <c r="AK215" i="2" s="1"/>
  <c r="AJ216" i="2"/>
  <c r="AK216" i="2" s="1"/>
  <c r="AJ217" i="2"/>
  <c r="AK217" i="2" s="1"/>
  <c r="AJ218" i="2"/>
  <c r="AK218" i="2" s="1"/>
  <c r="AJ219" i="2"/>
  <c r="AK219" i="2" s="1"/>
  <c r="AJ220" i="2"/>
  <c r="AK220" i="2" s="1"/>
  <c r="AJ221" i="2"/>
  <c r="AK221" i="2" s="1"/>
  <c r="AJ222" i="2"/>
  <c r="AK222" i="2" s="1"/>
  <c r="AJ223" i="2"/>
  <c r="AJ224" i="2"/>
  <c r="AK224" i="2" s="1"/>
  <c r="AJ225" i="2"/>
  <c r="AK225" i="2" s="1"/>
  <c r="AJ226" i="2"/>
  <c r="AK226" i="2" s="1"/>
  <c r="AJ227" i="2"/>
  <c r="AK227" i="2" s="1"/>
  <c r="AJ228" i="2"/>
  <c r="AK228" i="2" s="1"/>
  <c r="AJ229" i="2"/>
  <c r="AK229" i="2" s="1"/>
  <c r="AJ230" i="2"/>
  <c r="AK230" i="2" s="1"/>
  <c r="AJ231" i="2"/>
  <c r="AK231" i="2" s="1"/>
  <c r="AJ232" i="2"/>
  <c r="AK232" i="2" s="1"/>
  <c r="AJ233" i="2"/>
  <c r="AK233" i="2" s="1"/>
  <c r="AJ234" i="2"/>
  <c r="AK234" i="2" s="1"/>
  <c r="AJ235" i="2"/>
  <c r="AJ236" i="2"/>
  <c r="AK236" i="2" s="1"/>
  <c r="AJ237" i="2"/>
  <c r="AK237" i="2" s="1"/>
  <c r="AJ238" i="2"/>
  <c r="AK238" i="2" s="1"/>
  <c r="AJ239" i="2"/>
  <c r="AK239" i="2" s="1"/>
  <c r="AJ240" i="2"/>
  <c r="AK240" i="2" s="1"/>
  <c r="AJ241" i="2"/>
  <c r="AK241" i="2" s="1"/>
  <c r="AJ242" i="2"/>
  <c r="AK242" i="2" s="1"/>
  <c r="AJ243" i="2"/>
  <c r="AK243" i="2" s="1"/>
  <c r="AJ244" i="2"/>
  <c r="AK244" i="2" s="1"/>
  <c r="AJ245" i="2"/>
  <c r="AK245" i="2" s="1"/>
  <c r="AJ246" i="2"/>
  <c r="AK246" i="2" s="1"/>
  <c r="AJ247" i="2"/>
  <c r="AJ248" i="2"/>
  <c r="AK248" i="2" s="1"/>
  <c r="AJ249" i="2"/>
  <c r="AK249" i="2" s="1"/>
  <c r="AJ250" i="2"/>
  <c r="AK250" i="2" s="1"/>
  <c r="AJ251" i="2"/>
  <c r="AK251" i="2" s="1"/>
  <c r="AJ252" i="2"/>
  <c r="AK252" i="2" s="1"/>
  <c r="AJ253" i="2"/>
  <c r="AK253" i="2" s="1"/>
  <c r="AJ254" i="2"/>
  <c r="AK254" i="2" s="1"/>
  <c r="AJ255" i="2"/>
  <c r="AK255" i="2" s="1"/>
  <c r="AJ256" i="2"/>
  <c r="AK256" i="2" s="1"/>
  <c r="AJ257" i="2"/>
  <c r="AK257" i="2" s="1"/>
  <c r="AJ258" i="2"/>
  <c r="AK258" i="2" s="1"/>
  <c r="AJ259" i="2"/>
  <c r="AJ260" i="2"/>
  <c r="AK260" i="2" s="1"/>
  <c r="AJ261" i="2"/>
  <c r="AK261" i="2" s="1"/>
  <c r="AJ262" i="2"/>
  <c r="AK262" i="2" s="1"/>
  <c r="AJ263" i="2"/>
  <c r="AK263" i="2" s="1"/>
  <c r="AJ264" i="2"/>
  <c r="AK264" i="2" s="1"/>
  <c r="AJ265" i="2"/>
  <c r="AK265" i="2" s="1"/>
  <c r="AJ266" i="2"/>
  <c r="AK266" i="2" s="1"/>
  <c r="AJ267" i="2"/>
  <c r="AK267" i="2" s="1"/>
  <c r="AJ268" i="2"/>
  <c r="AK268" i="2" s="1"/>
  <c r="AJ269" i="2"/>
  <c r="AK269" i="2" s="1"/>
  <c r="AJ270" i="2"/>
  <c r="AK270" i="2" s="1"/>
  <c r="AJ271" i="2"/>
  <c r="AJ272" i="2"/>
  <c r="AK272" i="2" s="1"/>
  <c r="AJ273" i="2"/>
  <c r="AK273" i="2" s="1"/>
  <c r="AJ274" i="2"/>
  <c r="AK274" i="2" s="1"/>
  <c r="AJ275" i="2"/>
  <c r="AK275" i="2" s="1"/>
  <c r="AJ276" i="2"/>
  <c r="AK276" i="2" s="1"/>
  <c r="AJ277" i="2"/>
  <c r="AK277" i="2" s="1"/>
  <c r="AJ278" i="2"/>
  <c r="AK278" i="2" s="1"/>
  <c r="AJ279" i="2"/>
  <c r="AK279" i="2" s="1"/>
  <c r="AJ280" i="2"/>
  <c r="AK280" i="2" s="1"/>
  <c r="AJ281" i="2"/>
  <c r="AK281" i="2" s="1"/>
  <c r="AJ282" i="2"/>
  <c r="AK282" i="2" s="1"/>
  <c r="AJ283" i="2"/>
  <c r="AJ284" i="2"/>
  <c r="AK284" i="2" s="1"/>
  <c r="AJ285" i="2"/>
  <c r="AK285" i="2" s="1"/>
  <c r="AJ286" i="2"/>
  <c r="AK286" i="2" s="1"/>
  <c r="AJ287" i="2"/>
  <c r="AK287" i="2" s="1"/>
  <c r="AJ288" i="2"/>
  <c r="AK288" i="2" s="1"/>
  <c r="AJ289" i="2"/>
  <c r="AK289" i="2" s="1"/>
  <c r="AJ290" i="2"/>
  <c r="AK290" i="2" s="1"/>
  <c r="AJ291" i="2"/>
  <c r="AK291" i="2" s="1"/>
  <c r="AJ292" i="2"/>
  <c r="AK292" i="2" s="1"/>
  <c r="AJ293" i="2"/>
  <c r="AK293" i="2" s="1"/>
  <c r="AJ294" i="2"/>
  <c r="AK294" i="2" s="1"/>
  <c r="AJ295" i="2"/>
  <c r="AJ296" i="2"/>
  <c r="AK296" i="2" s="1"/>
  <c r="AJ297" i="2"/>
  <c r="AK297" i="2" s="1"/>
  <c r="AJ298" i="2"/>
  <c r="AK298" i="2" s="1"/>
  <c r="AJ299" i="2"/>
  <c r="AK299" i="2" s="1"/>
  <c r="AJ300" i="2"/>
  <c r="AK300" i="2" s="1"/>
  <c r="AJ301" i="2"/>
  <c r="AK301" i="2" s="1"/>
  <c r="AJ302" i="2"/>
  <c r="AK302" i="2" s="1"/>
  <c r="AJ303" i="2"/>
  <c r="AK303" i="2" s="1"/>
  <c r="AJ304" i="2"/>
  <c r="AK304" i="2" s="1"/>
  <c r="AJ305" i="2"/>
  <c r="AK305" i="2" s="1"/>
  <c r="AJ306" i="2"/>
  <c r="AK306" i="2" s="1"/>
  <c r="AJ307" i="2"/>
  <c r="AJ308" i="2"/>
  <c r="AK308" i="2" s="1"/>
  <c r="AJ309" i="2"/>
  <c r="AK309" i="2" s="1"/>
  <c r="AJ310" i="2"/>
  <c r="AK310" i="2" s="1"/>
  <c r="AJ311" i="2"/>
  <c r="AK311" i="2" s="1"/>
  <c r="AJ312" i="2"/>
  <c r="AK312" i="2" s="1"/>
  <c r="AJ313" i="2"/>
  <c r="AK313" i="2" s="1"/>
  <c r="AJ314" i="2"/>
  <c r="AK314" i="2" s="1"/>
  <c r="AJ315" i="2"/>
  <c r="AK315" i="2" s="1"/>
  <c r="AJ316" i="2"/>
  <c r="AK316" i="2" s="1"/>
  <c r="AJ317" i="2"/>
  <c r="AK317" i="2" s="1"/>
  <c r="AJ318" i="2"/>
  <c r="AK318" i="2" s="1"/>
  <c r="AJ319" i="2"/>
  <c r="AJ320" i="2"/>
  <c r="AK320" i="2" s="1"/>
  <c r="AJ321" i="2"/>
  <c r="AK321" i="2" s="1"/>
  <c r="AJ322" i="2"/>
  <c r="AK322" i="2" s="1"/>
  <c r="AJ323" i="2"/>
  <c r="AK323" i="2" s="1"/>
  <c r="AJ324" i="2"/>
  <c r="AK324" i="2" s="1"/>
  <c r="AJ325" i="2"/>
  <c r="AK325" i="2" s="1"/>
  <c r="AJ326" i="2"/>
  <c r="AK326" i="2" s="1"/>
  <c r="AJ327" i="2"/>
  <c r="AK327" i="2" s="1"/>
  <c r="AJ328" i="2"/>
  <c r="AK328" i="2" s="1"/>
  <c r="AJ329" i="2"/>
  <c r="AK329" i="2" s="1"/>
  <c r="AJ330" i="2"/>
  <c r="AK330" i="2" s="1"/>
  <c r="AJ331" i="2"/>
  <c r="AJ332" i="2"/>
  <c r="AK332" i="2" s="1"/>
  <c r="AJ333" i="2"/>
  <c r="AK333" i="2" s="1"/>
  <c r="AJ334" i="2"/>
  <c r="AK334" i="2" s="1"/>
  <c r="AJ335" i="2"/>
  <c r="AK335" i="2" s="1"/>
  <c r="AJ336" i="2"/>
  <c r="AK336" i="2" s="1"/>
  <c r="AJ337" i="2"/>
  <c r="AK337" i="2" s="1"/>
  <c r="AJ338" i="2"/>
  <c r="AK338" i="2" s="1"/>
  <c r="AJ339" i="2"/>
  <c r="AK339" i="2" s="1"/>
  <c r="AJ340" i="2"/>
  <c r="AK340" i="2" s="1"/>
  <c r="AJ341" i="2"/>
  <c r="AK341" i="2" s="1"/>
  <c r="AJ342" i="2"/>
  <c r="AK342" i="2" s="1"/>
  <c r="AJ343" i="2"/>
  <c r="AJ344" i="2"/>
  <c r="AK344" i="2" s="1"/>
  <c r="AJ345" i="2"/>
  <c r="AK345" i="2" s="1"/>
  <c r="AJ346" i="2"/>
  <c r="AK346" i="2" s="1"/>
  <c r="AJ347" i="2"/>
  <c r="AK347" i="2" s="1"/>
  <c r="AJ348" i="2"/>
  <c r="AK348" i="2" s="1"/>
  <c r="AJ349" i="2"/>
  <c r="AK349" i="2" s="1"/>
  <c r="AJ350" i="2"/>
  <c r="AK350" i="2" s="1"/>
  <c r="AJ351" i="2"/>
  <c r="AK351" i="2" s="1"/>
  <c r="AJ352" i="2"/>
  <c r="AK352" i="2" s="1"/>
  <c r="AJ353" i="2"/>
  <c r="AK353" i="2" s="1"/>
  <c r="AJ354" i="2"/>
  <c r="AK354" i="2" s="1"/>
  <c r="AJ355" i="2"/>
  <c r="AJ356" i="2"/>
  <c r="AK356" i="2" s="1"/>
  <c r="AJ357" i="2"/>
  <c r="AK357" i="2" s="1"/>
  <c r="AJ358" i="2"/>
  <c r="AK358" i="2" s="1"/>
  <c r="AJ359" i="2"/>
  <c r="AK359" i="2" s="1"/>
  <c r="AJ360" i="2"/>
  <c r="AK360" i="2" s="1"/>
  <c r="AJ361" i="2"/>
  <c r="AK361" i="2" s="1"/>
  <c r="AJ362" i="2"/>
  <c r="AK362" i="2" s="1"/>
  <c r="AJ363" i="2"/>
  <c r="AK363" i="2" s="1"/>
  <c r="AJ364" i="2"/>
  <c r="AK364" i="2" s="1"/>
  <c r="AJ365" i="2"/>
  <c r="AK365" i="2" s="1"/>
  <c r="AJ366" i="2"/>
  <c r="AK366" i="2" s="1"/>
  <c r="AJ367" i="2"/>
  <c r="AJ368" i="2"/>
  <c r="AK368" i="2" s="1"/>
  <c r="AJ369" i="2"/>
  <c r="AK369" i="2" s="1"/>
  <c r="AJ370" i="2"/>
  <c r="AK370" i="2" s="1"/>
  <c r="AJ371" i="2"/>
  <c r="AK371" i="2" s="1"/>
  <c r="AJ372" i="2"/>
  <c r="AK372" i="2" s="1"/>
  <c r="AJ373" i="2"/>
  <c r="AK373" i="2" s="1"/>
  <c r="AJ374" i="2"/>
  <c r="AK374" i="2" s="1"/>
  <c r="AJ375" i="2"/>
  <c r="AK375" i="2" s="1"/>
  <c r="AJ376" i="2"/>
  <c r="AK376" i="2" s="1"/>
  <c r="AJ377" i="2"/>
  <c r="AK377" i="2" s="1"/>
  <c r="AJ378" i="2"/>
  <c r="AK378" i="2" s="1"/>
  <c r="AJ379" i="2"/>
  <c r="AJ380" i="2"/>
  <c r="AK380" i="2" s="1"/>
  <c r="AJ381" i="2"/>
  <c r="AK381" i="2" s="1"/>
  <c r="AJ382" i="2"/>
  <c r="AK382" i="2" s="1"/>
  <c r="AJ383" i="2"/>
  <c r="AK383" i="2" s="1"/>
  <c r="AJ384" i="2"/>
  <c r="AK384" i="2" s="1"/>
  <c r="AJ385" i="2"/>
  <c r="AK385" i="2" s="1"/>
  <c r="AJ386" i="2"/>
  <c r="AK386" i="2" s="1"/>
  <c r="AJ387" i="2"/>
  <c r="AK387" i="2" s="1"/>
  <c r="AJ388" i="2"/>
  <c r="AK388" i="2" s="1"/>
  <c r="AJ389" i="2"/>
  <c r="AK389" i="2" s="1"/>
  <c r="AJ390" i="2"/>
  <c r="AK390" i="2" s="1"/>
  <c r="AJ391" i="2"/>
  <c r="AJ392" i="2"/>
  <c r="AK392" i="2" s="1"/>
  <c r="AJ393" i="2"/>
  <c r="AK393" i="2" s="1"/>
  <c r="AJ394" i="2"/>
  <c r="AK394" i="2" s="1"/>
  <c r="AJ395" i="2"/>
  <c r="AK395" i="2" s="1"/>
  <c r="AJ396" i="2"/>
  <c r="AK396" i="2" s="1"/>
  <c r="AJ397" i="2"/>
  <c r="AK397" i="2" s="1"/>
  <c r="AJ398" i="2"/>
  <c r="AK398" i="2" s="1"/>
  <c r="AJ399" i="2"/>
  <c r="AK399" i="2" s="1"/>
  <c r="AJ400" i="2"/>
  <c r="AK400" i="2" s="1"/>
  <c r="AJ401" i="2"/>
  <c r="AK401" i="2" s="1"/>
  <c r="AJ402" i="2"/>
  <c r="AK402" i="2" s="1"/>
  <c r="AJ403" i="2"/>
  <c r="AJ404" i="2"/>
  <c r="AK404" i="2" s="1"/>
  <c r="AJ405" i="2"/>
  <c r="AK405" i="2" s="1"/>
  <c r="AJ406" i="2"/>
  <c r="AK406" i="2" s="1"/>
  <c r="AJ407" i="2"/>
  <c r="AK407" i="2" s="1"/>
  <c r="AJ408" i="2"/>
  <c r="AK408" i="2" s="1"/>
  <c r="AJ409" i="2"/>
  <c r="AK409" i="2" s="1"/>
  <c r="AJ410" i="2"/>
  <c r="AK410" i="2" s="1"/>
  <c r="AJ411" i="2"/>
  <c r="AK411" i="2" s="1"/>
  <c r="AJ412" i="2"/>
  <c r="AK412" i="2" s="1"/>
  <c r="AJ413" i="2"/>
  <c r="AK413" i="2" s="1"/>
  <c r="AJ414" i="2"/>
  <c r="AK414" i="2" s="1"/>
  <c r="AJ415" i="2"/>
  <c r="AJ416" i="2"/>
  <c r="AK416" i="2" s="1"/>
  <c r="AJ417" i="2"/>
  <c r="AK417" i="2" s="1"/>
  <c r="AJ418" i="2"/>
  <c r="AK418" i="2" s="1"/>
  <c r="AJ419" i="2"/>
  <c r="AK419" i="2" s="1"/>
  <c r="AJ420" i="2"/>
  <c r="AK420" i="2" s="1"/>
  <c r="AJ421" i="2"/>
  <c r="AK421" i="2" s="1"/>
  <c r="AJ422" i="2"/>
  <c r="AK422" i="2" s="1"/>
  <c r="AJ423" i="2"/>
  <c r="AK423" i="2" s="1"/>
  <c r="AJ424" i="2"/>
  <c r="AK424" i="2" s="1"/>
  <c r="AJ425" i="2"/>
  <c r="AK425" i="2" s="1"/>
  <c r="AJ426" i="2"/>
  <c r="AK426" i="2" s="1"/>
  <c r="AJ427" i="2"/>
  <c r="AJ428" i="2"/>
  <c r="AK428" i="2" s="1"/>
  <c r="AJ429" i="2"/>
  <c r="AK429" i="2" s="1"/>
  <c r="AJ430" i="2"/>
  <c r="AK430" i="2" s="1"/>
  <c r="AJ431" i="2"/>
  <c r="AK431" i="2" s="1"/>
  <c r="AJ432" i="2"/>
  <c r="AK432" i="2" s="1"/>
  <c r="AJ433" i="2"/>
  <c r="AK433" i="2" s="1"/>
  <c r="AJ434" i="2"/>
  <c r="AK434" i="2" s="1"/>
  <c r="AJ435" i="2"/>
  <c r="AK435" i="2" s="1"/>
  <c r="AJ436" i="2"/>
  <c r="AK436" i="2" s="1"/>
  <c r="AJ437" i="2"/>
  <c r="AK437" i="2" s="1"/>
  <c r="AJ438" i="2"/>
  <c r="AK438" i="2" s="1"/>
  <c r="AJ439" i="2"/>
  <c r="AJ440" i="2"/>
  <c r="AK440" i="2" s="1"/>
  <c r="AJ441" i="2"/>
  <c r="AK441" i="2" s="1"/>
  <c r="AJ442" i="2"/>
  <c r="AK442" i="2" s="1"/>
  <c r="AJ443" i="2"/>
  <c r="AK443" i="2" s="1"/>
  <c r="AJ444" i="2"/>
  <c r="AK444" i="2" s="1"/>
  <c r="AJ445" i="2"/>
  <c r="AK445" i="2" s="1"/>
  <c r="AJ446" i="2"/>
  <c r="AK446" i="2" s="1"/>
  <c r="AJ447" i="2"/>
  <c r="AK447" i="2" s="1"/>
  <c r="AJ448" i="2"/>
  <c r="AK448" i="2" s="1"/>
  <c r="AJ449" i="2"/>
  <c r="AK449" i="2" s="1"/>
  <c r="AJ450" i="2"/>
  <c r="AK450" i="2" s="1"/>
  <c r="AJ451" i="2"/>
  <c r="AJ452" i="2"/>
  <c r="AK452" i="2" s="1"/>
  <c r="AJ453" i="2"/>
  <c r="AK453" i="2" s="1"/>
  <c r="AJ454" i="2"/>
  <c r="AK454" i="2" s="1"/>
  <c r="AJ455" i="2"/>
  <c r="AK455" i="2" s="1"/>
  <c r="AJ456" i="2"/>
  <c r="AK456" i="2" s="1"/>
  <c r="AJ457" i="2"/>
  <c r="AK457" i="2" s="1"/>
  <c r="AJ458" i="2"/>
  <c r="AK458" i="2" s="1"/>
  <c r="AJ459" i="2"/>
  <c r="AK459" i="2" s="1"/>
  <c r="AJ460" i="2"/>
  <c r="AK460" i="2" s="1"/>
  <c r="AJ461" i="2"/>
  <c r="AK461" i="2" s="1"/>
  <c r="AJ462" i="2"/>
  <c r="AK462" i="2" s="1"/>
  <c r="AJ463" i="2"/>
  <c r="AJ464" i="2"/>
  <c r="AK464" i="2" s="1"/>
  <c r="AJ465" i="2"/>
  <c r="AK465" i="2" s="1"/>
  <c r="AJ466" i="2"/>
  <c r="AK466" i="2" s="1"/>
  <c r="AJ467" i="2"/>
  <c r="AK467" i="2" s="1"/>
  <c r="AJ468" i="2"/>
  <c r="AK468" i="2" s="1"/>
  <c r="AJ469" i="2"/>
  <c r="AK469" i="2" s="1"/>
  <c r="AJ470" i="2"/>
  <c r="AK470" i="2" s="1"/>
  <c r="AJ471" i="2"/>
  <c r="AK471" i="2" s="1"/>
  <c r="AJ472" i="2"/>
  <c r="AK472" i="2" s="1"/>
  <c r="AJ473" i="2"/>
  <c r="AK473" i="2" s="1"/>
  <c r="AJ474" i="2"/>
  <c r="AK474" i="2" s="1"/>
  <c r="AJ475" i="2"/>
  <c r="AJ476" i="2"/>
  <c r="AK476" i="2" s="1"/>
  <c r="AJ477" i="2"/>
  <c r="AK477" i="2" s="1"/>
  <c r="AJ478" i="2"/>
  <c r="AK478" i="2" s="1"/>
  <c r="AJ479" i="2"/>
  <c r="AK479" i="2" s="1"/>
  <c r="AJ480" i="2"/>
  <c r="AK480" i="2" s="1"/>
  <c r="AJ481" i="2"/>
  <c r="AK481" i="2" s="1"/>
  <c r="AJ482" i="2"/>
  <c r="AK482" i="2" s="1"/>
  <c r="AJ483" i="2"/>
  <c r="AK483" i="2" s="1"/>
  <c r="AJ484" i="2"/>
  <c r="AK484" i="2" s="1"/>
  <c r="AJ485" i="2"/>
  <c r="AK485" i="2" s="1"/>
  <c r="AJ486" i="2"/>
  <c r="AK486" i="2" s="1"/>
  <c r="AJ487" i="2"/>
  <c r="AJ488" i="2"/>
  <c r="AK488" i="2" s="1"/>
  <c r="AJ489" i="2"/>
  <c r="AK489" i="2" s="1"/>
  <c r="AJ490" i="2"/>
  <c r="AK490" i="2" s="1"/>
  <c r="AJ491" i="2"/>
  <c r="AK491" i="2" s="1"/>
  <c r="AJ492" i="2"/>
  <c r="AK492" i="2" s="1"/>
  <c r="AJ493" i="2"/>
  <c r="AK493" i="2" s="1"/>
  <c r="AJ494" i="2"/>
  <c r="AK494" i="2" s="1"/>
  <c r="AJ495" i="2"/>
  <c r="AK495" i="2" s="1"/>
  <c r="AJ496" i="2"/>
  <c r="AK496" i="2" s="1"/>
  <c r="AJ497" i="2"/>
  <c r="AK497" i="2" s="1"/>
  <c r="AJ498" i="2"/>
  <c r="AK498" i="2" s="1"/>
  <c r="AJ499" i="2"/>
  <c r="AJ500" i="2"/>
  <c r="AK500" i="2" s="1"/>
  <c r="AJ501" i="2"/>
  <c r="AK501" i="2" s="1"/>
  <c r="AJ502" i="2"/>
  <c r="AK502" i="2" s="1"/>
  <c r="AJ503" i="2"/>
  <c r="AK503" i="2" s="1"/>
  <c r="AJ504" i="2"/>
  <c r="AK504" i="2" s="1"/>
  <c r="AJ505" i="2"/>
  <c r="AK505" i="2" s="1"/>
  <c r="AJ506" i="2"/>
  <c r="AK506" i="2" s="1"/>
  <c r="AJ507" i="2"/>
  <c r="AK507" i="2" s="1"/>
  <c r="AJ508" i="2"/>
  <c r="AK508" i="2" s="1"/>
  <c r="AJ509" i="2"/>
  <c r="AK509" i="2" s="1"/>
  <c r="AJ510" i="2"/>
  <c r="AK510" i="2" s="1"/>
  <c r="AJ511" i="2"/>
  <c r="AJ512" i="2"/>
  <c r="AK512" i="2" s="1"/>
  <c r="AJ513" i="2"/>
  <c r="AK513" i="2" s="1"/>
  <c r="AJ514" i="2"/>
  <c r="AK514" i="2" s="1"/>
  <c r="AJ515" i="2"/>
  <c r="AK515" i="2" s="1"/>
  <c r="AJ516" i="2"/>
  <c r="AK516" i="2" s="1"/>
  <c r="AJ517" i="2"/>
  <c r="AK517" i="2" s="1"/>
  <c r="AJ518" i="2"/>
  <c r="AK518" i="2" s="1"/>
  <c r="AJ519" i="2"/>
  <c r="AK519" i="2" s="1"/>
  <c r="AJ520" i="2"/>
  <c r="AK520" i="2" s="1"/>
  <c r="AJ521" i="2"/>
  <c r="AK521" i="2" s="1"/>
  <c r="AJ522" i="2"/>
  <c r="AK522" i="2" s="1"/>
  <c r="AJ523" i="2"/>
  <c r="AJ524" i="2"/>
  <c r="AK524" i="2" s="1"/>
  <c r="AJ525" i="2"/>
  <c r="AK525" i="2" s="1"/>
  <c r="AJ526" i="2"/>
  <c r="AK526" i="2" s="1"/>
  <c r="AJ527" i="2"/>
  <c r="AK527" i="2" s="1"/>
  <c r="AJ528" i="2"/>
  <c r="AK528" i="2" s="1"/>
  <c r="AJ529" i="2"/>
  <c r="AK529" i="2" s="1"/>
  <c r="AJ530" i="2"/>
  <c r="AK530" i="2" s="1"/>
  <c r="AJ531" i="2"/>
  <c r="AK531" i="2" s="1"/>
  <c r="AJ532" i="2"/>
  <c r="AK532" i="2" s="1"/>
  <c r="AJ533" i="2"/>
  <c r="AK533" i="2" s="1"/>
  <c r="AJ534" i="2"/>
  <c r="AK534" i="2" s="1"/>
  <c r="AJ535" i="2"/>
  <c r="AJ536" i="2"/>
  <c r="AK536" i="2" s="1"/>
  <c r="AJ537" i="2"/>
  <c r="AK537" i="2" s="1"/>
  <c r="AJ538" i="2"/>
  <c r="AK538" i="2" s="1"/>
  <c r="AJ539" i="2"/>
  <c r="AK539" i="2" s="1"/>
  <c r="AJ540" i="2"/>
  <c r="AK540" i="2" s="1"/>
  <c r="AJ541" i="2"/>
  <c r="AK541" i="2" s="1"/>
  <c r="AJ542" i="2"/>
  <c r="AK542" i="2" s="1"/>
  <c r="AJ543" i="2"/>
  <c r="AK543" i="2" s="1"/>
  <c r="AJ544" i="2"/>
  <c r="AK544" i="2" s="1"/>
  <c r="AJ545" i="2"/>
  <c r="AK545" i="2" s="1"/>
  <c r="AJ546" i="2"/>
  <c r="AK546" i="2" s="1"/>
  <c r="AJ547" i="2"/>
  <c r="AJ548" i="2"/>
  <c r="AK548" i="2" s="1"/>
  <c r="AJ549" i="2"/>
  <c r="AK549" i="2" s="1"/>
  <c r="AJ550" i="2"/>
  <c r="AK550" i="2" s="1"/>
  <c r="AJ551" i="2"/>
  <c r="AK551" i="2" s="1"/>
  <c r="AJ552" i="2"/>
  <c r="AK552" i="2" s="1"/>
  <c r="AJ553" i="2"/>
  <c r="AK553" i="2" s="1"/>
  <c r="AJ554" i="2"/>
  <c r="AK554" i="2" s="1"/>
  <c r="AJ555" i="2"/>
  <c r="AK555" i="2" s="1"/>
  <c r="AJ556" i="2"/>
  <c r="AK556" i="2" s="1"/>
  <c r="AJ557" i="2"/>
  <c r="AK557" i="2" s="1"/>
  <c r="AJ558" i="2"/>
  <c r="AK558" i="2" s="1"/>
  <c r="AJ559" i="2"/>
  <c r="AJ560" i="2"/>
  <c r="AK560" i="2" s="1"/>
  <c r="AJ561" i="2"/>
  <c r="AK561" i="2" s="1"/>
  <c r="AJ562" i="2"/>
  <c r="AK562" i="2" s="1"/>
  <c r="AJ563" i="2"/>
  <c r="AK563" i="2" s="1"/>
  <c r="AJ564" i="2"/>
  <c r="AK564" i="2" s="1"/>
  <c r="AJ565" i="2"/>
  <c r="AK565" i="2" s="1"/>
  <c r="AJ566" i="2"/>
  <c r="AK566" i="2" s="1"/>
  <c r="AJ567" i="2"/>
  <c r="AK567" i="2" s="1"/>
  <c r="AJ568" i="2"/>
  <c r="AK568" i="2" s="1"/>
  <c r="AJ569" i="2"/>
  <c r="AK569" i="2" s="1"/>
  <c r="AJ570" i="2"/>
  <c r="AK570" i="2" s="1"/>
  <c r="AJ571" i="2"/>
  <c r="AJ572" i="2"/>
  <c r="AK572" i="2" s="1"/>
  <c r="AJ573" i="2"/>
  <c r="AK573" i="2" s="1"/>
  <c r="AJ574" i="2"/>
  <c r="AK574" i="2" s="1"/>
  <c r="AJ575" i="2"/>
  <c r="AK575" i="2" s="1"/>
  <c r="AJ576" i="2"/>
  <c r="AK576" i="2" s="1"/>
  <c r="AJ577" i="2"/>
  <c r="AK577" i="2" s="1"/>
  <c r="AJ578" i="2"/>
  <c r="AK578" i="2" s="1"/>
  <c r="AJ579" i="2"/>
  <c r="AK579" i="2" s="1"/>
  <c r="AJ580" i="2"/>
  <c r="AK580" i="2" s="1"/>
  <c r="AJ581" i="2"/>
  <c r="AK581" i="2" s="1"/>
  <c r="AJ582" i="2"/>
  <c r="AK582" i="2" s="1"/>
  <c r="AJ583" i="2"/>
  <c r="AJ584" i="2"/>
  <c r="AK584" i="2" s="1"/>
  <c r="AJ585" i="2"/>
  <c r="AK585" i="2" s="1"/>
  <c r="AJ586" i="2"/>
  <c r="AK586" i="2" s="1"/>
  <c r="AJ587" i="2"/>
  <c r="AK587" i="2" s="1"/>
  <c r="AJ588" i="2"/>
  <c r="AK588" i="2" s="1"/>
  <c r="AJ589" i="2"/>
  <c r="AK589" i="2" s="1"/>
  <c r="AJ590" i="2"/>
  <c r="AK590" i="2" s="1"/>
  <c r="AJ591" i="2"/>
  <c r="AK591" i="2" s="1"/>
  <c r="AJ592" i="2"/>
  <c r="AK592" i="2" s="1"/>
  <c r="AJ593" i="2"/>
  <c r="AK593" i="2" s="1"/>
  <c r="AJ594" i="2"/>
  <c r="AK594" i="2" s="1"/>
  <c r="AJ595" i="2"/>
  <c r="AJ596" i="2"/>
  <c r="AK596" i="2" s="1"/>
  <c r="AJ597" i="2"/>
  <c r="AK597" i="2" s="1"/>
  <c r="AJ598" i="2"/>
  <c r="AK598" i="2" s="1"/>
  <c r="AJ599" i="2"/>
  <c r="AK599" i="2" s="1"/>
  <c r="AJ600" i="2"/>
  <c r="AK600" i="2" s="1"/>
  <c r="AJ601" i="2"/>
  <c r="AK601" i="2" s="1"/>
  <c r="AJ602" i="2"/>
  <c r="AK602" i="2" s="1"/>
  <c r="AJ603" i="2"/>
  <c r="AK603" i="2" s="1"/>
  <c r="AJ604" i="2"/>
  <c r="AK604" i="2" s="1"/>
  <c r="AJ605" i="2"/>
  <c r="AK605" i="2" s="1"/>
  <c r="AJ606" i="2"/>
  <c r="AK606" i="2" s="1"/>
  <c r="AJ607" i="2"/>
  <c r="AJ608" i="2"/>
  <c r="AK608" i="2" s="1"/>
  <c r="AJ609" i="2"/>
  <c r="AK609" i="2" s="1"/>
  <c r="AJ610" i="2"/>
  <c r="AK610" i="2" s="1"/>
  <c r="AJ611" i="2"/>
  <c r="AK611" i="2" s="1"/>
  <c r="AJ612" i="2"/>
  <c r="AK612" i="2" s="1"/>
  <c r="AJ613" i="2"/>
  <c r="AK613" i="2" s="1"/>
  <c r="AJ614" i="2"/>
  <c r="AK614" i="2" s="1"/>
  <c r="AJ615" i="2"/>
  <c r="AK615" i="2" s="1"/>
  <c r="AJ616" i="2"/>
  <c r="AK616" i="2" s="1"/>
  <c r="AJ617" i="2"/>
  <c r="AK617" i="2" s="1"/>
  <c r="AJ618" i="2"/>
  <c r="AK618" i="2" s="1"/>
  <c r="AJ619" i="2"/>
  <c r="AJ620" i="2"/>
  <c r="AK620" i="2" s="1"/>
  <c r="AJ621" i="2"/>
  <c r="AK621" i="2" s="1"/>
  <c r="AJ622" i="2"/>
  <c r="AK622" i="2" s="1"/>
  <c r="AJ623" i="2"/>
  <c r="AK623" i="2" s="1"/>
  <c r="AJ624" i="2"/>
  <c r="AK624" i="2" s="1"/>
  <c r="AJ625" i="2"/>
  <c r="AK625" i="2" s="1"/>
  <c r="AJ626" i="2"/>
  <c r="AK626" i="2" s="1"/>
  <c r="AJ627" i="2"/>
  <c r="AK627" i="2" s="1"/>
  <c r="AJ628" i="2"/>
  <c r="AK628" i="2" s="1"/>
  <c r="AJ629" i="2"/>
  <c r="AK629" i="2" s="1"/>
  <c r="AJ630" i="2"/>
  <c r="AK630" i="2" s="1"/>
  <c r="AJ631" i="2"/>
  <c r="AJ632" i="2"/>
  <c r="AK632" i="2" s="1"/>
  <c r="AJ633" i="2"/>
  <c r="AK633" i="2" s="1"/>
  <c r="AJ634" i="2"/>
  <c r="AK634" i="2" s="1"/>
  <c r="AJ635" i="2"/>
  <c r="AK635" i="2" s="1"/>
  <c r="AJ636" i="2"/>
  <c r="AK636" i="2" s="1"/>
  <c r="AJ637" i="2"/>
  <c r="AK637" i="2" s="1"/>
  <c r="AJ638" i="2"/>
  <c r="AK638" i="2" s="1"/>
  <c r="AJ639" i="2"/>
  <c r="AK639" i="2" s="1"/>
  <c r="AJ640" i="2"/>
  <c r="AK640" i="2" s="1"/>
  <c r="AJ641" i="2"/>
  <c r="AK641" i="2" s="1"/>
  <c r="AJ642" i="2"/>
  <c r="AK642" i="2" s="1"/>
  <c r="AJ643" i="2"/>
  <c r="AJ644" i="2"/>
  <c r="AK644" i="2" s="1"/>
  <c r="AJ645" i="2"/>
  <c r="AK645" i="2" s="1"/>
  <c r="AJ646" i="2"/>
  <c r="AK646" i="2" s="1"/>
  <c r="AJ647" i="2"/>
  <c r="AK647" i="2" s="1"/>
  <c r="AJ648" i="2"/>
  <c r="AK648" i="2" s="1"/>
  <c r="AJ649" i="2"/>
  <c r="AK649" i="2" s="1"/>
  <c r="AJ650" i="2"/>
  <c r="AK650" i="2" s="1"/>
  <c r="AJ651" i="2"/>
  <c r="AK651" i="2" s="1"/>
  <c r="AJ652" i="2"/>
  <c r="AK652" i="2" s="1"/>
  <c r="AJ653" i="2"/>
  <c r="AK653" i="2" s="1"/>
  <c r="AJ654" i="2"/>
  <c r="AK654" i="2" s="1"/>
  <c r="AJ655" i="2"/>
  <c r="AJ656" i="2"/>
  <c r="AK656" i="2" s="1"/>
  <c r="AJ657" i="2"/>
  <c r="AK657" i="2" s="1"/>
  <c r="AJ658" i="2"/>
  <c r="AK658" i="2" s="1"/>
  <c r="AJ659" i="2"/>
  <c r="AK659" i="2" s="1"/>
  <c r="AJ660" i="2"/>
  <c r="AK660" i="2" s="1"/>
  <c r="AJ661" i="2"/>
  <c r="AK661" i="2" s="1"/>
  <c r="AJ662" i="2"/>
  <c r="AK662" i="2" s="1"/>
  <c r="AJ663" i="2"/>
  <c r="AK663" i="2" s="1"/>
  <c r="AJ664" i="2"/>
  <c r="AK664" i="2" s="1"/>
  <c r="AJ665" i="2"/>
  <c r="AK665" i="2" s="1"/>
  <c r="AJ666" i="2"/>
  <c r="AK666" i="2" s="1"/>
  <c r="AJ667" i="2"/>
  <c r="AJ668" i="2"/>
  <c r="AK668" i="2" s="1"/>
  <c r="AJ669" i="2"/>
  <c r="AK669" i="2" s="1"/>
  <c r="AJ670" i="2"/>
  <c r="AK670" i="2" s="1"/>
  <c r="AJ671" i="2"/>
  <c r="AK671" i="2" s="1"/>
  <c r="AJ672" i="2"/>
  <c r="AK672" i="2" s="1"/>
  <c r="AJ673" i="2"/>
  <c r="AK673" i="2" s="1"/>
  <c r="AJ674" i="2"/>
  <c r="AK674" i="2" s="1"/>
  <c r="AJ675" i="2"/>
  <c r="AK675" i="2" s="1"/>
  <c r="AJ676" i="2"/>
  <c r="AK676" i="2" s="1"/>
  <c r="AJ677" i="2"/>
  <c r="AK677" i="2" s="1"/>
  <c r="AJ678" i="2"/>
  <c r="AK678" i="2" s="1"/>
  <c r="AJ679" i="2"/>
  <c r="AJ680" i="2"/>
  <c r="AK680" i="2" s="1"/>
  <c r="AJ681" i="2"/>
  <c r="AK681" i="2" s="1"/>
  <c r="AJ682" i="2"/>
  <c r="AK682" i="2" s="1"/>
  <c r="AJ683" i="2"/>
  <c r="AK683" i="2" s="1"/>
  <c r="AJ684" i="2"/>
  <c r="AK684" i="2" s="1"/>
  <c r="AJ685" i="2"/>
  <c r="AK685" i="2" s="1"/>
  <c r="AJ686" i="2"/>
  <c r="AK686" i="2" s="1"/>
  <c r="AJ687" i="2"/>
  <c r="AK687" i="2" s="1"/>
  <c r="AJ688" i="2"/>
  <c r="AK688" i="2" s="1"/>
  <c r="AJ689" i="2"/>
  <c r="AK689" i="2" s="1"/>
  <c r="AJ690" i="2"/>
  <c r="AK690" i="2" s="1"/>
  <c r="AJ691" i="2"/>
  <c r="AJ692" i="2"/>
  <c r="AK692" i="2" s="1"/>
  <c r="AJ693" i="2"/>
  <c r="AK693" i="2" s="1"/>
  <c r="AJ694" i="2"/>
  <c r="AK694" i="2" s="1"/>
  <c r="AJ695" i="2"/>
  <c r="AK695" i="2" s="1"/>
  <c r="AJ696" i="2"/>
  <c r="AK696" i="2" s="1"/>
  <c r="AJ697" i="2"/>
  <c r="AK697" i="2" s="1"/>
  <c r="AJ698" i="2"/>
  <c r="AK698" i="2" s="1"/>
  <c r="AJ699" i="2"/>
  <c r="AK699" i="2" s="1"/>
  <c r="AJ700" i="2"/>
  <c r="AK700" i="2" s="1"/>
  <c r="AJ701" i="2"/>
  <c r="AK701" i="2" s="1"/>
  <c r="AJ702" i="2"/>
  <c r="AK702" i="2" s="1"/>
  <c r="AJ703" i="2"/>
  <c r="AJ704" i="2"/>
  <c r="AK704" i="2" s="1"/>
  <c r="AJ705" i="2"/>
  <c r="AK705" i="2" s="1"/>
  <c r="AJ706" i="2"/>
  <c r="AK706" i="2" s="1"/>
  <c r="AJ707" i="2"/>
  <c r="AK707" i="2" s="1"/>
  <c r="AJ708" i="2"/>
  <c r="AK708" i="2" s="1"/>
  <c r="AJ709" i="2"/>
  <c r="AK709" i="2" s="1"/>
  <c r="AJ710" i="2"/>
  <c r="AK710" i="2" s="1"/>
  <c r="AJ711" i="2"/>
  <c r="AK711" i="2" s="1"/>
  <c r="AJ712" i="2"/>
  <c r="AK712" i="2" s="1"/>
  <c r="AJ713" i="2"/>
  <c r="AK713" i="2" s="1"/>
  <c r="AJ714" i="2"/>
  <c r="AK714" i="2" s="1"/>
  <c r="AJ715" i="2"/>
  <c r="AJ716" i="2"/>
  <c r="AK716" i="2" s="1"/>
  <c r="AJ717" i="2"/>
  <c r="AK717" i="2" s="1"/>
  <c r="AJ718" i="2"/>
  <c r="AK718" i="2" s="1"/>
  <c r="AJ719" i="2"/>
  <c r="AK719" i="2" s="1"/>
  <c r="AJ720" i="2"/>
  <c r="AK720" i="2" s="1"/>
  <c r="AJ721" i="2"/>
  <c r="AK721" i="2" s="1"/>
  <c r="AJ722" i="2"/>
  <c r="AK722" i="2" s="1"/>
  <c r="AJ723" i="2"/>
  <c r="AK723" i="2" s="1"/>
  <c r="AJ724" i="2"/>
  <c r="AK724" i="2" s="1"/>
  <c r="AJ725" i="2"/>
  <c r="AK725" i="2" s="1"/>
  <c r="AJ726" i="2"/>
  <c r="AK726" i="2" s="1"/>
  <c r="AJ727" i="2"/>
  <c r="AJ728" i="2"/>
  <c r="AK728" i="2" s="1"/>
  <c r="AJ729" i="2"/>
  <c r="AK729" i="2" s="1"/>
  <c r="AJ730" i="2"/>
  <c r="AK730" i="2" s="1"/>
  <c r="AJ731" i="2"/>
  <c r="AK731" i="2" s="1"/>
  <c r="AJ732" i="2"/>
  <c r="AK732" i="2" s="1"/>
  <c r="AJ733" i="2"/>
  <c r="AK733" i="2" s="1"/>
  <c r="AJ734" i="2"/>
  <c r="AK734" i="2" s="1"/>
  <c r="AJ735" i="2"/>
  <c r="AK735" i="2" s="1"/>
  <c r="AJ736" i="2"/>
  <c r="AK736" i="2" s="1"/>
  <c r="AJ737" i="2"/>
  <c r="AK737" i="2" s="1"/>
  <c r="AJ738" i="2"/>
  <c r="AK738" i="2" s="1"/>
  <c r="AJ739" i="2"/>
  <c r="AJ740" i="2"/>
  <c r="AK740" i="2" s="1"/>
  <c r="AJ741" i="2"/>
  <c r="AK741" i="2" s="1"/>
  <c r="AJ742" i="2"/>
  <c r="AK742" i="2" s="1"/>
  <c r="AJ743" i="2"/>
  <c r="AK743" i="2" s="1"/>
  <c r="AJ744" i="2"/>
  <c r="AK744" i="2" s="1"/>
  <c r="AJ745" i="2"/>
  <c r="AK745" i="2" s="1"/>
  <c r="AJ746" i="2"/>
  <c r="AK746" i="2" s="1"/>
  <c r="AJ747" i="2"/>
  <c r="AK747" i="2" s="1"/>
  <c r="AJ748" i="2"/>
  <c r="AK748" i="2" s="1"/>
  <c r="AJ749" i="2"/>
  <c r="AK749" i="2" s="1"/>
  <c r="AJ750" i="2"/>
  <c r="AK750" i="2" s="1"/>
  <c r="AJ751" i="2"/>
  <c r="AJ752" i="2"/>
  <c r="AK752" i="2" s="1"/>
  <c r="AJ753" i="2"/>
  <c r="AK753" i="2" s="1"/>
  <c r="AJ754" i="2"/>
  <c r="AK754" i="2" s="1"/>
  <c r="AJ755" i="2"/>
  <c r="AK755" i="2" s="1"/>
  <c r="AJ756" i="2"/>
  <c r="AK756" i="2" s="1"/>
  <c r="AJ757" i="2"/>
  <c r="AK757" i="2" s="1"/>
  <c r="AJ758" i="2"/>
  <c r="AK758" i="2" s="1"/>
  <c r="AJ759" i="2"/>
  <c r="AK759" i="2" s="1"/>
  <c r="AJ760" i="2"/>
  <c r="AK760" i="2" s="1"/>
  <c r="AJ761" i="2"/>
  <c r="AK761" i="2" s="1"/>
  <c r="AJ762" i="2"/>
  <c r="AK762" i="2" s="1"/>
  <c r="AJ763" i="2"/>
  <c r="AJ764" i="2"/>
  <c r="AK764" i="2" s="1"/>
  <c r="AJ765" i="2"/>
  <c r="AK765" i="2" s="1"/>
  <c r="AJ766" i="2"/>
  <c r="AK766" i="2" s="1"/>
  <c r="AJ767" i="2"/>
  <c r="AK767" i="2" s="1"/>
  <c r="AJ768" i="2"/>
  <c r="AK768" i="2" s="1"/>
  <c r="AJ769" i="2"/>
  <c r="AK769" i="2" s="1"/>
  <c r="AJ770" i="2"/>
  <c r="AK770" i="2" s="1"/>
  <c r="AJ771" i="2"/>
  <c r="AK771" i="2" s="1"/>
  <c r="AJ772" i="2"/>
  <c r="AK772" i="2" s="1"/>
  <c r="AJ773" i="2"/>
  <c r="AK773" i="2" s="1"/>
  <c r="AJ774" i="2"/>
  <c r="AK774" i="2" s="1"/>
  <c r="AJ775" i="2"/>
  <c r="AJ776" i="2"/>
  <c r="AK776" i="2" s="1"/>
  <c r="AJ777" i="2"/>
  <c r="AK777" i="2" s="1"/>
  <c r="AJ778" i="2"/>
  <c r="AK778" i="2" s="1"/>
  <c r="AJ779" i="2"/>
  <c r="AK779" i="2" s="1"/>
  <c r="AJ780" i="2"/>
  <c r="AK780" i="2" s="1"/>
  <c r="AJ781" i="2"/>
  <c r="AK781" i="2" s="1"/>
  <c r="AJ782" i="2"/>
  <c r="AK782" i="2" s="1"/>
  <c r="AJ783" i="2"/>
  <c r="AK783" i="2" s="1"/>
  <c r="AJ784" i="2"/>
  <c r="AK784" i="2" s="1"/>
  <c r="AJ785" i="2"/>
  <c r="AK785" i="2" s="1"/>
  <c r="AJ786" i="2"/>
  <c r="AK786" i="2" s="1"/>
  <c r="AJ787" i="2"/>
  <c r="AJ788" i="2"/>
  <c r="AK788" i="2" s="1"/>
  <c r="AJ789" i="2"/>
  <c r="AK789" i="2" s="1"/>
  <c r="AJ790" i="2"/>
  <c r="AK790" i="2" s="1"/>
  <c r="AJ791" i="2"/>
  <c r="AK791" i="2" s="1"/>
  <c r="AJ792" i="2"/>
  <c r="AK792" i="2" s="1"/>
  <c r="AJ793" i="2"/>
  <c r="AK793" i="2" s="1"/>
  <c r="AJ794" i="2"/>
  <c r="AK794" i="2" s="1"/>
  <c r="AJ795" i="2"/>
  <c r="AK795" i="2" s="1"/>
  <c r="AJ796" i="2"/>
  <c r="AK796" i="2" s="1"/>
  <c r="AJ797" i="2"/>
  <c r="AK797" i="2" s="1"/>
  <c r="AJ798" i="2"/>
  <c r="AK798" i="2" s="1"/>
  <c r="AJ799" i="2"/>
  <c r="AJ800" i="2"/>
  <c r="AK800" i="2" s="1"/>
  <c r="AJ801" i="2"/>
  <c r="AK801" i="2" s="1"/>
  <c r="AJ802" i="2"/>
  <c r="AK802" i="2" s="1"/>
  <c r="AJ803" i="2"/>
  <c r="AK803" i="2" s="1"/>
  <c r="AJ804" i="2"/>
  <c r="AK804" i="2" s="1"/>
  <c r="AJ805" i="2"/>
  <c r="AK805" i="2" s="1"/>
  <c r="AJ806" i="2"/>
  <c r="AK806" i="2" s="1"/>
  <c r="AJ807" i="2"/>
  <c r="AK807" i="2" s="1"/>
  <c r="AJ808" i="2"/>
  <c r="AK808" i="2" s="1"/>
  <c r="AJ809" i="2"/>
  <c r="AK809" i="2" s="1"/>
  <c r="AJ810" i="2"/>
  <c r="AK810" i="2" s="1"/>
  <c r="AJ811" i="2"/>
  <c r="AJ812" i="2"/>
  <c r="AK812" i="2" s="1"/>
  <c r="AJ813" i="2"/>
  <c r="AK813" i="2" s="1"/>
  <c r="AJ814" i="2"/>
  <c r="AK814" i="2" s="1"/>
  <c r="AJ815" i="2"/>
  <c r="AK815" i="2" s="1"/>
  <c r="AJ816" i="2"/>
  <c r="AK816" i="2" s="1"/>
  <c r="AJ817" i="2"/>
  <c r="AK817" i="2" s="1"/>
  <c r="AJ818" i="2"/>
  <c r="AK818" i="2" s="1"/>
  <c r="AJ819" i="2"/>
  <c r="AK819" i="2" s="1"/>
  <c r="AJ820" i="2"/>
  <c r="AK820" i="2" s="1"/>
  <c r="AJ821" i="2"/>
  <c r="AK821" i="2" s="1"/>
  <c r="AJ822" i="2"/>
  <c r="AK822" i="2" s="1"/>
  <c r="AJ823" i="2"/>
  <c r="AJ824" i="2"/>
  <c r="AK824" i="2" s="1"/>
  <c r="AJ825" i="2"/>
  <c r="AK825" i="2" s="1"/>
  <c r="AJ826" i="2"/>
  <c r="AK826" i="2" s="1"/>
  <c r="AJ827" i="2"/>
  <c r="AK827" i="2" s="1"/>
  <c r="AJ828" i="2"/>
  <c r="AK828" i="2" s="1"/>
  <c r="AJ829" i="2"/>
  <c r="AK829" i="2" s="1"/>
  <c r="AJ830" i="2"/>
  <c r="AK830" i="2" s="1"/>
  <c r="AJ831" i="2"/>
  <c r="AK831" i="2" s="1"/>
  <c r="AJ832" i="2"/>
  <c r="AK832" i="2" s="1"/>
  <c r="AJ833" i="2"/>
  <c r="AK833" i="2" s="1"/>
  <c r="AJ834" i="2"/>
  <c r="AK834" i="2" s="1"/>
  <c r="AJ835" i="2"/>
  <c r="AJ836" i="2"/>
  <c r="AK836" i="2" s="1"/>
  <c r="AJ837" i="2"/>
  <c r="AK837" i="2" s="1"/>
  <c r="AJ838" i="2"/>
  <c r="AK838" i="2" s="1"/>
  <c r="AJ839" i="2"/>
  <c r="AK839" i="2" s="1"/>
  <c r="AJ840" i="2"/>
  <c r="AK840" i="2" s="1"/>
  <c r="AJ841" i="2"/>
  <c r="AK841" i="2" s="1"/>
  <c r="AJ842" i="2"/>
  <c r="AK842" i="2" s="1"/>
  <c r="AJ843" i="2"/>
  <c r="AK843" i="2" s="1"/>
  <c r="AJ844" i="2"/>
  <c r="AK844" i="2" s="1"/>
  <c r="AJ845" i="2"/>
  <c r="AK845" i="2" s="1"/>
  <c r="AJ846" i="2"/>
  <c r="AK846" i="2" s="1"/>
  <c r="AJ847" i="2"/>
  <c r="AJ848" i="2"/>
  <c r="AK848" i="2" s="1"/>
  <c r="AJ849" i="2"/>
  <c r="AK849" i="2" s="1"/>
  <c r="AJ850" i="2"/>
  <c r="AK850" i="2" s="1"/>
  <c r="AJ851" i="2"/>
  <c r="AK851" i="2" s="1"/>
  <c r="AJ852" i="2"/>
  <c r="AK852" i="2" s="1"/>
  <c r="AJ3" i="2"/>
  <c r="AK3" i="2" s="1"/>
  <c r="AJ4" i="2"/>
  <c r="AK4" i="2" s="1"/>
  <c r="AJ5" i="2"/>
  <c r="AK5" i="2" s="1"/>
  <c r="AJ6" i="2"/>
  <c r="AK6" i="2" s="1"/>
  <c r="AJ7" i="2"/>
  <c r="AJ2" i="2"/>
  <c r="AK2" i="2" s="1"/>
  <c r="N2" i="2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14" i="6"/>
  <c r="Y5" i="2"/>
  <c r="C4" i="6"/>
  <c r="D4" i="6"/>
  <c r="E4" i="6"/>
  <c r="F4" i="6"/>
  <c r="G4" i="6"/>
  <c r="H4" i="6"/>
  <c r="I4" i="6"/>
  <c r="J4" i="6"/>
  <c r="K4" i="6"/>
  <c r="B4" i="6"/>
  <c r="C3" i="6"/>
  <c r="D3" i="6"/>
  <c r="E3" i="6"/>
  <c r="F3" i="6"/>
  <c r="G3" i="6"/>
  <c r="H3" i="6"/>
  <c r="I3" i="6"/>
  <c r="J3" i="6"/>
  <c r="K3" i="6"/>
  <c r="B3" i="6"/>
  <c r="C2" i="6"/>
  <c r="D2" i="6"/>
  <c r="E2" i="6"/>
  <c r="F2" i="6"/>
  <c r="G2" i="6"/>
  <c r="H2" i="6"/>
  <c r="I2" i="6"/>
  <c r="J2" i="6"/>
  <c r="K2" i="6"/>
  <c r="B2" i="6"/>
  <c r="K1" i="6"/>
  <c r="C1" i="6"/>
  <c r="D1" i="6"/>
  <c r="E1" i="6"/>
  <c r="F1" i="6"/>
  <c r="G1" i="6"/>
  <c r="H1" i="6"/>
  <c r="I1" i="6"/>
  <c r="J1" i="6"/>
  <c r="B1" i="6"/>
  <c r="Z3" i="2"/>
  <c r="AA3" i="2"/>
  <c r="AB3" i="2"/>
  <c r="AC3" i="2"/>
  <c r="AD3" i="2"/>
  <c r="AE3" i="2"/>
  <c r="AF3" i="2"/>
  <c r="AG3" i="2"/>
  <c r="AH3" i="2"/>
  <c r="AI3" i="2"/>
  <c r="Z4" i="2"/>
  <c r="AA4" i="2"/>
  <c r="AB4" i="2"/>
  <c r="AC4" i="2"/>
  <c r="AD4" i="2"/>
  <c r="AE4" i="2"/>
  <c r="AF4" i="2"/>
  <c r="AG4" i="2"/>
  <c r="AH4" i="2"/>
  <c r="AI4" i="2"/>
  <c r="Z5" i="2"/>
  <c r="AA5" i="2"/>
  <c r="AB5" i="2"/>
  <c r="AC5" i="2"/>
  <c r="AD5" i="2"/>
  <c r="AE5" i="2"/>
  <c r="AF5" i="2"/>
  <c r="AG5" i="2"/>
  <c r="AH5" i="2"/>
  <c r="AI5" i="2"/>
  <c r="Z6" i="2"/>
  <c r="AA6" i="2"/>
  <c r="AB6" i="2"/>
  <c r="AC6" i="2"/>
  <c r="AD6" i="2"/>
  <c r="AE6" i="2"/>
  <c r="AF6" i="2"/>
  <c r="AG6" i="2"/>
  <c r="AH6" i="2"/>
  <c r="AI6" i="2"/>
  <c r="Z7" i="2"/>
  <c r="AA7" i="2"/>
  <c r="AB7" i="2"/>
  <c r="AC7" i="2"/>
  <c r="AD7" i="2"/>
  <c r="AE7" i="2"/>
  <c r="AF7" i="2"/>
  <c r="AG7" i="2"/>
  <c r="AH7" i="2"/>
  <c r="AI7" i="2"/>
  <c r="Z8" i="2"/>
  <c r="AA8" i="2"/>
  <c r="AB8" i="2"/>
  <c r="AC8" i="2"/>
  <c r="AD8" i="2"/>
  <c r="AE8" i="2"/>
  <c r="AF8" i="2"/>
  <c r="AG8" i="2"/>
  <c r="AH8" i="2"/>
  <c r="AI8" i="2"/>
  <c r="Z9" i="2"/>
  <c r="AA9" i="2"/>
  <c r="AB9" i="2"/>
  <c r="AC9" i="2"/>
  <c r="AD9" i="2"/>
  <c r="AE9" i="2"/>
  <c r="AF9" i="2"/>
  <c r="AG9" i="2"/>
  <c r="AH9" i="2"/>
  <c r="AI9" i="2"/>
  <c r="Z10" i="2"/>
  <c r="AA10" i="2"/>
  <c r="AB10" i="2"/>
  <c r="AC10" i="2"/>
  <c r="AD10" i="2"/>
  <c r="AE10" i="2"/>
  <c r="AF10" i="2"/>
  <c r="AG10" i="2"/>
  <c r="AH10" i="2"/>
  <c r="AI10" i="2"/>
  <c r="Z11" i="2"/>
  <c r="AA11" i="2"/>
  <c r="AB11" i="2"/>
  <c r="AC11" i="2"/>
  <c r="AD11" i="2"/>
  <c r="AE11" i="2"/>
  <c r="AF11" i="2"/>
  <c r="AG11" i="2"/>
  <c r="AH11" i="2"/>
  <c r="AI11" i="2"/>
  <c r="Z12" i="2"/>
  <c r="AA12" i="2"/>
  <c r="AB12" i="2"/>
  <c r="AC12" i="2"/>
  <c r="AD12" i="2"/>
  <c r="AE12" i="2"/>
  <c r="AF12" i="2"/>
  <c r="AG12" i="2"/>
  <c r="AH12" i="2"/>
  <c r="AI12" i="2"/>
  <c r="Z13" i="2"/>
  <c r="AA13" i="2"/>
  <c r="AB13" i="2"/>
  <c r="AC13" i="2"/>
  <c r="AD13" i="2"/>
  <c r="AE13" i="2"/>
  <c r="AF13" i="2"/>
  <c r="AG13" i="2"/>
  <c r="AH13" i="2"/>
  <c r="AI13" i="2"/>
  <c r="Z14" i="2"/>
  <c r="AA14" i="2"/>
  <c r="AB14" i="2"/>
  <c r="AC14" i="2"/>
  <c r="AD14" i="2"/>
  <c r="AE14" i="2"/>
  <c r="AF14" i="2"/>
  <c r="AG14" i="2"/>
  <c r="AH14" i="2"/>
  <c r="AI14" i="2"/>
  <c r="Z15" i="2"/>
  <c r="AA15" i="2"/>
  <c r="AB15" i="2"/>
  <c r="AC15" i="2"/>
  <c r="AD15" i="2"/>
  <c r="AE15" i="2"/>
  <c r="AF15" i="2"/>
  <c r="AG15" i="2"/>
  <c r="AH15" i="2"/>
  <c r="AI15" i="2"/>
  <c r="Z16" i="2"/>
  <c r="AA16" i="2"/>
  <c r="AB16" i="2"/>
  <c r="AC16" i="2"/>
  <c r="AD16" i="2"/>
  <c r="AE16" i="2"/>
  <c r="AF16" i="2"/>
  <c r="AG16" i="2"/>
  <c r="AH16" i="2"/>
  <c r="AI16" i="2"/>
  <c r="Z17" i="2"/>
  <c r="AA17" i="2"/>
  <c r="AB17" i="2"/>
  <c r="AC17" i="2"/>
  <c r="AD17" i="2"/>
  <c r="AE17" i="2"/>
  <c r="AF17" i="2"/>
  <c r="AG17" i="2"/>
  <c r="AH17" i="2"/>
  <c r="AI17" i="2"/>
  <c r="Z18" i="2"/>
  <c r="AA18" i="2"/>
  <c r="AB18" i="2"/>
  <c r="AC18" i="2"/>
  <c r="AD18" i="2"/>
  <c r="AE18" i="2"/>
  <c r="AF18" i="2"/>
  <c r="AG18" i="2"/>
  <c r="AH18" i="2"/>
  <c r="AI18" i="2"/>
  <c r="Z19" i="2"/>
  <c r="AA19" i="2"/>
  <c r="AB19" i="2"/>
  <c r="AC19" i="2"/>
  <c r="AD19" i="2"/>
  <c r="AE19" i="2"/>
  <c r="AF19" i="2"/>
  <c r="AG19" i="2"/>
  <c r="AH19" i="2"/>
  <c r="AI19" i="2"/>
  <c r="Z20" i="2"/>
  <c r="AA20" i="2"/>
  <c r="AB20" i="2"/>
  <c r="AC20" i="2"/>
  <c r="AD20" i="2"/>
  <c r="AE20" i="2"/>
  <c r="AF20" i="2"/>
  <c r="AG20" i="2"/>
  <c r="AH20" i="2"/>
  <c r="AI20" i="2"/>
  <c r="Z21" i="2"/>
  <c r="AA21" i="2"/>
  <c r="AB21" i="2"/>
  <c r="AC21" i="2"/>
  <c r="AD21" i="2"/>
  <c r="AE21" i="2"/>
  <c r="AF21" i="2"/>
  <c r="AG21" i="2"/>
  <c r="AH21" i="2"/>
  <c r="AI21" i="2"/>
  <c r="Z22" i="2"/>
  <c r="AA22" i="2"/>
  <c r="AB22" i="2"/>
  <c r="AC22" i="2"/>
  <c r="AD22" i="2"/>
  <c r="AE22" i="2"/>
  <c r="AF22" i="2"/>
  <c r="AG22" i="2"/>
  <c r="AH22" i="2"/>
  <c r="AI22" i="2"/>
  <c r="Z23" i="2"/>
  <c r="AA23" i="2"/>
  <c r="AB23" i="2"/>
  <c r="AC23" i="2"/>
  <c r="AD23" i="2"/>
  <c r="AE23" i="2"/>
  <c r="AF23" i="2"/>
  <c r="AG23" i="2"/>
  <c r="AH23" i="2"/>
  <c r="AI23" i="2"/>
  <c r="Z24" i="2"/>
  <c r="AA24" i="2"/>
  <c r="AB24" i="2"/>
  <c r="AC24" i="2"/>
  <c r="AD24" i="2"/>
  <c r="AE24" i="2"/>
  <c r="AF24" i="2"/>
  <c r="AG24" i="2"/>
  <c r="AH24" i="2"/>
  <c r="AI24" i="2"/>
  <c r="Z25" i="2"/>
  <c r="AA25" i="2"/>
  <c r="AB25" i="2"/>
  <c r="AC25" i="2"/>
  <c r="AD25" i="2"/>
  <c r="AE25" i="2"/>
  <c r="AF25" i="2"/>
  <c r="AG25" i="2"/>
  <c r="AH25" i="2"/>
  <c r="AI25" i="2"/>
  <c r="Z26" i="2"/>
  <c r="AA26" i="2"/>
  <c r="AB26" i="2"/>
  <c r="AC26" i="2"/>
  <c r="AD26" i="2"/>
  <c r="AE26" i="2"/>
  <c r="AF26" i="2"/>
  <c r="AG26" i="2"/>
  <c r="AH26" i="2"/>
  <c r="AI26" i="2"/>
  <c r="Z27" i="2"/>
  <c r="AA27" i="2"/>
  <c r="AB27" i="2"/>
  <c r="AC27" i="2"/>
  <c r="AD27" i="2"/>
  <c r="AE27" i="2"/>
  <c r="AF27" i="2"/>
  <c r="AG27" i="2"/>
  <c r="AH27" i="2"/>
  <c r="AI27" i="2"/>
  <c r="Z28" i="2"/>
  <c r="AA28" i="2"/>
  <c r="AB28" i="2"/>
  <c r="AC28" i="2"/>
  <c r="AD28" i="2"/>
  <c r="AE28" i="2"/>
  <c r="AF28" i="2"/>
  <c r="AG28" i="2"/>
  <c r="AH28" i="2"/>
  <c r="AI28" i="2"/>
  <c r="Z29" i="2"/>
  <c r="AA29" i="2"/>
  <c r="AB29" i="2"/>
  <c r="AC29" i="2"/>
  <c r="AD29" i="2"/>
  <c r="AE29" i="2"/>
  <c r="AF29" i="2"/>
  <c r="AG29" i="2"/>
  <c r="AH29" i="2"/>
  <c r="AI29" i="2"/>
  <c r="Z30" i="2"/>
  <c r="AA30" i="2"/>
  <c r="AB30" i="2"/>
  <c r="AC30" i="2"/>
  <c r="AD30" i="2"/>
  <c r="AE30" i="2"/>
  <c r="AF30" i="2"/>
  <c r="AG30" i="2"/>
  <c r="AH30" i="2"/>
  <c r="AI30" i="2"/>
  <c r="Z31" i="2"/>
  <c r="AA31" i="2"/>
  <c r="AB31" i="2"/>
  <c r="AC31" i="2"/>
  <c r="AD31" i="2"/>
  <c r="AE31" i="2"/>
  <c r="AF31" i="2"/>
  <c r="AG31" i="2"/>
  <c r="AH31" i="2"/>
  <c r="AI31" i="2"/>
  <c r="Z32" i="2"/>
  <c r="AA32" i="2"/>
  <c r="AB32" i="2"/>
  <c r="AC32" i="2"/>
  <c r="AD32" i="2"/>
  <c r="AE32" i="2"/>
  <c r="AF32" i="2"/>
  <c r="AG32" i="2"/>
  <c r="AH32" i="2"/>
  <c r="AI32" i="2"/>
  <c r="Z33" i="2"/>
  <c r="AA33" i="2"/>
  <c r="AB33" i="2"/>
  <c r="AC33" i="2"/>
  <c r="AD33" i="2"/>
  <c r="AE33" i="2"/>
  <c r="AF33" i="2"/>
  <c r="AG33" i="2"/>
  <c r="AH33" i="2"/>
  <c r="AI33" i="2"/>
  <c r="Z34" i="2"/>
  <c r="AA34" i="2"/>
  <c r="AB34" i="2"/>
  <c r="AC34" i="2"/>
  <c r="AD34" i="2"/>
  <c r="AE34" i="2"/>
  <c r="AF34" i="2"/>
  <c r="AG34" i="2"/>
  <c r="AH34" i="2"/>
  <c r="AI34" i="2"/>
  <c r="Z35" i="2"/>
  <c r="AA35" i="2"/>
  <c r="AB35" i="2"/>
  <c r="AC35" i="2"/>
  <c r="AD35" i="2"/>
  <c r="AE35" i="2"/>
  <c r="AF35" i="2"/>
  <c r="AG35" i="2"/>
  <c r="AH35" i="2"/>
  <c r="AI35" i="2"/>
  <c r="Z36" i="2"/>
  <c r="AA36" i="2"/>
  <c r="AB36" i="2"/>
  <c r="AC36" i="2"/>
  <c r="AD36" i="2"/>
  <c r="AE36" i="2"/>
  <c r="AF36" i="2"/>
  <c r="AG36" i="2"/>
  <c r="AH36" i="2"/>
  <c r="AI36" i="2"/>
  <c r="Z37" i="2"/>
  <c r="AA37" i="2"/>
  <c r="AB37" i="2"/>
  <c r="AC37" i="2"/>
  <c r="AD37" i="2"/>
  <c r="AE37" i="2"/>
  <c r="AF37" i="2"/>
  <c r="AG37" i="2"/>
  <c r="AH37" i="2"/>
  <c r="AI37" i="2"/>
  <c r="Z38" i="2"/>
  <c r="AA38" i="2"/>
  <c r="AB38" i="2"/>
  <c r="AC38" i="2"/>
  <c r="AD38" i="2"/>
  <c r="AE38" i="2"/>
  <c r="AF38" i="2"/>
  <c r="AG38" i="2"/>
  <c r="AH38" i="2"/>
  <c r="AI38" i="2"/>
  <c r="Z39" i="2"/>
  <c r="AA39" i="2"/>
  <c r="AB39" i="2"/>
  <c r="AC39" i="2"/>
  <c r="AD39" i="2"/>
  <c r="AE39" i="2"/>
  <c r="AF39" i="2"/>
  <c r="AG39" i="2"/>
  <c r="AH39" i="2"/>
  <c r="AI39" i="2"/>
  <c r="Z40" i="2"/>
  <c r="AA40" i="2"/>
  <c r="AB40" i="2"/>
  <c r="AC40" i="2"/>
  <c r="AD40" i="2"/>
  <c r="AE40" i="2"/>
  <c r="AF40" i="2"/>
  <c r="AG40" i="2"/>
  <c r="AH40" i="2"/>
  <c r="AI40" i="2"/>
  <c r="Z41" i="2"/>
  <c r="AA41" i="2"/>
  <c r="AB41" i="2"/>
  <c r="AC41" i="2"/>
  <c r="AD41" i="2"/>
  <c r="AE41" i="2"/>
  <c r="AF41" i="2"/>
  <c r="AG41" i="2"/>
  <c r="AH41" i="2"/>
  <c r="AI41" i="2"/>
  <c r="Z42" i="2"/>
  <c r="AA42" i="2"/>
  <c r="AB42" i="2"/>
  <c r="AC42" i="2"/>
  <c r="AD42" i="2"/>
  <c r="AE42" i="2"/>
  <c r="AF42" i="2"/>
  <c r="AG42" i="2"/>
  <c r="AH42" i="2"/>
  <c r="AI42" i="2"/>
  <c r="Z43" i="2"/>
  <c r="AA43" i="2"/>
  <c r="AB43" i="2"/>
  <c r="AC43" i="2"/>
  <c r="AD43" i="2"/>
  <c r="AE43" i="2"/>
  <c r="AF43" i="2"/>
  <c r="AG43" i="2"/>
  <c r="AH43" i="2"/>
  <c r="AI43" i="2"/>
  <c r="Z44" i="2"/>
  <c r="AA44" i="2"/>
  <c r="AB44" i="2"/>
  <c r="AC44" i="2"/>
  <c r="AD44" i="2"/>
  <c r="AE44" i="2"/>
  <c r="AF44" i="2"/>
  <c r="AG44" i="2"/>
  <c r="AH44" i="2"/>
  <c r="AI44" i="2"/>
  <c r="Z45" i="2"/>
  <c r="AA45" i="2"/>
  <c r="AB45" i="2"/>
  <c r="AC45" i="2"/>
  <c r="AD45" i="2"/>
  <c r="AE45" i="2"/>
  <c r="AF45" i="2"/>
  <c r="AG45" i="2"/>
  <c r="AH45" i="2"/>
  <c r="AI45" i="2"/>
  <c r="Z46" i="2"/>
  <c r="AA46" i="2"/>
  <c r="AB46" i="2"/>
  <c r="AC46" i="2"/>
  <c r="AD46" i="2"/>
  <c r="AE46" i="2"/>
  <c r="AF46" i="2"/>
  <c r="AG46" i="2"/>
  <c r="AH46" i="2"/>
  <c r="AI46" i="2"/>
  <c r="Z47" i="2"/>
  <c r="AA47" i="2"/>
  <c r="AB47" i="2"/>
  <c r="AC47" i="2"/>
  <c r="AD47" i="2"/>
  <c r="AE47" i="2"/>
  <c r="AF47" i="2"/>
  <c r="AG47" i="2"/>
  <c r="AH47" i="2"/>
  <c r="AI47" i="2"/>
  <c r="Z48" i="2"/>
  <c r="AA48" i="2"/>
  <c r="AB48" i="2"/>
  <c r="AC48" i="2"/>
  <c r="AD48" i="2"/>
  <c r="AE48" i="2"/>
  <c r="AF48" i="2"/>
  <c r="AG48" i="2"/>
  <c r="AH48" i="2"/>
  <c r="AI48" i="2"/>
  <c r="Z49" i="2"/>
  <c r="AA49" i="2"/>
  <c r="AB49" i="2"/>
  <c r="AC49" i="2"/>
  <c r="AD49" i="2"/>
  <c r="AE49" i="2"/>
  <c r="AF49" i="2"/>
  <c r="AG49" i="2"/>
  <c r="AH49" i="2"/>
  <c r="AI49" i="2"/>
  <c r="Z50" i="2"/>
  <c r="AA50" i="2"/>
  <c r="AB50" i="2"/>
  <c r="AC50" i="2"/>
  <c r="AD50" i="2"/>
  <c r="AE50" i="2"/>
  <c r="AF50" i="2"/>
  <c r="AG50" i="2"/>
  <c r="AH50" i="2"/>
  <c r="AI50" i="2"/>
  <c r="Z51" i="2"/>
  <c r="AA51" i="2"/>
  <c r="AB51" i="2"/>
  <c r="AC51" i="2"/>
  <c r="AD51" i="2"/>
  <c r="AE51" i="2"/>
  <c r="AF51" i="2"/>
  <c r="AG51" i="2"/>
  <c r="AH51" i="2"/>
  <c r="AI51" i="2"/>
  <c r="Z52" i="2"/>
  <c r="AA52" i="2"/>
  <c r="AB52" i="2"/>
  <c r="AC52" i="2"/>
  <c r="AD52" i="2"/>
  <c r="AE52" i="2"/>
  <c r="AF52" i="2"/>
  <c r="AG52" i="2"/>
  <c r="AH52" i="2"/>
  <c r="AI52" i="2"/>
  <c r="Z53" i="2"/>
  <c r="AA53" i="2"/>
  <c r="AB53" i="2"/>
  <c r="AC53" i="2"/>
  <c r="AD53" i="2"/>
  <c r="AE53" i="2"/>
  <c r="AF53" i="2"/>
  <c r="AG53" i="2"/>
  <c r="AH53" i="2"/>
  <c r="AI53" i="2"/>
  <c r="Z54" i="2"/>
  <c r="AA54" i="2"/>
  <c r="AB54" i="2"/>
  <c r="AC54" i="2"/>
  <c r="AD54" i="2"/>
  <c r="AE54" i="2"/>
  <c r="AF54" i="2"/>
  <c r="AG54" i="2"/>
  <c r="AH54" i="2"/>
  <c r="AI54" i="2"/>
  <c r="Z55" i="2"/>
  <c r="AA55" i="2"/>
  <c r="AB55" i="2"/>
  <c r="AC55" i="2"/>
  <c r="AD55" i="2"/>
  <c r="AE55" i="2"/>
  <c r="AF55" i="2"/>
  <c r="AG55" i="2"/>
  <c r="AH55" i="2"/>
  <c r="AI55" i="2"/>
  <c r="Z56" i="2"/>
  <c r="AA56" i="2"/>
  <c r="AB56" i="2"/>
  <c r="AC56" i="2"/>
  <c r="AD56" i="2"/>
  <c r="AE56" i="2"/>
  <c r="AF56" i="2"/>
  <c r="AG56" i="2"/>
  <c r="AH56" i="2"/>
  <c r="AI56" i="2"/>
  <c r="Z57" i="2"/>
  <c r="AA57" i="2"/>
  <c r="AB57" i="2"/>
  <c r="AC57" i="2"/>
  <c r="AD57" i="2"/>
  <c r="AE57" i="2"/>
  <c r="AF57" i="2"/>
  <c r="AG57" i="2"/>
  <c r="AH57" i="2"/>
  <c r="AI57" i="2"/>
  <c r="Z58" i="2"/>
  <c r="AA58" i="2"/>
  <c r="AB58" i="2"/>
  <c r="AC58" i="2"/>
  <c r="AD58" i="2"/>
  <c r="AE58" i="2"/>
  <c r="AF58" i="2"/>
  <c r="AG58" i="2"/>
  <c r="AH58" i="2"/>
  <c r="AI58" i="2"/>
  <c r="Z59" i="2"/>
  <c r="AA59" i="2"/>
  <c r="AB59" i="2"/>
  <c r="AC59" i="2"/>
  <c r="AD59" i="2"/>
  <c r="AE59" i="2"/>
  <c r="AF59" i="2"/>
  <c r="AG59" i="2"/>
  <c r="AH59" i="2"/>
  <c r="AI59" i="2"/>
  <c r="Z60" i="2"/>
  <c r="AA60" i="2"/>
  <c r="AB60" i="2"/>
  <c r="AC60" i="2"/>
  <c r="AD60" i="2"/>
  <c r="AE60" i="2"/>
  <c r="AF60" i="2"/>
  <c r="AG60" i="2"/>
  <c r="AH60" i="2"/>
  <c r="AI60" i="2"/>
  <c r="Z61" i="2"/>
  <c r="AA61" i="2"/>
  <c r="AB61" i="2"/>
  <c r="AC61" i="2"/>
  <c r="AD61" i="2"/>
  <c r="AE61" i="2"/>
  <c r="AF61" i="2"/>
  <c r="AG61" i="2"/>
  <c r="AH61" i="2"/>
  <c r="AI61" i="2"/>
  <c r="Z62" i="2"/>
  <c r="AA62" i="2"/>
  <c r="AB62" i="2"/>
  <c r="AC62" i="2"/>
  <c r="AD62" i="2"/>
  <c r="AE62" i="2"/>
  <c r="AF62" i="2"/>
  <c r="AG62" i="2"/>
  <c r="AH62" i="2"/>
  <c r="AI62" i="2"/>
  <c r="Z63" i="2"/>
  <c r="AA63" i="2"/>
  <c r="AB63" i="2"/>
  <c r="AC63" i="2"/>
  <c r="AD63" i="2"/>
  <c r="AE63" i="2"/>
  <c r="AF63" i="2"/>
  <c r="AG63" i="2"/>
  <c r="AH63" i="2"/>
  <c r="AI63" i="2"/>
  <c r="Z64" i="2"/>
  <c r="AA64" i="2"/>
  <c r="AB64" i="2"/>
  <c r="AC64" i="2"/>
  <c r="AD64" i="2"/>
  <c r="AE64" i="2"/>
  <c r="AF64" i="2"/>
  <c r="AG64" i="2"/>
  <c r="AH64" i="2"/>
  <c r="AI64" i="2"/>
  <c r="Z65" i="2"/>
  <c r="AA65" i="2"/>
  <c r="AB65" i="2"/>
  <c r="AC65" i="2"/>
  <c r="AD65" i="2"/>
  <c r="AE65" i="2"/>
  <c r="AF65" i="2"/>
  <c r="AG65" i="2"/>
  <c r="AH65" i="2"/>
  <c r="AI65" i="2"/>
  <c r="Z66" i="2"/>
  <c r="AA66" i="2"/>
  <c r="AB66" i="2"/>
  <c r="AC66" i="2"/>
  <c r="AD66" i="2"/>
  <c r="AE66" i="2"/>
  <c r="AF66" i="2"/>
  <c r="AG66" i="2"/>
  <c r="AH66" i="2"/>
  <c r="AI66" i="2"/>
  <c r="Z67" i="2"/>
  <c r="AA67" i="2"/>
  <c r="AB67" i="2"/>
  <c r="AC67" i="2"/>
  <c r="AD67" i="2"/>
  <c r="AE67" i="2"/>
  <c r="AF67" i="2"/>
  <c r="AG67" i="2"/>
  <c r="AH67" i="2"/>
  <c r="AI67" i="2"/>
  <c r="Z68" i="2"/>
  <c r="AA68" i="2"/>
  <c r="AB68" i="2"/>
  <c r="AC68" i="2"/>
  <c r="AD68" i="2"/>
  <c r="AE68" i="2"/>
  <c r="AF68" i="2"/>
  <c r="AG68" i="2"/>
  <c r="AH68" i="2"/>
  <c r="AI68" i="2"/>
  <c r="Z69" i="2"/>
  <c r="AA69" i="2"/>
  <c r="AB69" i="2"/>
  <c r="AC69" i="2"/>
  <c r="AD69" i="2"/>
  <c r="AE69" i="2"/>
  <c r="AF69" i="2"/>
  <c r="AG69" i="2"/>
  <c r="AH69" i="2"/>
  <c r="AI69" i="2"/>
  <c r="Z70" i="2"/>
  <c r="AA70" i="2"/>
  <c r="AB70" i="2"/>
  <c r="AC70" i="2"/>
  <c r="AD70" i="2"/>
  <c r="AE70" i="2"/>
  <c r="AF70" i="2"/>
  <c r="AG70" i="2"/>
  <c r="AH70" i="2"/>
  <c r="AI70" i="2"/>
  <c r="Z71" i="2"/>
  <c r="AA71" i="2"/>
  <c r="AB71" i="2"/>
  <c r="AC71" i="2"/>
  <c r="AD71" i="2"/>
  <c r="AE71" i="2"/>
  <c r="AF71" i="2"/>
  <c r="AG71" i="2"/>
  <c r="AH71" i="2"/>
  <c r="AI71" i="2"/>
  <c r="Z72" i="2"/>
  <c r="AA72" i="2"/>
  <c r="AB72" i="2"/>
  <c r="AC72" i="2"/>
  <c r="AD72" i="2"/>
  <c r="AE72" i="2"/>
  <c r="AF72" i="2"/>
  <c r="AG72" i="2"/>
  <c r="AH72" i="2"/>
  <c r="AI72" i="2"/>
  <c r="Z73" i="2"/>
  <c r="AA73" i="2"/>
  <c r="AB73" i="2"/>
  <c r="AC73" i="2"/>
  <c r="AD73" i="2"/>
  <c r="AE73" i="2"/>
  <c r="AF73" i="2"/>
  <c r="AG73" i="2"/>
  <c r="AH73" i="2"/>
  <c r="AI73" i="2"/>
  <c r="Z74" i="2"/>
  <c r="AA74" i="2"/>
  <c r="AB74" i="2"/>
  <c r="AC74" i="2"/>
  <c r="AD74" i="2"/>
  <c r="AE74" i="2"/>
  <c r="AF74" i="2"/>
  <c r="AG74" i="2"/>
  <c r="AH74" i="2"/>
  <c r="AI74" i="2"/>
  <c r="Z75" i="2"/>
  <c r="AA75" i="2"/>
  <c r="AB75" i="2"/>
  <c r="AC75" i="2"/>
  <c r="AD75" i="2"/>
  <c r="AE75" i="2"/>
  <c r="AF75" i="2"/>
  <c r="AG75" i="2"/>
  <c r="AH75" i="2"/>
  <c r="AI75" i="2"/>
  <c r="Z76" i="2"/>
  <c r="AA76" i="2"/>
  <c r="AB76" i="2"/>
  <c r="AC76" i="2"/>
  <c r="AD76" i="2"/>
  <c r="AE76" i="2"/>
  <c r="AF76" i="2"/>
  <c r="AG76" i="2"/>
  <c r="AH76" i="2"/>
  <c r="AI76" i="2"/>
  <c r="Z77" i="2"/>
  <c r="AA77" i="2"/>
  <c r="AB77" i="2"/>
  <c r="AC77" i="2"/>
  <c r="AD77" i="2"/>
  <c r="AE77" i="2"/>
  <c r="AF77" i="2"/>
  <c r="AG77" i="2"/>
  <c r="AH77" i="2"/>
  <c r="AI77" i="2"/>
  <c r="Z78" i="2"/>
  <c r="AA78" i="2"/>
  <c r="AB78" i="2"/>
  <c r="AC78" i="2"/>
  <c r="AD78" i="2"/>
  <c r="AE78" i="2"/>
  <c r="AF78" i="2"/>
  <c r="AG78" i="2"/>
  <c r="AH78" i="2"/>
  <c r="AI78" i="2"/>
  <c r="Z79" i="2"/>
  <c r="AA79" i="2"/>
  <c r="AB79" i="2"/>
  <c r="AC79" i="2"/>
  <c r="AD79" i="2"/>
  <c r="AE79" i="2"/>
  <c r="AF79" i="2"/>
  <c r="AG79" i="2"/>
  <c r="AH79" i="2"/>
  <c r="AI79" i="2"/>
  <c r="Z80" i="2"/>
  <c r="AA80" i="2"/>
  <c r="AB80" i="2"/>
  <c r="AC80" i="2"/>
  <c r="AD80" i="2"/>
  <c r="AE80" i="2"/>
  <c r="AF80" i="2"/>
  <c r="AG80" i="2"/>
  <c r="AH80" i="2"/>
  <c r="AI80" i="2"/>
  <c r="Z81" i="2"/>
  <c r="AA81" i="2"/>
  <c r="AB81" i="2"/>
  <c r="AC81" i="2"/>
  <c r="AD81" i="2"/>
  <c r="AE81" i="2"/>
  <c r="AF81" i="2"/>
  <c r="AG81" i="2"/>
  <c r="AH81" i="2"/>
  <c r="AI81" i="2"/>
  <c r="Z82" i="2"/>
  <c r="AA82" i="2"/>
  <c r="AB82" i="2"/>
  <c r="AC82" i="2"/>
  <c r="AD82" i="2"/>
  <c r="AE82" i="2"/>
  <c r="AF82" i="2"/>
  <c r="AG82" i="2"/>
  <c r="AH82" i="2"/>
  <c r="AI82" i="2"/>
  <c r="Z83" i="2"/>
  <c r="AA83" i="2"/>
  <c r="AB83" i="2"/>
  <c r="AC83" i="2"/>
  <c r="AD83" i="2"/>
  <c r="AE83" i="2"/>
  <c r="AF83" i="2"/>
  <c r="AG83" i="2"/>
  <c r="AH83" i="2"/>
  <c r="AI83" i="2"/>
  <c r="Z84" i="2"/>
  <c r="AA84" i="2"/>
  <c r="AB84" i="2"/>
  <c r="AC84" i="2"/>
  <c r="AD84" i="2"/>
  <c r="AE84" i="2"/>
  <c r="AF84" i="2"/>
  <c r="AG84" i="2"/>
  <c r="AH84" i="2"/>
  <c r="AI84" i="2"/>
  <c r="Z85" i="2"/>
  <c r="AA85" i="2"/>
  <c r="AB85" i="2"/>
  <c r="AC85" i="2"/>
  <c r="AD85" i="2"/>
  <c r="AE85" i="2"/>
  <c r="AF85" i="2"/>
  <c r="AG85" i="2"/>
  <c r="AH85" i="2"/>
  <c r="AI85" i="2"/>
  <c r="Z86" i="2"/>
  <c r="AA86" i="2"/>
  <c r="AB86" i="2"/>
  <c r="AC86" i="2"/>
  <c r="AD86" i="2"/>
  <c r="AE86" i="2"/>
  <c r="AF86" i="2"/>
  <c r="AG86" i="2"/>
  <c r="AH86" i="2"/>
  <c r="AI86" i="2"/>
  <c r="Z87" i="2"/>
  <c r="AA87" i="2"/>
  <c r="AB87" i="2"/>
  <c r="AC87" i="2"/>
  <c r="AD87" i="2"/>
  <c r="AE87" i="2"/>
  <c r="AF87" i="2"/>
  <c r="AG87" i="2"/>
  <c r="AH87" i="2"/>
  <c r="AI87" i="2"/>
  <c r="Z88" i="2"/>
  <c r="AA88" i="2"/>
  <c r="AB88" i="2"/>
  <c r="AC88" i="2"/>
  <c r="AD88" i="2"/>
  <c r="AE88" i="2"/>
  <c r="AF88" i="2"/>
  <c r="AG88" i="2"/>
  <c r="AH88" i="2"/>
  <c r="AI88" i="2"/>
  <c r="Z89" i="2"/>
  <c r="AA89" i="2"/>
  <c r="AB89" i="2"/>
  <c r="AC89" i="2"/>
  <c r="AD89" i="2"/>
  <c r="AE89" i="2"/>
  <c r="AF89" i="2"/>
  <c r="AG89" i="2"/>
  <c r="AH89" i="2"/>
  <c r="AI89" i="2"/>
  <c r="Z90" i="2"/>
  <c r="AA90" i="2"/>
  <c r="AB90" i="2"/>
  <c r="AC90" i="2"/>
  <c r="AD90" i="2"/>
  <c r="AE90" i="2"/>
  <c r="AF90" i="2"/>
  <c r="AG90" i="2"/>
  <c r="AH90" i="2"/>
  <c r="AI90" i="2"/>
  <c r="Z91" i="2"/>
  <c r="AA91" i="2"/>
  <c r="AB91" i="2"/>
  <c r="AC91" i="2"/>
  <c r="AD91" i="2"/>
  <c r="AE91" i="2"/>
  <c r="AF91" i="2"/>
  <c r="AG91" i="2"/>
  <c r="AH91" i="2"/>
  <c r="AI91" i="2"/>
  <c r="Z92" i="2"/>
  <c r="AA92" i="2"/>
  <c r="AB92" i="2"/>
  <c r="AC92" i="2"/>
  <c r="AD92" i="2"/>
  <c r="AE92" i="2"/>
  <c r="AF92" i="2"/>
  <c r="AG92" i="2"/>
  <c r="AH92" i="2"/>
  <c r="AI92" i="2"/>
  <c r="Z93" i="2"/>
  <c r="AA93" i="2"/>
  <c r="AB93" i="2"/>
  <c r="AC93" i="2"/>
  <c r="AD93" i="2"/>
  <c r="AE93" i="2"/>
  <c r="AF93" i="2"/>
  <c r="AG93" i="2"/>
  <c r="AH93" i="2"/>
  <c r="AI93" i="2"/>
  <c r="Z94" i="2"/>
  <c r="AA94" i="2"/>
  <c r="AB94" i="2"/>
  <c r="AC94" i="2"/>
  <c r="AD94" i="2"/>
  <c r="AE94" i="2"/>
  <c r="AF94" i="2"/>
  <c r="AG94" i="2"/>
  <c r="AH94" i="2"/>
  <c r="AI94" i="2"/>
  <c r="Z95" i="2"/>
  <c r="AA95" i="2"/>
  <c r="AB95" i="2"/>
  <c r="AC95" i="2"/>
  <c r="AD95" i="2"/>
  <c r="AE95" i="2"/>
  <c r="AF95" i="2"/>
  <c r="AG95" i="2"/>
  <c r="AH95" i="2"/>
  <c r="AI95" i="2"/>
  <c r="Z96" i="2"/>
  <c r="AA96" i="2"/>
  <c r="AB96" i="2"/>
  <c r="AC96" i="2"/>
  <c r="AD96" i="2"/>
  <c r="AE96" i="2"/>
  <c r="AF96" i="2"/>
  <c r="AG96" i="2"/>
  <c r="AH96" i="2"/>
  <c r="AI96" i="2"/>
  <c r="Z97" i="2"/>
  <c r="AA97" i="2"/>
  <c r="AB97" i="2"/>
  <c r="AC97" i="2"/>
  <c r="AD97" i="2"/>
  <c r="AE97" i="2"/>
  <c r="AF97" i="2"/>
  <c r="AG97" i="2"/>
  <c r="AH97" i="2"/>
  <c r="AI97" i="2"/>
  <c r="Z98" i="2"/>
  <c r="AA98" i="2"/>
  <c r="AB98" i="2"/>
  <c r="AC98" i="2"/>
  <c r="AD98" i="2"/>
  <c r="AE98" i="2"/>
  <c r="AF98" i="2"/>
  <c r="AG98" i="2"/>
  <c r="AH98" i="2"/>
  <c r="AI98" i="2"/>
  <c r="Z99" i="2"/>
  <c r="AA99" i="2"/>
  <c r="AB99" i="2"/>
  <c r="AC99" i="2"/>
  <c r="AD99" i="2"/>
  <c r="AE99" i="2"/>
  <c r="AF99" i="2"/>
  <c r="AG99" i="2"/>
  <c r="AH99" i="2"/>
  <c r="AI99" i="2"/>
  <c r="Z100" i="2"/>
  <c r="AA100" i="2"/>
  <c r="AB100" i="2"/>
  <c r="AC100" i="2"/>
  <c r="AD100" i="2"/>
  <c r="AE100" i="2"/>
  <c r="AF100" i="2"/>
  <c r="AG100" i="2"/>
  <c r="AH100" i="2"/>
  <c r="AI100" i="2"/>
  <c r="Z101" i="2"/>
  <c r="AA101" i="2"/>
  <c r="AB101" i="2"/>
  <c r="AC101" i="2"/>
  <c r="AD101" i="2"/>
  <c r="AE101" i="2"/>
  <c r="AF101" i="2"/>
  <c r="AG101" i="2"/>
  <c r="AH101" i="2"/>
  <c r="AI101" i="2"/>
  <c r="Z102" i="2"/>
  <c r="AA102" i="2"/>
  <c r="AB102" i="2"/>
  <c r="AC102" i="2"/>
  <c r="AD102" i="2"/>
  <c r="AE102" i="2"/>
  <c r="AF102" i="2"/>
  <c r="AG102" i="2"/>
  <c r="AH102" i="2"/>
  <c r="AI102" i="2"/>
  <c r="Z103" i="2"/>
  <c r="AA103" i="2"/>
  <c r="AB103" i="2"/>
  <c r="AC103" i="2"/>
  <c r="AD103" i="2"/>
  <c r="AE103" i="2"/>
  <c r="AF103" i="2"/>
  <c r="AG103" i="2"/>
  <c r="AH103" i="2"/>
  <c r="AI103" i="2"/>
  <c r="Z104" i="2"/>
  <c r="AA104" i="2"/>
  <c r="AB104" i="2"/>
  <c r="AC104" i="2"/>
  <c r="AD104" i="2"/>
  <c r="AE104" i="2"/>
  <c r="AF104" i="2"/>
  <c r="AG104" i="2"/>
  <c r="AH104" i="2"/>
  <c r="AI104" i="2"/>
  <c r="Z105" i="2"/>
  <c r="AA105" i="2"/>
  <c r="AB105" i="2"/>
  <c r="AC105" i="2"/>
  <c r="AD105" i="2"/>
  <c r="AE105" i="2"/>
  <c r="AF105" i="2"/>
  <c r="AG105" i="2"/>
  <c r="AH105" i="2"/>
  <c r="AI105" i="2"/>
  <c r="Z106" i="2"/>
  <c r="AA106" i="2"/>
  <c r="AB106" i="2"/>
  <c r="AC106" i="2"/>
  <c r="AD106" i="2"/>
  <c r="AE106" i="2"/>
  <c r="AF106" i="2"/>
  <c r="AG106" i="2"/>
  <c r="AH106" i="2"/>
  <c r="AI106" i="2"/>
  <c r="Z107" i="2"/>
  <c r="AA107" i="2"/>
  <c r="AB107" i="2"/>
  <c r="AC107" i="2"/>
  <c r="AD107" i="2"/>
  <c r="AE107" i="2"/>
  <c r="AF107" i="2"/>
  <c r="AG107" i="2"/>
  <c r="AH107" i="2"/>
  <c r="AI107" i="2"/>
  <c r="Z108" i="2"/>
  <c r="AA108" i="2"/>
  <c r="AB108" i="2"/>
  <c r="AC108" i="2"/>
  <c r="AD108" i="2"/>
  <c r="AE108" i="2"/>
  <c r="AF108" i="2"/>
  <c r="AG108" i="2"/>
  <c r="AH108" i="2"/>
  <c r="AI108" i="2"/>
  <c r="Z109" i="2"/>
  <c r="AA109" i="2"/>
  <c r="AB109" i="2"/>
  <c r="AC109" i="2"/>
  <c r="AD109" i="2"/>
  <c r="AE109" i="2"/>
  <c r="AF109" i="2"/>
  <c r="AG109" i="2"/>
  <c r="AH109" i="2"/>
  <c r="AI109" i="2"/>
  <c r="Z110" i="2"/>
  <c r="AA110" i="2"/>
  <c r="AB110" i="2"/>
  <c r="AC110" i="2"/>
  <c r="AD110" i="2"/>
  <c r="AE110" i="2"/>
  <c r="AF110" i="2"/>
  <c r="AG110" i="2"/>
  <c r="AH110" i="2"/>
  <c r="AI110" i="2"/>
  <c r="Z111" i="2"/>
  <c r="AA111" i="2"/>
  <c r="AB111" i="2"/>
  <c r="AC111" i="2"/>
  <c r="AD111" i="2"/>
  <c r="AE111" i="2"/>
  <c r="AF111" i="2"/>
  <c r="AG111" i="2"/>
  <c r="AH111" i="2"/>
  <c r="AI111" i="2"/>
  <c r="Z112" i="2"/>
  <c r="AA112" i="2"/>
  <c r="AB112" i="2"/>
  <c r="AC112" i="2"/>
  <c r="AD112" i="2"/>
  <c r="AE112" i="2"/>
  <c r="AF112" i="2"/>
  <c r="AG112" i="2"/>
  <c r="AH112" i="2"/>
  <c r="AI112" i="2"/>
  <c r="Z113" i="2"/>
  <c r="AA113" i="2"/>
  <c r="AB113" i="2"/>
  <c r="AC113" i="2"/>
  <c r="AD113" i="2"/>
  <c r="AE113" i="2"/>
  <c r="AF113" i="2"/>
  <c r="AG113" i="2"/>
  <c r="AH113" i="2"/>
  <c r="AI113" i="2"/>
  <c r="Z114" i="2"/>
  <c r="AA114" i="2"/>
  <c r="AB114" i="2"/>
  <c r="AC114" i="2"/>
  <c r="AD114" i="2"/>
  <c r="AE114" i="2"/>
  <c r="AF114" i="2"/>
  <c r="AG114" i="2"/>
  <c r="AH114" i="2"/>
  <c r="AI114" i="2"/>
  <c r="Z115" i="2"/>
  <c r="AA115" i="2"/>
  <c r="AB115" i="2"/>
  <c r="AC115" i="2"/>
  <c r="AD115" i="2"/>
  <c r="AE115" i="2"/>
  <c r="AF115" i="2"/>
  <c r="AG115" i="2"/>
  <c r="AH115" i="2"/>
  <c r="AI115" i="2"/>
  <c r="Z116" i="2"/>
  <c r="AA116" i="2"/>
  <c r="AB116" i="2"/>
  <c r="AC116" i="2"/>
  <c r="AD116" i="2"/>
  <c r="AE116" i="2"/>
  <c r="AF116" i="2"/>
  <c r="AG116" i="2"/>
  <c r="AH116" i="2"/>
  <c r="AI116" i="2"/>
  <c r="Z117" i="2"/>
  <c r="AA117" i="2"/>
  <c r="AB117" i="2"/>
  <c r="AC117" i="2"/>
  <c r="AD117" i="2"/>
  <c r="AE117" i="2"/>
  <c r="AF117" i="2"/>
  <c r="AG117" i="2"/>
  <c r="AH117" i="2"/>
  <c r="AI117" i="2"/>
  <c r="Z118" i="2"/>
  <c r="AA118" i="2"/>
  <c r="AB118" i="2"/>
  <c r="AC118" i="2"/>
  <c r="AD118" i="2"/>
  <c r="AE118" i="2"/>
  <c r="AF118" i="2"/>
  <c r="AG118" i="2"/>
  <c r="AH118" i="2"/>
  <c r="AI118" i="2"/>
  <c r="Z119" i="2"/>
  <c r="AA119" i="2"/>
  <c r="AB119" i="2"/>
  <c r="AC119" i="2"/>
  <c r="AD119" i="2"/>
  <c r="AE119" i="2"/>
  <c r="AF119" i="2"/>
  <c r="AG119" i="2"/>
  <c r="AH119" i="2"/>
  <c r="AI119" i="2"/>
  <c r="Z120" i="2"/>
  <c r="AA120" i="2"/>
  <c r="AB120" i="2"/>
  <c r="AC120" i="2"/>
  <c r="AD120" i="2"/>
  <c r="AE120" i="2"/>
  <c r="AF120" i="2"/>
  <c r="AG120" i="2"/>
  <c r="AH120" i="2"/>
  <c r="AI120" i="2"/>
  <c r="Z121" i="2"/>
  <c r="AA121" i="2"/>
  <c r="AB121" i="2"/>
  <c r="AC121" i="2"/>
  <c r="AD121" i="2"/>
  <c r="AE121" i="2"/>
  <c r="AF121" i="2"/>
  <c r="AG121" i="2"/>
  <c r="AH121" i="2"/>
  <c r="AI121" i="2"/>
  <c r="Z122" i="2"/>
  <c r="AA122" i="2"/>
  <c r="AB122" i="2"/>
  <c r="AC122" i="2"/>
  <c r="AD122" i="2"/>
  <c r="AE122" i="2"/>
  <c r="AF122" i="2"/>
  <c r="AG122" i="2"/>
  <c r="AH122" i="2"/>
  <c r="AI122" i="2"/>
  <c r="Z123" i="2"/>
  <c r="AA123" i="2"/>
  <c r="AB123" i="2"/>
  <c r="AC123" i="2"/>
  <c r="AD123" i="2"/>
  <c r="AE123" i="2"/>
  <c r="AF123" i="2"/>
  <c r="AG123" i="2"/>
  <c r="AH123" i="2"/>
  <c r="AI123" i="2"/>
  <c r="Z124" i="2"/>
  <c r="AA124" i="2"/>
  <c r="AB124" i="2"/>
  <c r="AC124" i="2"/>
  <c r="AD124" i="2"/>
  <c r="AE124" i="2"/>
  <c r="AF124" i="2"/>
  <c r="AG124" i="2"/>
  <c r="AH124" i="2"/>
  <c r="AI124" i="2"/>
  <c r="Z125" i="2"/>
  <c r="AA125" i="2"/>
  <c r="AB125" i="2"/>
  <c r="AC125" i="2"/>
  <c r="AD125" i="2"/>
  <c r="AE125" i="2"/>
  <c r="AF125" i="2"/>
  <c r="AG125" i="2"/>
  <c r="AH125" i="2"/>
  <c r="AI125" i="2"/>
  <c r="Z126" i="2"/>
  <c r="AA126" i="2"/>
  <c r="AB126" i="2"/>
  <c r="AC126" i="2"/>
  <c r="AD126" i="2"/>
  <c r="AE126" i="2"/>
  <c r="AF126" i="2"/>
  <c r="AG126" i="2"/>
  <c r="AH126" i="2"/>
  <c r="AI126" i="2"/>
  <c r="Z127" i="2"/>
  <c r="AA127" i="2"/>
  <c r="AB127" i="2"/>
  <c r="AC127" i="2"/>
  <c r="AD127" i="2"/>
  <c r="AE127" i="2"/>
  <c r="AF127" i="2"/>
  <c r="AG127" i="2"/>
  <c r="AH127" i="2"/>
  <c r="AI127" i="2"/>
  <c r="Z128" i="2"/>
  <c r="AA128" i="2"/>
  <c r="AB128" i="2"/>
  <c r="AC128" i="2"/>
  <c r="AD128" i="2"/>
  <c r="AE128" i="2"/>
  <c r="AF128" i="2"/>
  <c r="AG128" i="2"/>
  <c r="AH128" i="2"/>
  <c r="AI128" i="2"/>
  <c r="Z129" i="2"/>
  <c r="AA129" i="2"/>
  <c r="AB129" i="2"/>
  <c r="AC129" i="2"/>
  <c r="AD129" i="2"/>
  <c r="AE129" i="2"/>
  <c r="AF129" i="2"/>
  <c r="AG129" i="2"/>
  <c r="AH129" i="2"/>
  <c r="AI129" i="2"/>
  <c r="Z130" i="2"/>
  <c r="AA130" i="2"/>
  <c r="AB130" i="2"/>
  <c r="AC130" i="2"/>
  <c r="AD130" i="2"/>
  <c r="AE130" i="2"/>
  <c r="AF130" i="2"/>
  <c r="AG130" i="2"/>
  <c r="AH130" i="2"/>
  <c r="AI130" i="2"/>
  <c r="Z131" i="2"/>
  <c r="AA131" i="2"/>
  <c r="AB131" i="2"/>
  <c r="AC131" i="2"/>
  <c r="AD131" i="2"/>
  <c r="AE131" i="2"/>
  <c r="AF131" i="2"/>
  <c r="AG131" i="2"/>
  <c r="AH131" i="2"/>
  <c r="AI131" i="2"/>
  <c r="Z132" i="2"/>
  <c r="AA132" i="2"/>
  <c r="AB132" i="2"/>
  <c r="AC132" i="2"/>
  <c r="AD132" i="2"/>
  <c r="AE132" i="2"/>
  <c r="AF132" i="2"/>
  <c r="AG132" i="2"/>
  <c r="AH132" i="2"/>
  <c r="AI132" i="2"/>
  <c r="Z133" i="2"/>
  <c r="AA133" i="2"/>
  <c r="AB133" i="2"/>
  <c r="AC133" i="2"/>
  <c r="AD133" i="2"/>
  <c r="AE133" i="2"/>
  <c r="AF133" i="2"/>
  <c r="AG133" i="2"/>
  <c r="AH133" i="2"/>
  <c r="AI133" i="2"/>
  <c r="Z134" i="2"/>
  <c r="AA134" i="2"/>
  <c r="AB134" i="2"/>
  <c r="AC134" i="2"/>
  <c r="AD134" i="2"/>
  <c r="AE134" i="2"/>
  <c r="AF134" i="2"/>
  <c r="AG134" i="2"/>
  <c r="AH134" i="2"/>
  <c r="AI134" i="2"/>
  <c r="Z135" i="2"/>
  <c r="AA135" i="2"/>
  <c r="AB135" i="2"/>
  <c r="AC135" i="2"/>
  <c r="AD135" i="2"/>
  <c r="AE135" i="2"/>
  <c r="AF135" i="2"/>
  <c r="AG135" i="2"/>
  <c r="AH135" i="2"/>
  <c r="AI135" i="2"/>
  <c r="Z136" i="2"/>
  <c r="AA136" i="2"/>
  <c r="AB136" i="2"/>
  <c r="AC136" i="2"/>
  <c r="AD136" i="2"/>
  <c r="AE136" i="2"/>
  <c r="AF136" i="2"/>
  <c r="AG136" i="2"/>
  <c r="AH136" i="2"/>
  <c r="AI136" i="2"/>
  <c r="Z137" i="2"/>
  <c r="AA137" i="2"/>
  <c r="AB137" i="2"/>
  <c r="AC137" i="2"/>
  <c r="AD137" i="2"/>
  <c r="AE137" i="2"/>
  <c r="AF137" i="2"/>
  <c r="AG137" i="2"/>
  <c r="AH137" i="2"/>
  <c r="AI137" i="2"/>
  <c r="Z138" i="2"/>
  <c r="AA138" i="2"/>
  <c r="AB138" i="2"/>
  <c r="AC138" i="2"/>
  <c r="AD138" i="2"/>
  <c r="AE138" i="2"/>
  <c r="AF138" i="2"/>
  <c r="AG138" i="2"/>
  <c r="AH138" i="2"/>
  <c r="AI138" i="2"/>
  <c r="Z139" i="2"/>
  <c r="AA139" i="2"/>
  <c r="AB139" i="2"/>
  <c r="AC139" i="2"/>
  <c r="AD139" i="2"/>
  <c r="AE139" i="2"/>
  <c r="AF139" i="2"/>
  <c r="AG139" i="2"/>
  <c r="AH139" i="2"/>
  <c r="AI139" i="2"/>
  <c r="Z140" i="2"/>
  <c r="AA140" i="2"/>
  <c r="AB140" i="2"/>
  <c r="AC140" i="2"/>
  <c r="AD140" i="2"/>
  <c r="AE140" i="2"/>
  <c r="AF140" i="2"/>
  <c r="AG140" i="2"/>
  <c r="AH140" i="2"/>
  <c r="AI140" i="2"/>
  <c r="Z141" i="2"/>
  <c r="AA141" i="2"/>
  <c r="AB141" i="2"/>
  <c r="AC141" i="2"/>
  <c r="AD141" i="2"/>
  <c r="AE141" i="2"/>
  <c r="AF141" i="2"/>
  <c r="AG141" i="2"/>
  <c r="AH141" i="2"/>
  <c r="AI141" i="2"/>
  <c r="Z142" i="2"/>
  <c r="AA142" i="2"/>
  <c r="AB142" i="2"/>
  <c r="AC142" i="2"/>
  <c r="AD142" i="2"/>
  <c r="AE142" i="2"/>
  <c r="AF142" i="2"/>
  <c r="AG142" i="2"/>
  <c r="AH142" i="2"/>
  <c r="AI142" i="2"/>
  <c r="Z143" i="2"/>
  <c r="AA143" i="2"/>
  <c r="AB143" i="2"/>
  <c r="AC143" i="2"/>
  <c r="AD143" i="2"/>
  <c r="AE143" i="2"/>
  <c r="AF143" i="2"/>
  <c r="AG143" i="2"/>
  <c r="AH143" i="2"/>
  <c r="AI143" i="2"/>
  <c r="Z144" i="2"/>
  <c r="AA144" i="2"/>
  <c r="AB144" i="2"/>
  <c r="AC144" i="2"/>
  <c r="AD144" i="2"/>
  <c r="AE144" i="2"/>
  <c r="AF144" i="2"/>
  <c r="AG144" i="2"/>
  <c r="AH144" i="2"/>
  <c r="AI144" i="2"/>
  <c r="Z145" i="2"/>
  <c r="AA145" i="2"/>
  <c r="AB145" i="2"/>
  <c r="AC145" i="2"/>
  <c r="AD145" i="2"/>
  <c r="AE145" i="2"/>
  <c r="AF145" i="2"/>
  <c r="AG145" i="2"/>
  <c r="AH145" i="2"/>
  <c r="AI145" i="2"/>
  <c r="Z146" i="2"/>
  <c r="AA146" i="2"/>
  <c r="AB146" i="2"/>
  <c r="AC146" i="2"/>
  <c r="AD146" i="2"/>
  <c r="AE146" i="2"/>
  <c r="AF146" i="2"/>
  <c r="AG146" i="2"/>
  <c r="AH146" i="2"/>
  <c r="AI146" i="2"/>
  <c r="Z147" i="2"/>
  <c r="AA147" i="2"/>
  <c r="AB147" i="2"/>
  <c r="AC147" i="2"/>
  <c r="AD147" i="2"/>
  <c r="AE147" i="2"/>
  <c r="AF147" i="2"/>
  <c r="AG147" i="2"/>
  <c r="AH147" i="2"/>
  <c r="AI147" i="2"/>
  <c r="Z148" i="2"/>
  <c r="AA148" i="2"/>
  <c r="AB148" i="2"/>
  <c r="AC148" i="2"/>
  <c r="AD148" i="2"/>
  <c r="AE148" i="2"/>
  <c r="AF148" i="2"/>
  <c r="AG148" i="2"/>
  <c r="AH148" i="2"/>
  <c r="AI148" i="2"/>
  <c r="Z149" i="2"/>
  <c r="AA149" i="2"/>
  <c r="AB149" i="2"/>
  <c r="AC149" i="2"/>
  <c r="AD149" i="2"/>
  <c r="AE149" i="2"/>
  <c r="AF149" i="2"/>
  <c r="AG149" i="2"/>
  <c r="AH149" i="2"/>
  <c r="AI149" i="2"/>
  <c r="Z150" i="2"/>
  <c r="AA150" i="2"/>
  <c r="AB150" i="2"/>
  <c r="AC150" i="2"/>
  <c r="AD150" i="2"/>
  <c r="AE150" i="2"/>
  <c r="AF150" i="2"/>
  <c r="AG150" i="2"/>
  <c r="AH150" i="2"/>
  <c r="AI150" i="2"/>
  <c r="Z151" i="2"/>
  <c r="AA151" i="2"/>
  <c r="AB151" i="2"/>
  <c r="AC151" i="2"/>
  <c r="AD151" i="2"/>
  <c r="AE151" i="2"/>
  <c r="AF151" i="2"/>
  <c r="AG151" i="2"/>
  <c r="AH151" i="2"/>
  <c r="AI151" i="2"/>
  <c r="Z152" i="2"/>
  <c r="AA152" i="2"/>
  <c r="AB152" i="2"/>
  <c r="AC152" i="2"/>
  <c r="AD152" i="2"/>
  <c r="AE152" i="2"/>
  <c r="AF152" i="2"/>
  <c r="AG152" i="2"/>
  <c r="AH152" i="2"/>
  <c r="AI152" i="2"/>
  <c r="Z153" i="2"/>
  <c r="AA153" i="2"/>
  <c r="AB153" i="2"/>
  <c r="AC153" i="2"/>
  <c r="AD153" i="2"/>
  <c r="AE153" i="2"/>
  <c r="AF153" i="2"/>
  <c r="AG153" i="2"/>
  <c r="AH153" i="2"/>
  <c r="AI153" i="2"/>
  <c r="Z154" i="2"/>
  <c r="AA154" i="2"/>
  <c r="AB154" i="2"/>
  <c r="AC154" i="2"/>
  <c r="AD154" i="2"/>
  <c r="AE154" i="2"/>
  <c r="AF154" i="2"/>
  <c r="AG154" i="2"/>
  <c r="AH154" i="2"/>
  <c r="AI154" i="2"/>
  <c r="Z155" i="2"/>
  <c r="AA155" i="2"/>
  <c r="AB155" i="2"/>
  <c r="AC155" i="2"/>
  <c r="AD155" i="2"/>
  <c r="AE155" i="2"/>
  <c r="AF155" i="2"/>
  <c r="AG155" i="2"/>
  <c r="AH155" i="2"/>
  <c r="AI155" i="2"/>
  <c r="Z156" i="2"/>
  <c r="AA156" i="2"/>
  <c r="AB156" i="2"/>
  <c r="AC156" i="2"/>
  <c r="AD156" i="2"/>
  <c r="AE156" i="2"/>
  <c r="AF156" i="2"/>
  <c r="AG156" i="2"/>
  <c r="AH156" i="2"/>
  <c r="AI156" i="2"/>
  <c r="Z157" i="2"/>
  <c r="AA157" i="2"/>
  <c r="AB157" i="2"/>
  <c r="AC157" i="2"/>
  <c r="AD157" i="2"/>
  <c r="AE157" i="2"/>
  <c r="AF157" i="2"/>
  <c r="AG157" i="2"/>
  <c r="AH157" i="2"/>
  <c r="AI157" i="2"/>
  <c r="Z158" i="2"/>
  <c r="AA158" i="2"/>
  <c r="AB158" i="2"/>
  <c r="AC158" i="2"/>
  <c r="AD158" i="2"/>
  <c r="AE158" i="2"/>
  <c r="AF158" i="2"/>
  <c r="AG158" i="2"/>
  <c r="AH158" i="2"/>
  <c r="AI158" i="2"/>
  <c r="Z159" i="2"/>
  <c r="AA159" i="2"/>
  <c r="AB159" i="2"/>
  <c r="AC159" i="2"/>
  <c r="AD159" i="2"/>
  <c r="AE159" i="2"/>
  <c r="AF159" i="2"/>
  <c r="AG159" i="2"/>
  <c r="AH159" i="2"/>
  <c r="AI159" i="2"/>
  <c r="Z160" i="2"/>
  <c r="AA160" i="2"/>
  <c r="AB160" i="2"/>
  <c r="AC160" i="2"/>
  <c r="AD160" i="2"/>
  <c r="AE160" i="2"/>
  <c r="AF160" i="2"/>
  <c r="AG160" i="2"/>
  <c r="AH160" i="2"/>
  <c r="AI160" i="2"/>
  <c r="Z161" i="2"/>
  <c r="AA161" i="2"/>
  <c r="AB161" i="2"/>
  <c r="AC161" i="2"/>
  <c r="AD161" i="2"/>
  <c r="AE161" i="2"/>
  <c r="AF161" i="2"/>
  <c r="AG161" i="2"/>
  <c r="AH161" i="2"/>
  <c r="AI161" i="2"/>
  <c r="Z162" i="2"/>
  <c r="AA162" i="2"/>
  <c r="AB162" i="2"/>
  <c r="AC162" i="2"/>
  <c r="AD162" i="2"/>
  <c r="AE162" i="2"/>
  <c r="AF162" i="2"/>
  <c r="AG162" i="2"/>
  <c r="AH162" i="2"/>
  <c r="AI162" i="2"/>
  <c r="Z163" i="2"/>
  <c r="AA163" i="2"/>
  <c r="AB163" i="2"/>
  <c r="AC163" i="2"/>
  <c r="AD163" i="2"/>
  <c r="AE163" i="2"/>
  <c r="AF163" i="2"/>
  <c r="AG163" i="2"/>
  <c r="AH163" i="2"/>
  <c r="AI163" i="2"/>
  <c r="Z164" i="2"/>
  <c r="AA164" i="2"/>
  <c r="AB164" i="2"/>
  <c r="AC164" i="2"/>
  <c r="AD164" i="2"/>
  <c r="AE164" i="2"/>
  <c r="AF164" i="2"/>
  <c r="AG164" i="2"/>
  <c r="AH164" i="2"/>
  <c r="AI164" i="2"/>
  <c r="Z165" i="2"/>
  <c r="AA165" i="2"/>
  <c r="AB165" i="2"/>
  <c r="AC165" i="2"/>
  <c r="AD165" i="2"/>
  <c r="AE165" i="2"/>
  <c r="AF165" i="2"/>
  <c r="AG165" i="2"/>
  <c r="AH165" i="2"/>
  <c r="AI165" i="2"/>
  <c r="Z166" i="2"/>
  <c r="AA166" i="2"/>
  <c r="AB166" i="2"/>
  <c r="AC166" i="2"/>
  <c r="AD166" i="2"/>
  <c r="AE166" i="2"/>
  <c r="AF166" i="2"/>
  <c r="AG166" i="2"/>
  <c r="AH166" i="2"/>
  <c r="AI166" i="2"/>
  <c r="Z167" i="2"/>
  <c r="AA167" i="2"/>
  <c r="AB167" i="2"/>
  <c r="AC167" i="2"/>
  <c r="AD167" i="2"/>
  <c r="AE167" i="2"/>
  <c r="AF167" i="2"/>
  <c r="AG167" i="2"/>
  <c r="AH167" i="2"/>
  <c r="AI167" i="2"/>
  <c r="Z168" i="2"/>
  <c r="AA168" i="2"/>
  <c r="AB168" i="2"/>
  <c r="AC168" i="2"/>
  <c r="AD168" i="2"/>
  <c r="AE168" i="2"/>
  <c r="AF168" i="2"/>
  <c r="AG168" i="2"/>
  <c r="AH168" i="2"/>
  <c r="AI168" i="2"/>
  <c r="Z169" i="2"/>
  <c r="AA169" i="2"/>
  <c r="AB169" i="2"/>
  <c r="AC169" i="2"/>
  <c r="AD169" i="2"/>
  <c r="AE169" i="2"/>
  <c r="AF169" i="2"/>
  <c r="AG169" i="2"/>
  <c r="AH169" i="2"/>
  <c r="AI169" i="2"/>
  <c r="Z170" i="2"/>
  <c r="AA170" i="2"/>
  <c r="AB170" i="2"/>
  <c r="AC170" i="2"/>
  <c r="AD170" i="2"/>
  <c r="AE170" i="2"/>
  <c r="AF170" i="2"/>
  <c r="AG170" i="2"/>
  <c r="AH170" i="2"/>
  <c r="AI170" i="2"/>
  <c r="Z171" i="2"/>
  <c r="AA171" i="2"/>
  <c r="AB171" i="2"/>
  <c r="AC171" i="2"/>
  <c r="AD171" i="2"/>
  <c r="AE171" i="2"/>
  <c r="AF171" i="2"/>
  <c r="AG171" i="2"/>
  <c r="AH171" i="2"/>
  <c r="AI171" i="2"/>
  <c r="Z172" i="2"/>
  <c r="AA172" i="2"/>
  <c r="AB172" i="2"/>
  <c r="AC172" i="2"/>
  <c r="AD172" i="2"/>
  <c r="AE172" i="2"/>
  <c r="AF172" i="2"/>
  <c r="AG172" i="2"/>
  <c r="AH172" i="2"/>
  <c r="AI172" i="2"/>
  <c r="Z173" i="2"/>
  <c r="AA173" i="2"/>
  <c r="AB173" i="2"/>
  <c r="AC173" i="2"/>
  <c r="AD173" i="2"/>
  <c r="AE173" i="2"/>
  <c r="AF173" i="2"/>
  <c r="AG173" i="2"/>
  <c r="AH173" i="2"/>
  <c r="AI173" i="2"/>
  <c r="Z174" i="2"/>
  <c r="AA174" i="2"/>
  <c r="AB174" i="2"/>
  <c r="AC174" i="2"/>
  <c r="AD174" i="2"/>
  <c r="AE174" i="2"/>
  <c r="AF174" i="2"/>
  <c r="AG174" i="2"/>
  <c r="AH174" i="2"/>
  <c r="AI174" i="2"/>
  <c r="Z175" i="2"/>
  <c r="AA175" i="2"/>
  <c r="AB175" i="2"/>
  <c r="AC175" i="2"/>
  <c r="AD175" i="2"/>
  <c r="AE175" i="2"/>
  <c r="AF175" i="2"/>
  <c r="AG175" i="2"/>
  <c r="AH175" i="2"/>
  <c r="AI175" i="2"/>
  <c r="Z176" i="2"/>
  <c r="AA176" i="2"/>
  <c r="AB176" i="2"/>
  <c r="AC176" i="2"/>
  <c r="AD176" i="2"/>
  <c r="AE176" i="2"/>
  <c r="AF176" i="2"/>
  <c r="AG176" i="2"/>
  <c r="AH176" i="2"/>
  <c r="AI176" i="2"/>
  <c r="Z177" i="2"/>
  <c r="AA177" i="2"/>
  <c r="AB177" i="2"/>
  <c r="AC177" i="2"/>
  <c r="AD177" i="2"/>
  <c r="AE177" i="2"/>
  <c r="AF177" i="2"/>
  <c r="AG177" i="2"/>
  <c r="AH177" i="2"/>
  <c r="AI177" i="2"/>
  <c r="Z178" i="2"/>
  <c r="AA178" i="2"/>
  <c r="AB178" i="2"/>
  <c r="AC178" i="2"/>
  <c r="AD178" i="2"/>
  <c r="AE178" i="2"/>
  <c r="AF178" i="2"/>
  <c r="AG178" i="2"/>
  <c r="AH178" i="2"/>
  <c r="AI178" i="2"/>
  <c r="Z179" i="2"/>
  <c r="AA179" i="2"/>
  <c r="AB179" i="2"/>
  <c r="AC179" i="2"/>
  <c r="AD179" i="2"/>
  <c r="AE179" i="2"/>
  <c r="AF179" i="2"/>
  <c r="AG179" i="2"/>
  <c r="AH179" i="2"/>
  <c r="AI179" i="2"/>
  <c r="Z180" i="2"/>
  <c r="AA180" i="2"/>
  <c r="AB180" i="2"/>
  <c r="AC180" i="2"/>
  <c r="AD180" i="2"/>
  <c r="AE180" i="2"/>
  <c r="AF180" i="2"/>
  <c r="AG180" i="2"/>
  <c r="AH180" i="2"/>
  <c r="AI180" i="2"/>
  <c r="Z181" i="2"/>
  <c r="AA181" i="2"/>
  <c r="AB181" i="2"/>
  <c r="AC181" i="2"/>
  <c r="AD181" i="2"/>
  <c r="AE181" i="2"/>
  <c r="AF181" i="2"/>
  <c r="AG181" i="2"/>
  <c r="AH181" i="2"/>
  <c r="AI181" i="2"/>
  <c r="Z182" i="2"/>
  <c r="AA182" i="2"/>
  <c r="AB182" i="2"/>
  <c r="AC182" i="2"/>
  <c r="AD182" i="2"/>
  <c r="AE182" i="2"/>
  <c r="AF182" i="2"/>
  <c r="AG182" i="2"/>
  <c r="AH182" i="2"/>
  <c r="AI182" i="2"/>
  <c r="Z183" i="2"/>
  <c r="AA183" i="2"/>
  <c r="AB183" i="2"/>
  <c r="AC183" i="2"/>
  <c r="AD183" i="2"/>
  <c r="AE183" i="2"/>
  <c r="AF183" i="2"/>
  <c r="AG183" i="2"/>
  <c r="AH183" i="2"/>
  <c r="AI183" i="2"/>
  <c r="Z184" i="2"/>
  <c r="AA184" i="2"/>
  <c r="AB184" i="2"/>
  <c r="AC184" i="2"/>
  <c r="AD184" i="2"/>
  <c r="AE184" i="2"/>
  <c r="AF184" i="2"/>
  <c r="AG184" i="2"/>
  <c r="AH184" i="2"/>
  <c r="AI184" i="2"/>
  <c r="Z185" i="2"/>
  <c r="AA185" i="2"/>
  <c r="AB185" i="2"/>
  <c r="AC185" i="2"/>
  <c r="AD185" i="2"/>
  <c r="AE185" i="2"/>
  <c r="AF185" i="2"/>
  <c r="AG185" i="2"/>
  <c r="AH185" i="2"/>
  <c r="AI185" i="2"/>
  <c r="Z186" i="2"/>
  <c r="AA186" i="2"/>
  <c r="AB186" i="2"/>
  <c r="AC186" i="2"/>
  <c r="AD186" i="2"/>
  <c r="AE186" i="2"/>
  <c r="AF186" i="2"/>
  <c r="AG186" i="2"/>
  <c r="AH186" i="2"/>
  <c r="AI186" i="2"/>
  <c r="Z187" i="2"/>
  <c r="AA187" i="2"/>
  <c r="AB187" i="2"/>
  <c r="AC187" i="2"/>
  <c r="AD187" i="2"/>
  <c r="AE187" i="2"/>
  <c r="AF187" i="2"/>
  <c r="AG187" i="2"/>
  <c r="AH187" i="2"/>
  <c r="AI187" i="2"/>
  <c r="Z188" i="2"/>
  <c r="AA188" i="2"/>
  <c r="AB188" i="2"/>
  <c r="AC188" i="2"/>
  <c r="AD188" i="2"/>
  <c r="AE188" i="2"/>
  <c r="AF188" i="2"/>
  <c r="AG188" i="2"/>
  <c r="AH188" i="2"/>
  <c r="AI188" i="2"/>
  <c r="Z189" i="2"/>
  <c r="AA189" i="2"/>
  <c r="AB189" i="2"/>
  <c r="AC189" i="2"/>
  <c r="AD189" i="2"/>
  <c r="AE189" i="2"/>
  <c r="AF189" i="2"/>
  <c r="AG189" i="2"/>
  <c r="AH189" i="2"/>
  <c r="AI189" i="2"/>
  <c r="Z190" i="2"/>
  <c r="AA190" i="2"/>
  <c r="AB190" i="2"/>
  <c r="AC190" i="2"/>
  <c r="AD190" i="2"/>
  <c r="AE190" i="2"/>
  <c r="AF190" i="2"/>
  <c r="AG190" i="2"/>
  <c r="AH190" i="2"/>
  <c r="AI190" i="2"/>
  <c r="Z191" i="2"/>
  <c r="AA191" i="2"/>
  <c r="AB191" i="2"/>
  <c r="AC191" i="2"/>
  <c r="AD191" i="2"/>
  <c r="AE191" i="2"/>
  <c r="AF191" i="2"/>
  <c r="AG191" i="2"/>
  <c r="AH191" i="2"/>
  <c r="AI191" i="2"/>
  <c r="Z192" i="2"/>
  <c r="AA192" i="2"/>
  <c r="AB192" i="2"/>
  <c r="AC192" i="2"/>
  <c r="AD192" i="2"/>
  <c r="AE192" i="2"/>
  <c r="AF192" i="2"/>
  <c r="AG192" i="2"/>
  <c r="AH192" i="2"/>
  <c r="AI192" i="2"/>
  <c r="Z193" i="2"/>
  <c r="AA193" i="2"/>
  <c r="AB193" i="2"/>
  <c r="AC193" i="2"/>
  <c r="AD193" i="2"/>
  <c r="AE193" i="2"/>
  <c r="AF193" i="2"/>
  <c r="AG193" i="2"/>
  <c r="AH193" i="2"/>
  <c r="AI193" i="2"/>
  <c r="Z194" i="2"/>
  <c r="AA194" i="2"/>
  <c r="AB194" i="2"/>
  <c r="AC194" i="2"/>
  <c r="AD194" i="2"/>
  <c r="AE194" i="2"/>
  <c r="AF194" i="2"/>
  <c r="AG194" i="2"/>
  <c r="AH194" i="2"/>
  <c r="AI194" i="2"/>
  <c r="Z195" i="2"/>
  <c r="AA195" i="2"/>
  <c r="AB195" i="2"/>
  <c r="AC195" i="2"/>
  <c r="AD195" i="2"/>
  <c r="AE195" i="2"/>
  <c r="AF195" i="2"/>
  <c r="AG195" i="2"/>
  <c r="AH195" i="2"/>
  <c r="AI195" i="2"/>
  <c r="Z196" i="2"/>
  <c r="AA196" i="2"/>
  <c r="AB196" i="2"/>
  <c r="AC196" i="2"/>
  <c r="AD196" i="2"/>
  <c r="AE196" i="2"/>
  <c r="AF196" i="2"/>
  <c r="AG196" i="2"/>
  <c r="AH196" i="2"/>
  <c r="AI196" i="2"/>
  <c r="Z197" i="2"/>
  <c r="AA197" i="2"/>
  <c r="AB197" i="2"/>
  <c r="AC197" i="2"/>
  <c r="AD197" i="2"/>
  <c r="AE197" i="2"/>
  <c r="AF197" i="2"/>
  <c r="AG197" i="2"/>
  <c r="AH197" i="2"/>
  <c r="AI197" i="2"/>
  <c r="Z198" i="2"/>
  <c r="AA198" i="2"/>
  <c r="AB198" i="2"/>
  <c r="AC198" i="2"/>
  <c r="AD198" i="2"/>
  <c r="AE198" i="2"/>
  <c r="AF198" i="2"/>
  <c r="AG198" i="2"/>
  <c r="AH198" i="2"/>
  <c r="AI198" i="2"/>
  <c r="Z199" i="2"/>
  <c r="AA199" i="2"/>
  <c r="AB199" i="2"/>
  <c r="AC199" i="2"/>
  <c r="AD199" i="2"/>
  <c r="AE199" i="2"/>
  <c r="AF199" i="2"/>
  <c r="AG199" i="2"/>
  <c r="AH199" i="2"/>
  <c r="AI199" i="2"/>
  <c r="Z200" i="2"/>
  <c r="AA200" i="2"/>
  <c r="AB200" i="2"/>
  <c r="AC200" i="2"/>
  <c r="AD200" i="2"/>
  <c r="AE200" i="2"/>
  <c r="AF200" i="2"/>
  <c r="AG200" i="2"/>
  <c r="AH200" i="2"/>
  <c r="AI200" i="2"/>
  <c r="Z201" i="2"/>
  <c r="AA201" i="2"/>
  <c r="AB201" i="2"/>
  <c r="AC201" i="2"/>
  <c r="AD201" i="2"/>
  <c r="AE201" i="2"/>
  <c r="AF201" i="2"/>
  <c r="AG201" i="2"/>
  <c r="AH201" i="2"/>
  <c r="AI201" i="2"/>
  <c r="Z202" i="2"/>
  <c r="AA202" i="2"/>
  <c r="AB202" i="2"/>
  <c r="AC202" i="2"/>
  <c r="AD202" i="2"/>
  <c r="AE202" i="2"/>
  <c r="AF202" i="2"/>
  <c r="AG202" i="2"/>
  <c r="AH202" i="2"/>
  <c r="AI202" i="2"/>
  <c r="Z203" i="2"/>
  <c r="AA203" i="2"/>
  <c r="AB203" i="2"/>
  <c r="AC203" i="2"/>
  <c r="AD203" i="2"/>
  <c r="AE203" i="2"/>
  <c r="AF203" i="2"/>
  <c r="AG203" i="2"/>
  <c r="AH203" i="2"/>
  <c r="AI203" i="2"/>
  <c r="Z204" i="2"/>
  <c r="AA204" i="2"/>
  <c r="AB204" i="2"/>
  <c r="AC204" i="2"/>
  <c r="AD204" i="2"/>
  <c r="AE204" i="2"/>
  <c r="AF204" i="2"/>
  <c r="AG204" i="2"/>
  <c r="AH204" i="2"/>
  <c r="AI204" i="2"/>
  <c r="Z205" i="2"/>
  <c r="AA205" i="2"/>
  <c r="AB205" i="2"/>
  <c r="AC205" i="2"/>
  <c r="AD205" i="2"/>
  <c r="AE205" i="2"/>
  <c r="AF205" i="2"/>
  <c r="AG205" i="2"/>
  <c r="AH205" i="2"/>
  <c r="AI205" i="2"/>
  <c r="Z206" i="2"/>
  <c r="AA206" i="2"/>
  <c r="AB206" i="2"/>
  <c r="AC206" i="2"/>
  <c r="AD206" i="2"/>
  <c r="AE206" i="2"/>
  <c r="AF206" i="2"/>
  <c r="AG206" i="2"/>
  <c r="AH206" i="2"/>
  <c r="AI206" i="2"/>
  <c r="Z207" i="2"/>
  <c r="AA207" i="2"/>
  <c r="AB207" i="2"/>
  <c r="AC207" i="2"/>
  <c r="AD207" i="2"/>
  <c r="AE207" i="2"/>
  <c r="AF207" i="2"/>
  <c r="AG207" i="2"/>
  <c r="AH207" i="2"/>
  <c r="AI207" i="2"/>
  <c r="Z208" i="2"/>
  <c r="AA208" i="2"/>
  <c r="AB208" i="2"/>
  <c r="AC208" i="2"/>
  <c r="AD208" i="2"/>
  <c r="AE208" i="2"/>
  <c r="AF208" i="2"/>
  <c r="AG208" i="2"/>
  <c r="AH208" i="2"/>
  <c r="AI208" i="2"/>
  <c r="Z209" i="2"/>
  <c r="AA209" i="2"/>
  <c r="AB209" i="2"/>
  <c r="AC209" i="2"/>
  <c r="AD209" i="2"/>
  <c r="AE209" i="2"/>
  <c r="AF209" i="2"/>
  <c r="AG209" i="2"/>
  <c r="AH209" i="2"/>
  <c r="AI209" i="2"/>
  <c r="Z210" i="2"/>
  <c r="AA210" i="2"/>
  <c r="AB210" i="2"/>
  <c r="AC210" i="2"/>
  <c r="AD210" i="2"/>
  <c r="AE210" i="2"/>
  <c r="AF210" i="2"/>
  <c r="AG210" i="2"/>
  <c r="AH210" i="2"/>
  <c r="AI210" i="2"/>
  <c r="Z211" i="2"/>
  <c r="AA211" i="2"/>
  <c r="AB211" i="2"/>
  <c r="AC211" i="2"/>
  <c r="AD211" i="2"/>
  <c r="AE211" i="2"/>
  <c r="AF211" i="2"/>
  <c r="AG211" i="2"/>
  <c r="AH211" i="2"/>
  <c r="AI211" i="2"/>
  <c r="Z212" i="2"/>
  <c r="AA212" i="2"/>
  <c r="AB212" i="2"/>
  <c r="AC212" i="2"/>
  <c r="AD212" i="2"/>
  <c r="AE212" i="2"/>
  <c r="AF212" i="2"/>
  <c r="AG212" i="2"/>
  <c r="AH212" i="2"/>
  <c r="AI212" i="2"/>
  <c r="Z213" i="2"/>
  <c r="AA213" i="2"/>
  <c r="AB213" i="2"/>
  <c r="AC213" i="2"/>
  <c r="AD213" i="2"/>
  <c r="AE213" i="2"/>
  <c r="AF213" i="2"/>
  <c r="AG213" i="2"/>
  <c r="AH213" i="2"/>
  <c r="AI213" i="2"/>
  <c r="Z214" i="2"/>
  <c r="AA214" i="2"/>
  <c r="AB214" i="2"/>
  <c r="AC214" i="2"/>
  <c r="AD214" i="2"/>
  <c r="AE214" i="2"/>
  <c r="AF214" i="2"/>
  <c r="AG214" i="2"/>
  <c r="AH214" i="2"/>
  <c r="AI214" i="2"/>
  <c r="Z215" i="2"/>
  <c r="AA215" i="2"/>
  <c r="AB215" i="2"/>
  <c r="AC215" i="2"/>
  <c r="AD215" i="2"/>
  <c r="AE215" i="2"/>
  <c r="AF215" i="2"/>
  <c r="AG215" i="2"/>
  <c r="AH215" i="2"/>
  <c r="AI215" i="2"/>
  <c r="Z216" i="2"/>
  <c r="AA216" i="2"/>
  <c r="AB216" i="2"/>
  <c r="AC216" i="2"/>
  <c r="AD216" i="2"/>
  <c r="AE216" i="2"/>
  <c r="AF216" i="2"/>
  <c r="AG216" i="2"/>
  <c r="AH216" i="2"/>
  <c r="AI216" i="2"/>
  <c r="Z217" i="2"/>
  <c r="AA217" i="2"/>
  <c r="AB217" i="2"/>
  <c r="AC217" i="2"/>
  <c r="AD217" i="2"/>
  <c r="AE217" i="2"/>
  <c r="AF217" i="2"/>
  <c r="AG217" i="2"/>
  <c r="AH217" i="2"/>
  <c r="AI217" i="2"/>
  <c r="Z218" i="2"/>
  <c r="AA218" i="2"/>
  <c r="AB218" i="2"/>
  <c r="AC218" i="2"/>
  <c r="AD218" i="2"/>
  <c r="AE218" i="2"/>
  <c r="AF218" i="2"/>
  <c r="AG218" i="2"/>
  <c r="AH218" i="2"/>
  <c r="AI218" i="2"/>
  <c r="Z219" i="2"/>
  <c r="AA219" i="2"/>
  <c r="AB219" i="2"/>
  <c r="AC219" i="2"/>
  <c r="AD219" i="2"/>
  <c r="AE219" i="2"/>
  <c r="AF219" i="2"/>
  <c r="AG219" i="2"/>
  <c r="AH219" i="2"/>
  <c r="AI219" i="2"/>
  <c r="Z220" i="2"/>
  <c r="AA220" i="2"/>
  <c r="AB220" i="2"/>
  <c r="AC220" i="2"/>
  <c r="AD220" i="2"/>
  <c r="AE220" i="2"/>
  <c r="AF220" i="2"/>
  <c r="AG220" i="2"/>
  <c r="AH220" i="2"/>
  <c r="AI220" i="2"/>
  <c r="Z221" i="2"/>
  <c r="AA221" i="2"/>
  <c r="AB221" i="2"/>
  <c r="AC221" i="2"/>
  <c r="AD221" i="2"/>
  <c r="AE221" i="2"/>
  <c r="AF221" i="2"/>
  <c r="AG221" i="2"/>
  <c r="AH221" i="2"/>
  <c r="AI221" i="2"/>
  <c r="Z222" i="2"/>
  <c r="AA222" i="2"/>
  <c r="AB222" i="2"/>
  <c r="AC222" i="2"/>
  <c r="AD222" i="2"/>
  <c r="AE222" i="2"/>
  <c r="AF222" i="2"/>
  <c r="AG222" i="2"/>
  <c r="AH222" i="2"/>
  <c r="AI222" i="2"/>
  <c r="Z223" i="2"/>
  <c r="AA223" i="2"/>
  <c r="AB223" i="2"/>
  <c r="AC223" i="2"/>
  <c r="AD223" i="2"/>
  <c r="AE223" i="2"/>
  <c r="AF223" i="2"/>
  <c r="AG223" i="2"/>
  <c r="AH223" i="2"/>
  <c r="AI223" i="2"/>
  <c r="Z224" i="2"/>
  <c r="AA224" i="2"/>
  <c r="AB224" i="2"/>
  <c r="AC224" i="2"/>
  <c r="AD224" i="2"/>
  <c r="AE224" i="2"/>
  <c r="AF224" i="2"/>
  <c r="AG224" i="2"/>
  <c r="AH224" i="2"/>
  <c r="AI224" i="2"/>
  <c r="Z225" i="2"/>
  <c r="AA225" i="2"/>
  <c r="AB225" i="2"/>
  <c r="AC225" i="2"/>
  <c r="AD225" i="2"/>
  <c r="AE225" i="2"/>
  <c r="AF225" i="2"/>
  <c r="AG225" i="2"/>
  <c r="AH225" i="2"/>
  <c r="AI225" i="2"/>
  <c r="Z226" i="2"/>
  <c r="AA226" i="2"/>
  <c r="AB226" i="2"/>
  <c r="AC226" i="2"/>
  <c r="AD226" i="2"/>
  <c r="AE226" i="2"/>
  <c r="AF226" i="2"/>
  <c r="AG226" i="2"/>
  <c r="AH226" i="2"/>
  <c r="AI226" i="2"/>
  <c r="Z227" i="2"/>
  <c r="AA227" i="2"/>
  <c r="AB227" i="2"/>
  <c r="AC227" i="2"/>
  <c r="AD227" i="2"/>
  <c r="AE227" i="2"/>
  <c r="AF227" i="2"/>
  <c r="AG227" i="2"/>
  <c r="AH227" i="2"/>
  <c r="AI227" i="2"/>
  <c r="Z228" i="2"/>
  <c r="AA228" i="2"/>
  <c r="AB228" i="2"/>
  <c r="AC228" i="2"/>
  <c r="AD228" i="2"/>
  <c r="AE228" i="2"/>
  <c r="AF228" i="2"/>
  <c r="AG228" i="2"/>
  <c r="AH228" i="2"/>
  <c r="AI228" i="2"/>
  <c r="Z229" i="2"/>
  <c r="AA229" i="2"/>
  <c r="AB229" i="2"/>
  <c r="AC229" i="2"/>
  <c r="AD229" i="2"/>
  <c r="AE229" i="2"/>
  <c r="AF229" i="2"/>
  <c r="AG229" i="2"/>
  <c r="AH229" i="2"/>
  <c r="AI229" i="2"/>
  <c r="Z230" i="2"/>
  <c r="AA230" i="2"/>
  <c r="AB230" i="2"/>
  <c r="AC230" i="2"/>
  <c r="AD230" i="2"/>
  <c r="AE230" i="2"/>
  <c r="AF230" i="2"/>
  <c r="AG230" i="2"/>
  <c r="AH230" i="2"/>
  <c r="AI230" i="2"/>
  <c r="Z231" i="2"/>
  <c r="AA231" i="2"/>
  <c r="AB231" i="2"/>
  <c r="AC231" i="2"/>
  <c r="AD231" i="2"/>
  <c r="AE231" i="2"/>
  <c r="AF231" i="2"/>
  <c r="AG231" i="2"/>
  <c r="AH231" i="2"/>
  <c r="AI231" i="2"/>
  <c r="Z232" i="2"/>
  <c r="AA232" i="2"/>
  <c r="AB232" i="2"/>
  <c r="AC232" i="2"/>
  <c r="AD232" i="2"/>
  <c r="AE232" i="2"/>
  <c r="AF232" i="2"/>
  <c r="AG232" i="2"/>
  <c r="AH232" i="2"/>
  <c r="AI232" i="2"/>
  <c r="Z233" i="2"/>
  <c r="AA233" i="2"/>
  <c r="AB233" i="2"/>
  <c r="AC233" i="2"/>
  <c r="AD233" i="2"/>
  <c r="AE233" i="2"/>
  <c r="AF233" i="2"/>
  <c r="AG233" i="2"/>
  <c r="AH233" i="2"/>
  <c r="AI233" i="2"/>
  <c r="Z234" i="2"/>
  <c r="AA234" i="2"/>
  <c r="AB234" i="2"/>
  <c r="AC234" i="2"/>
  <c r="AD234" i="2"/>
  <c r="AE234" i="2"/>
  <c r="AF234" i="2"/>
  <c r="AG234" i="2"/>
  <c r="AH234" i="2"/>
  <c r="AI234" i="2"/>
  <c r="Z235" i="2"/>
  <c r="AA235" i="2"/>
  <c r="AB235" i="2"/>
  <c r="AC235" i="2"/>
  <c r="AD235" i="2"/>
  <c r="AE235" i="2"/>
  <c r="AF235" i="2"/>
  <c r="AG235" i="2"/>
  <c r="AH235" i="2"/>
  <c r="AI235" i="2"/>
  <c r="Z236" i="2"/>
  <c r="AA236" i="2"/>
  <c r="AB236" i="2"/>
  <c r="AC236" i="2"/>
  <c r="AD236" i="2"/>
  <c r="AE236" i="2"/>
  <c r="AF236" i="2"/>
  <c r="AG236" i="2"/>
  <c r="AH236" i="2"/>
  <c r="AI236" i="2"/>
  <c r="Z237" i="2"/>
  <c r="AA237" i="2"/>
  <c r="AB237" i="2"/>
  <c r="AC237" i="2"/>
  <c r="AD237" i="2"/>
  <c r="AE237" i="2"/>
  <c r="AF237" i="2"/>
  <c r="AG237" i="2"/>
  <c r="AH237" i="2"/>
  <c r="AI237" i="2"/>
  <c r="Z238" i="2"/>
  <c r="AA238" i="2"/>
  <c r="AB238" i="2"/>
  <c r="AC238" i="2"/>
  <c r="AD238" i="2"/>
  <c r="AE238" i="2"/>
  <c r="AF238" i="2"/>
  <c r="AG238" i="2"/>
  <c r="AH238" i="2"/>
  <c r="AI238" i="2"/>
  <c r="Z239" i="2"/>
  <c r="AA239" i="2"/>
  <c r="AB239" i="2"/>
  <c r="AC239" i="2"/>
  <c r="AD239" i="2"/>
  <c r="AE239" i="2"/>
  <c r="AF239" i="2"/>
  <c r="AG239" i="2"/>
  <c r="AH239" i="2"/>
  <c r="AI239" i="2"/>
  <c r="Z240" i="2"/>
  <c r="AA240" i="2"/>
  <c r="AB240" i="2"/>
  <c r="AC240" i="2"/>
  <c r="AD240" i="2"/>
  <c r="AE240" i="2"/>
  <c r="AF240" i="2"/>
  <c r="AG240" i="2"/>
  <c r="AH240" i="2"/>
  <c r="AI240" i="2"/>
  <c r="Z241" i="2"/>
  <c r="AA241" i="2"/>
  <c r="AB241" i="2"/>
  <c r="AC241" i="2"/>
  <c r="AD241" i="2"/>
  <c r="AE241" i="2"/>
  <c r="AF241" i="2"/>
  <c r="AG241" i="2"/>
  <c r="AH241" i="2"/>
  <c r="AI241" i="2"/>
  <c r="Z242" i="2"/>
  <c r="AA242" i="2"/>
  <c r="AB242" i="2"/>
  <c r="AC242" i="2"/>
  <c r="AD242" i="2"/>
  <c r="AE242" i="2"/>
  <c r="AF242" i="2"/>
  <c r="AG242" i="2"/>
  <c r="AH242" i="2"/>
  <c r="AI242" i="2"/>
  <c r="Z243" i="2"/>
  <c r="AA243" i="2"/>
  <c r="AB243" i="2"/>
  <c r="AC243" i="2"/>
  <c r="AD243" i="2"/>
  <c r="AE243" i="2"/>
  <c r="AF243" i="2"/>
  <c r="AG243" i="2"/>
  <c r="AH243" i="2"/>
  <c r="AI243" i="2"/>
  <c r="Z244" i="2"/>
  <c r="AA244" i="2"/>
  <c r="AB244" i="2"/>
  <c r="AC244" i="2"/>
  <c r="AD244" i="2"/>
  <c r="AE244" i="2"/>
  <c r="AF244" i="2"/>
  <c r="AG244" i="2"/>
  <c r="AH244" i="2"/>
  <c r="AI244" i="2"/>
  <c r="Z245" i="2"/>
  <c r="AA245" i="2"/>
  <c r="AB245" i="2"/>
  <c r="AC245" i="2"/>
  <c r="AD245" i="2"/>
  <c r="AE245" i="2"/>
  <c r="AF245" i="2"/>
  <c r="AG245" i="2"/>
  <c r="AH245" i="2"/>
  <c r="AI245" i="2"/>
  <c r="Z246" i="2"/>
  <c r="AA246" i="2"/>
  <c r="AB246" i="2"/>
  <c r="AC246" i="2"/>
  <c r="AD246" i="2"/>
  <c r="AE246" i="2"/>
  <c r="AF246" i="2"/>
  <c r="AG246" i="2"/>
  <c r="AH246" i="2"/>
  <c r="AI246" i="2"/>
  <c r="Z247" i="2"/>
  <c r="AA247" i="2"/>
  <c r="AB247" i="2"/>
  <c r="AC247" i="2"/>
  <c r="AD247" i="2"/>
  <c r="AE247" i="2"/>
  <c r="AF247" i="2"/>
  <c r="AG247" i="2"/>
  <c r="AH247" i="2"/>
  <c r="AI247" i="2"/>
  <c r="Z248" i="2"/>
  <c r="AA248" i="2"/>
  <c r="AB248" i="2"/>
  <c r="AC248" i="2"/>
  <c r="AD248" i="2"/>
  <c r="AE248" i="2"/>
  <c r="AF248" i="2"/>
  <c r="AG248" i="2"/>
  <c r="AH248" i="2"/>
  <c r="AI248" i="2"/>
  <c r="Z249" i="2"/>
  <c r="AA249" i="2"/>
  <c r="AB249" i="2"/>
  <c r="AC249" i="2"/>
  <c r="AD249" i="2"/>
  <c r="AE249" i="2"/>
  <c r="AF249" i="2"/>
  <c r="AG249" i="2"/>
  <c r="AH249" i="2"/>
  <c r="AI249" i="2"/>
  <c r="Z250" i="2"/>
  <c r="AA250" i="2"/>
  <c r="AB250" i="2"/>
  <c r="AC250" i="2"/>
  <c r="AD250" i="2"/>
  <c r="AE250" i="2"/>
  <c r="AF250" i="2"/>
  <c r="AG250" i="2"/>
  <c r="AH250" i="2"/>
  <c r="AI250" i="2"/>
  <c r="Z251" i="2"/>
  <c r="AA251" i="2"/>
  <c r="AB251" i="2"/>
  <c r="AC251" i="2"/>
  <c r="AD251" i="2"/>
  <c r="AE251" i="2"/>
  <c r="AF251" i="2"/>
  <c r="AG251" i="2"/>
  <c r="AH251" i="2"/>
  <c r="AI251" i="2"/>
  <c r="Z252" i="2"/>
  <c r="AA252" i="2"/>
  <c r="AB252" i="2"/>
  <c r="AC252" i="2"/>
  <c r="AD252" i="2"/>
  <c r="AE252" i="2"/>
  <c r="AF252" i="2"/>
  <c r="AG252" i="2"/>
  <c r="AH252" i="2"/>
  <c r="AI252" i="2"/>
  <c r="Z253" i="2"/>
  <c r="AA253" i="2"/>
  <c r="AB253" i="2"/>
  <c r="AC253" i="2"/>
  <c r="AD253" i="2"/>
  <c r="AE253" i="2"/>
  <c r="AF253" i="2"/>
  <c r="AG253" i="2"/>
  <c r="AH253" i="2"/>
  <c r="AI253" i="2"/>
  <c r="Z254" i="2"/>
  <c r="AA254" i="2"/>
  <c r="AB254" i="2"/>
  <c r="AC254" i="2"/>
  <c r="AD254" i="2"/>
  <c r="AE254" i="2"/>
  <c r="AF254" i="2"/>
  <c r="AG254" i="2"/>
  <c r="AH254" i="2"/>
  <c r="AI254" i="2"/>
  <c r="Z255" i="2"/>
  <c r="AA255" i="2"/>
  <c r="AB255" i="2"/>
  <c r="AC255" i="2"/>
  <c r="AD255" i="2"/>
  <c r="AE255" i="2"/>
  <c r="AF255" i="2"/>
  <c r="AG255" i="2"/>
  <c r="AH255" i="2"/>
  <c r="AI255" i="2"/>
  <c r="Z256" i="2"/>
  <c r="AA256" i="2"/>
  <c r="AB256" i="2"/>
  <c r="AC256" i="2"/>
  <c r="AD256" i="2"/>
  <c r="AE256" i="2"/>
  <c r="AF256" i="2"/>
  <c r="AG256" i="2"/>
  <c r="AH256" i="2"/>
  <c r="AI256" i="2"/>
  <c r="Z257" i="2"/>
  <c r="AA257" i="2"/>
  <c r="AB257" i="2"/>
  <c r="AC257" i="2"/>
  <c r="AD257" i="2"/>
  <c r="AE257" i="2"/>
  <c r="AF257" i="2"/>
  <c r="AG257" i="2"/>
  <c r="AH257" i="2"/>
  <c r="AI257" i="2"/>
  <c r="Z258" i="2"/>
  <c r="AA258" i="2"/>
  <c r="AB258" i="2"/>
  <c r="AC258" i="2"/>
  <c r="AD258" i="2"/>
  <c r="AE258" i="2"/>
  <c r="AF258" i="2"/>
  <c r="AG258" i="2"/>
  <c r="AH258" i="2"/>
  <c r="AI258" i="2"/>
  <c r="Z259" i="2"/>
  <c r="AA259" i="2"/>
  <c r="AB259" i="2"/>
  <c r="AC259" i="2"/>
  <c r="AD259" i="2"/>
  <c r="AE259" i="2"/>
  <c r="AF259" i="2"/>
  <c r="AG259" i="2"/>
  <c r="AH259" i="2"/>
  <c r="AI259" i="2"/>
  <c r="Z260" i="2"/>
  <c r="AA260" i="2"/>
  <c r="AB260" i="2"/>
  <c r="AC260" i="2"/>
  <c r="AD260" i="2"/>
  <c r="AE260" i="2"/>
  <c r="AF260" i="2"/>
  <c r="AG260" i="2"/>
  <c r="AH260" i="2"/>
  <c r="AI260" i="2"/>
  <c r="Z261" i="2"/>
  <c r="AA261" i="2"/>
  <c r="AB261" i="2"/>
  <c r="AC261" i="2"/>
  <c r="AD261" i="2"/>
  <c r="AE261" i="2"/>
  <c r="AF261" i="2"/>
  <c r="AG261" i="2"/>
  <c r="AH261" i="2"/>
  <c r="AI261" i="2"/>
  <c r="Z262" i="2"/>
  <c r="AA262" i="2"/>
  <c r="AB262" i="2"/>
  <c r="AC262" i="2"/>
  <c r="AD262" i="2"/>
  <c r="AE262" i="2"/>
  <c r="AF262" i="2"/>
  <c r="AG262" i="2"/>
  <c r="AH262" i="2"/>
  <c r="AI262" i="2"/>
  <c r="Z263" i="2"/>
  <c r="AA263" i="2"/>
  <c r="AB263" i="2"/>
  <c r="AC263" i="2"/>
  <c r="AD263" i="2"/>
  <c r="AE263" i="2"/>
  <c r="AF263" i="2"/>
  <c r="AG263" i="2"/>
  <c r="AH263" i="2"/>
  <c r="AI263" i="2"/>
  <c r="Z264" i="2"/>
  <c r="AA264" i="2"/>
  <c r="AB264" i="2"/>
  <c r="AC264" i="2"/>
  <c r="AD264" i="2"/>
  <c r="AE264" i="2"/>
  <c r="AF264" i="2"/>
  <c r="AG264" i="2"/>
  <c r="AH264" i="2"/>
  <c r="AI264" i="2"/>
  <c r="Z265" i="2"/>
  <c r="AA265" i="2"/>
  <c r="AB265" i="2"/>
  <c r="AC265" i="2"/>
  <c r="AD265" i="2"/>
  <c r="AE265" i="2"/>
  <c r="AF265" i="2"/>
  <c r="AG265" i="2"/>
  <c r="AH265" i="2"/>
  <c r="AI265" i="2"/>
  <c r="Z266" i="2"/>
  <c r="AA266" i="2"/>
  <c r="AB266" i="2"/>
  <c r="AC266" i="2"/>
  <c r="AD266" i="2"/>
  <c r="AE266" i="2"/>
  <c r="AF266" i="2"/>
  <c r="AG266" i="2"/>
  <c r="AH266" i="2"/>
  <c r="AI266" i="2"/>
  <c r="Z267" i="2"/>
  <c r="AA267" i="2"/>
  <c r="AB267" i="2"/>
  <c r="AC267" i="2"/>
  <c r="AD267" i="2"/>
  <c r="AE267" i="2"/>
  <c r="AF267" i="2"/>
  <c r="AG267" i="2"/>
  <c r="AH267" i="2"/>
  <c r="AI267" i="2"/>
  <c r="Z268" i="2"/>
  <c r="AA268" i="2"/>
  <c r="AB268" i="2"/>
  <c r="AC268" i="2"/>
  <c r="AD268" i="2"/>
  <c r="AE268" i="2"/>
  <c r="AF268" i="2"/>
  <c r="AG268" i="2"/>
  <c r="AH268" i="2"/>
  <c r="AI268" i="2"/>
  <c r="Z269" i="2"/>
  <c r="AA269" i="2"/>
  <c r="AB269" i="2"/>
  <c r="AC269" i="2"/>
  <c r="AD269" i="2"/>
  <c r="AE269" i="2"/>
  <c r="AF269" i="2"/>
  <c r="AG269" i="2"/>
  <c r="AH269" i="2"/>
  <c r="AI269" i="2"/>
  <c r="Z270" i="2"/>
  <c r="AA270" i="2"/>
  <c r="AB270" i="2"/>
  <c r="AC270" i="2"/>
  <c r="AD270" i="2"/>
  <c r="AE270" i="2"/>
  <c r="AF270" i="2"/>
  <c r="AG270" i="2"/>
  <c r="AH270" i="2"/>
  <c r="AI270" i="2"/>
  <c r="Z271" i="2"/>
  <c r="AA271" i="2"/>
  <c r="AB271" i="2"/>
  <c r="AC271" i="2"/>
  <c r="AD271" i="2"/>
  <c r="AE271" i="2"/>
  <c r="AF271" i="2"/>
  <c r="AG271" i="2"/>
  <c r="AH271" i="2"/>
  <c r="AI271" i="2"/>
  <c r="Z272" i="2"/>
  <c r="AA272" i="2"/>
  <c r="AB272" i="2"/>
  <c r="AC272" i="2"/>
  <c r="AD272" i="2"/>
  <c r="AE272" i="2"/>
  <c r="AF272" i="2"/>
  <c r="AG272" i="2"/>
  <c r="AH272" i="2"/>
  <c r="AI272" i="2"/>
  <c r="Z273" i="2"/>
  <c r="AA273" i="2"/>
  <c r="AB273" i="2"/>
  <c r="AC273" i="2"/>
  <c r="AD273" i="2"/>
  <c r="AE273" i="2"/>
  <c r="AF273" i="2"/>
  <c r="AG273" i="2"/>
  <c r="AH273" i="2"/>
  <c r="AI273" i="2"/>
  <c r="Z274" i="2"/>
  <c r="AA274" i="2"/>
  <c r="AB274" i="2"/>
  <c r="AC274" i="2"/>
  <c r="AD274" i="2"/>
  <c r="AE274" i="2"/>
  <c r="AF274" i="2"/>
  <c r="AG274" i="2"/>
  <c r="AH274" i="2"/>
  <c r="AI274" i="2"/>
  <c r="Z275" i="2"/>
  <c r="AA275" i="2"/>
  <c r="AB275" i="2"/>
  <c r="AC275" i="2"/>
  <c r="AD275" i="2"/>
  <c r="AE275" i="2"/>
  <c r="AF275" i="2"/>
  <c r="AG275" i="2"/>
  <c r="AH275" i="2"/>
  <c r="AI275" i="2"/>
  <c r="Z276" i="2"/>
  <c r="AA276" i="2"/>
  <c r="AB276" i="2"/>
  <c r="AC276" i="2"/>
  <c r="AD276" i="2"/>
  <c r="AE276" i="2"/>
  <c r="AF276" i="2"/>
  <c r="AG276" i="2"/>
  <c r="AH276" i="2"/>
  <c r="AI276" i="2"/>
  <c r="Z277" i="2"/>
  <c r="AA277" i="2"/>
  <c r="AB277" i="2"/>
  <c r="AC277" i="2"/>
  <c r="AD277" i="2"/>
  <c r="AE277" i="2"/>
  <c r="AF277" i="2"/>
  <c r="AG277" i="2"/>
  <c r="AH277" i="2"/>
  <c r="AI277" i="2"/>
  <c r="Z278" i="2"/>
  <c r="AA278" i="2"/>
  <c r="AB278" i="2"/>
  <c r="AC278" i="2"/>
  <c r="AD278" i="2"/>
  <c r="AE278" i="2"/>
  <c r="AF278" i="2"/>
  <c r="AG278" i="2"/>
  <c r="AH278" i="2"/>
  <c r="AI278" i="2"/>
  <c r="Z279" i="2"/>
  <c r="AA279" i="2"/>
  <c r="AB279" i="2"/>
  <c r="AC279" i="2"/>
  <c r="AD279" i="2"/>
  <c r="AE279" i="2"/>
  <c r="AF279" i="2"/>
  <c r="AG279" i="2"/>
  <c r="AH279" i="2"/>
  <c r="AI279" i="2"/>
  <c r="Z280" i="2"/>
  <c r="AA280" i="2"/>
  <c r="AB280" i="2"/>
  <c r="AC280" i="2"/>
  <c r="AD280" i="2"/>
  <c r="AE280" i="2"/>
  <c r="AF280" i="2"/>
  <c r="AG280" i="2"/>
  <c r="AH280" i="2"/>
  <c r="AI280" i="2"/>
  <c r="Z281" i="2"/>
  <c r="AA281" i="2"/>
  <c r="AB281" i="2"/>
  <c r="AC281" i="2"/>
  <c r="AD281" i="2"/>
  <c r="AE281" i="2"/>
  <c r="AF281" i="2"/>
  <c r="AG281" i="2"/>
  <c r="AH281" i="2"/>
  <c r="AI281" i="2"/>
  <c r="Z282" i="2"/>
  <c r="AA282" i="2"/>
  <c r="AB282" i="2"/>
  <c r="AC282" i="2"/>
  <c r="AD282" i="2"/>
  <c r="AE282" i="2"/>
  <c r="AF282" i="2"/>
  <c r="AG282" i="2"/>
  <c r="AH282" i="2"/>
  <c r="AI282" i="2"/>
  <c r="Z283" i="2"/>
  <c r="AA283" i="2"/>
  <c r="AB283" i="2"/>
  <c r="AC283" i="2"/>
  <c r="AD283" i="2"/>
  <c r="AE283" i="2"/>
  <c r="AF283" i="2"/>
  <c r="AG283" i="2"/>
  <c r="AH283" i="2"/>
  <c r="AI283" i="2"/>
  <c r="Z284" i="2"/>
  <c r="AA284" i="2"/>
  <c r="AB284" i="2"/>
  <c r="AC284" i="2"/>
  <c r="AD284" i="2"/>
  <c r="AE284" i="2"/>
  <c r="AF284" i="2"/>
  <c r="AG284" i="2"/>
  <c r="AH284" i="2"/>
  <c r="AI284" i="2"/>
  <c r="Z285" i="2"/>
  <c r="AA285" i="2"/>
  <c r="AB285" i="2"/>
  <c r="AC285" i="2"/>
  <c r="AD285" i="2"/>
  <c r="AE285" i="2"/>
  <c r="AF285" i="2"/>
  <c r="AG285" i="2"/>
  <c r="AH285" i="2"/>
  <c r="AI285" i="2"/>
  <c r="Z286" i="2"/>
  <c r="AA286" i="2"/>
  <c r="AB286" i="2"/>
  <c r="AC286" i="2"/>
  <c r="AD286" i="2"/>
  <c r="AE286" i="2"/>
  <c r="AF286" i="2"/>
  <c r="AG286" i="2"/>
  <c r="AH286" i="2"/>
  <c r="AI286" i="2"/>
  <c r="Z287" i="2"/>
  <c r="AA287" i="2"/>
  <c r="AB287" i="2"/>
  <c r="AC287" i="2"/>
  <c r="AD287" i="2"/>
  <c r="AE287" i="2"/>
  <c r="AF287" i="2"/>
  <c r="AG287" i="2"/>
  <c r="AH287" i="2"/>
  <c r="AI287" i="2"/>
  <c r="Z288" i="2"/>
  <c r="AA288" i="2"/>
  <c r="AB288" i="2"/>
  <c r="AC288" i="2"/>
  <c r="AD288" i="2"/>
  <c r="AE288" i="2"/>
  <c r="AF288" i="2"/>
  <c r="AG288" i="2"/>
  <c r="AH288" i="2"/>
  <c r="AI288" i="2"/>
  <c r="Z289" i="2"/>
  <c r="AA289" i="2"/>
  <c r="AB289" i="2"/>
  <c r="AC289" i="2"/>
  <c r="AD289" i="2"/>
  <c r="AE289" i="2"/>
  <c r="AF289" i="2"/>
  <c r="AG289" i="2"/>
  <c r="AH289" i="2"/>
  <c r="AI289" i="2"/>
  <c r="Z290" i="2"/>
  <c r="AA290" i="2"/>
  <c r="AB290" i="2"/>
  <c r="AC290" i="2"/>
  <c r="AD290" i="2"/>
  <c r="AE290" i="2"/>
  <c r="AF290" i="2"/>
  <c r="AG290" i="2"/>
  <c r="AH290" i="2"/>
  <c r="AI290" i="2"/>
  <c r="Z291" i="2"/>
  <c r="AA291" i="2"/>
  <c r="AB291" i="2"/>
  <c r="AC291" i="2"/>
  <c r="AD291" i="2"/>
  <c r="AE291" i="2"/>
  <c r="AF291" i="2"/>
  <c r="AG291" i="2"/>
  <c r="AH291" i="2"/>
  <c r="AI291" i="2"/>
  <c r="Z292" i="2"/>
  <c r="AA292" i="2"/>
  <c r="AB292" i="2"/>
  <c r="AC292" i="2"/>
  <c r="AD292" i="2"/>
  <c r="AE292" i="2"/>
  <c r="AF292" i="2"/>
  <c r="AG292" i="2"/>
  <c r="AH292" i="2"/>
  <c r="AI292" i="2"/>
  <c r="Z293" i="2"/>
  <c r="AA293" i="2"/>
  <c r="AB293" i="2"/>
  <c r="AC293" i="2"/>
  <c r="AD293" i="2"/>
  <c r="AE293" i="2"/>
  <c r="AF293" i="2"/>
  <c r="AG293" i="2"/>
  <c r="AH293" i="2"/>
  <c r="AI293" i="2"/>
  <c r="Z294" i="2"/>
  <c r="AA294" i="2"/>
  <c r="AB294" i="2"/>
  <c r="AC294" i="2"/>
  <c r="AD294" i="2"/>
  <c r="AE294" i="2"/>
  <c r="AF294" i="2"/>
  <c r="AG294" i="2"/>
  <c r="AH294" i="2"/>
  <c r="AI294" i="2"/>
  <c r="Z295" i="2"/>
  <c r="AA295" i="2"/>
  <c r="AB295" i="2"/>
  <c r="AC295" i="2"/>
  <c r="AD295" i="2"/>
  <c r="AE295" i="2"/>
  <c r="AF295" i="2"/>
  <c r="AG295" i="2"/>
  <c r="AH295" i="2"/>
  <c r="AI295" i="2"/>
  <c r="Z296" i="2"/>
  <c r="AA296" i="2"/>
  <c r="AB296" i="2"/>
  <c r="AC296" i="2"/>
  <c r="AD296" i="2"/>
  <c r="AE296" i="2"/>
  <c r="AF296" i="2"/>
  <c r="AG296" i="2"/>
  <c r="AH296" i="2"/>
  <c r="AI296" i="2"/>
  <c r="Z297" i="2"/>
  <c r="AA297" i="2"/>
  <c r="AB297" i="2"/>
  <c r="AC297" i="2"/>
  <c r="AD297" i="2"/>
  <c r="AE297" i="2"/>
  <c r="AF297" i="2"/>
  <c r="AG297" i="2"/>
  <c r="AH297" i="2"/>
  <c r="AI297" i="2"/>
  <c r="Z298" i="2"/>
  <c r="AA298" i="2"/>
  <c r="AB298" i="2"/>
  <c r="AC298" i="2"/>
  <c r="AD298" i="2"/>
  <c r="AE298" i="2"/>
  <c r="AF298" i="2"/>
  <c r="AG298" i="2"/>
  <c r="AH298" i="2"/>
  <c r="AI298" i="2"/>
  <c r="Z299" i="2"/>
  <c r="AA299" i="2"/>
  <c r="AB299" i="2"/>
  <c r="AC299" i="2"/>
  <c r="AD299" i="2"/>
  <c r="AE299" i="2"/>
  <c r="AF299" i="2"/>
  <c r="AG299" i="2"/>
  <c r="AH299" i="2"/>
  <c r="AI299" i="2"/>
  <c r="Z300" i="2"/>
  <c r="AA300" i="2"/>
  <c r="AB300" i="2"/>
  <c r="AC300" i="2"/>
  <c r="AD300" i="2"/>
  <c r="AE300" i="2"/>
  <c r="AF300" i="2"/>
  <c r="AG300" i="2"/>
  <c r="AH300" i="2"/>
  <c r="AI300" i="2"/>
  <c r="Z301" i="2"/>
  <c r="AA301" i="2"/>
  <c r="AB301" i="2"/>
  <c r="AC301" i="2"/>
  <c r="AD301" i="2"/>
  <c r="AE301" i="2"/>
  <c r="AF301" i="2"/>
  <c r="AG301" i="2"/>
  <c r="AH301" i="2"/>
  <c r="AI301" i="2"/>
  <c r="Z302" i="2"/>
  <c r="AA302" i="2"/>
  <c r="AB302" i="2"/>
  <c r="AC302" i="2"/>
  <c r="AD302" i="2"/>
  <c r="AE302" i="2"/>
  <c r="AF302" i="2"/>
  <c r="AG302" i="2"/>
  <c r="AH302" i="2"/>
  <c r="AI302" i="2"/>
  <c r="Z303" i="2"/>
  <c r="AA303" i="2"/>
  <c r="AB303" i="2"/>
  <c r="AC303" i="2"/>
  <c r="AD303" i="2"/>
  <c r="AE303" i="2"/>
  <c r="AF303" i="2"/>
  <c r="AG303" i="2"/>
  <c r="AH303" i="2"/>
  <c r="AI303" i="2"/>
  <c r="Z304" i="2"/>
  <c r="AA304" i="2"/>
  <c r="AB304" i="2"/>
  <c r="AC304" i="2"/>
  <c r="AD304" i="2"/>
  <c r="AE304" i="2"/>
  <c r="AF304" i="2"/>
  <c r="AG304" i="2"/>
  <c r="AH304" i="2"/>
  <c r="AI304" i="2"/>
  <c r="Z305" i="2"/>
  <c r="AA305" i="2"/>
  <c r="AB305" i="2"/>
  <c r="AC305" i="2"/>
  <c r="AD305" i="2"/>
  <c r="AE305" i="2"/>
  <c r="AF305" i="2"/>
  <c r="AG305" i="2"/>
  <c r="AH305" i="2"/>
  <c r="AI305" i="2"/>
  <c r="Z306" i="2"/>
  <c r="AA306" i="2"/>
  <c r="AB306" i="2"/>
  <c r="AC306" i="2"/>
  <c r="AD306" i="2"/>
  <c r="AE306" i="2"/>
  <c r="AF306" i="2"/>
  <c r="AG306" i="2"/>
  <c r="AH306" i="2"/>
  <c r="AI306" i="2"/>
  <c r="Z307" i="2"/>
  <c r="AA307" i="2"/>
  <c r="AB307" i="2"/>
  <c r="AC307" i="2"/>
  <c r="AD307" i="2"/>
  <c r="AE307" i="2"/>
  <c r="AF307" i="2"/>
  <c r="AG307" i="2"/>
  <c r="AH307" i="2"/>
  <c r="AI307" i="2"/>
  <c r="Z308" i="2"/>
  <c r="AA308" i="2"/>
  <c r="AB308" i="2"/>
  <c r="AC308" i="2"/>
  <c r="AD308" i="2"/>
  <c r="AE308" i="2"/>
  <c r="AF308" i="2"/>
  <c r="AG308" i="2"/>
  <c r="AH308" i="2"/>
  <c r="AI308" i="2"/>
  <c r="Z309" i="2"/>
  <c r="AA309" i="2"/>
  <c r="AB309" i="2"/>
  <c r="AC309" i="2"/>
  <c r="AD309" i="2"/>
  <c r="AE309" i="2"/>
  <c r="AF309" i="2"/>
  <c r="AG309" i="2"/>
  <c r="AH309" i="2"/>
  <c r="AI309" i="2"/>
  <c r="Z310" i="2"/>
  <c r="AA310" i="2"/>
  <c r="AB310" i="2"/>
  <c r="AC310" i="2"/>
  <c r="AD310" i="2"/>
  <c r="AE310" i="2"/>
  <c r="AF310" i="2"/>
  <c r="AG310" i="2"/>
  <c r="AH310" i="2"/>
  <c r="AI310" i="2"/>
  <c r="Z311" i="2"/>
  <c r="AA311" i="2"/>
  <c r="AB311" i="2"/>
  <c r="AC311" i="2"/>
  <c r="AD311" i="2"/>
  <c r="AE311" i="2"/>
  <c r="AF311" i="2"/>
  <c r="AG311" i="2"/>
  <c r="AH311" i="2"/>
  <c r="AI311" i="2"/>
  <c r="Z312" i="2"/>
  <c r="AA312" i="2"/>
  <c r="AB312" i="2"/>
  <c r="AC312" i="2"/>
  <c r="AD312" i="2"/>
  <c r="AE312" i="2"/>
  <c r="AF312" i="2"/>
  <c r="AG312" i="2"/>
  <c r="AH312" i="2"/>
  <c r="AI312" i="2"/>
  <c r="Z313" i="2"/>
  <c r="AA313" i="2"/>
  <c r="AB313" i="2"/>
  <c r="AC313" i="2"/>
  <c r="AD313" i="2"/>
  <c r="AE313" i="2"/>
  <c r="AF313" i="2"/>
  <c r="AG313" i="2"/>
  <c r="AH313" i="2"/>
  <c r="AI313" i="2"/>
  <c r="Z314" i="2"/>
  <c r="AA314" i="2"/>
  <c r="AB314" i="2"/>
  <c r="AC314" i="2"/>
  <c r="AD314" i="2"/>
  <c r="AE314" i="2"/>
  <c r="AF314" i="2"/>
  <c r="AG314" i="2"/>
  <c r="AH314" i="2"/>
  <c r="AI314" i="2"/>
  <c r="Z315" i="2"/>
  <c r="AA315" i="2"/>
  <c r="AB315" i="2"/>
  <c r="AC315" i="2"/>
  <c r="AD315" i="2"/>
  <c r="AE315" i="2"/>
  <c r="AF315" i="2"/>
  <c r="AG315" i="2"/>
  <c r="AH315" i="2"/>
  <c r="AI315" i="2"/>
  <c r="Z316" i="2"/>
  <c r="AA316" i="2"/>
  <c r="AB316" i="2"/>
  <c r="AC316" i="2"/>
  <c r="AD316" i="2"/>
  <c r="AE316" i="2"/>
  <c r="AF316" i="2"/>
  <c r="AG316" i="2"/>
  <c r="AH316" i="2"/>
  <c r="AI316" i="2"/>
  <c r="Z317" i="2"/>
  <c r="AA317" i="2"/>
  <c r="AB317" i="2"/>
  <c r="AC317" i="2"/>
  <c r="AD317" i="2"/>
  <c r="AE317" i="2"/>
  <c r="AF317" i="2"/>
  <c r="AG317" i="2"/>
  <c r="AH317" i="2"/>
  <c r="AI317" i="2"/>
  <c r="Z318" i="2"/>
  <c r="AA318" i="2"/>
  <c r="AB318" i="2"/>
  <c r="AC318" i="2"/>
  <c r="AD318" i="2"/>
  <c r="AE318" i="2"/>
  <c r="AF318" i="2"/>
  <c r="AG318" i="2"/>
  <c r="AH318" i="2"/>
  <c r="AI318" i="2"/>
  <c r="Z319" i="2"/>
  <c r="AA319" i="2"/>
  <c r="AB319" i="2"/>
  <c r="AC319" i="2"/>
  <c r="AD319" i="2"/>
  <c r="AE319" i="2"/>
  <c r="AF319" i="2"/>
  <c r="AG319" i="2"/>
  <c r="AH319" i="2"/>
  <c r="AI319" i="2"/>
  <c r="Z320" i="2"/>
  <c r="AA320" i="2"/>
  <c r="AB320" i="2"/>
  <c r="AC320" i="2"/>
  <c r="AD320" i="2"/>
  <c r="AE320" i="2"/>
  <c r="AF320" i="2"/>
  <c r="AG320" i="2"/>
  <c r="AH320" i="2"/>
  <c r="AI320" i="2"/>
  <c r="Z321" i="2"/>
  <c r="AA321" i="2"/>
  <c r="AB321" i="2"/>
  <c r="AC321" i="2"/>
  <c r="AD321" i="2"/>
  <c r="AE321" i="2"/>
  <c r="AF321" i="2"/>
  <c r="AG321" i="2"/>
  <c r="AH321" i="2"/>
  <c r="AI321" i="2"/>
  <c r="Z322" i="2"/>
  <c r="AA322" i="2"/>
  <c r="AB322" i="2"/>
  <c r="AC322" i="2"/>
  <c r="AD322" i="2"/>
  <c r="AE322" i="2"/>
  <c r="AF322" i="2"/>
  <c r="AG322" i="2"/>
  <c r="AH322" i="2"/>
  <c r="AI322" i="2"/>
  <c r="Z323" i="2"/>
  <c r="AA323" i="2"/>
  <c r="AB323" i="2"/>
  <c r="AC323" i="2"/>
  <c r="AD323" i="2"/>
  <c r="AE323" i="2"/>
  <c r="AF323" i="2"/>
  <c r="AG323" i="2"/>
  <c r="AH323" i="2"/>
  <c r="AI323" i="2"/>
  <c r="Z324" i="2"/>
  <c r="AA324" i="2"/>
  <c r="AB324" i="2"/>
  <c r="AC324" i="2"/>
  <c r="AD324" i="2"/>
  <c r="AE324" i="2"/>
  <c r="AF324" i="2"/>
  <c r="AG324" i="2"/>
  <c r="AH324" i="2"/>
  <c r="AI324" i="2"/>
  <c r="Z325" i="2"/>
  <c r="AA325" i="2"/>
  <c r="AB325" i="2"/>
  <c r="AC325" i="2"/>
  <c r="AD325" i="2"/>
  <c r="AE325" i="2"/>
  <c r="AF325" i="2"/>
  <c r="AG325" i="2"/>
  <c r="AH325" i="2"/>
  <c r="AI325" i="2"/>
  <c r="Z326" i="2"/>
  <c r="AA326" i="2"/>
  <c r="AB326" i="2"/>
  <c r="AC326" i="2"/>
  <c r="AD326" i="2"/>
  <c r="AE326" i="2"/>
  <c r="AF326" i="2"/>
  <c r="AG326" i="2"/>
  <c r="AH326" i="2"/>
  <c r="AI326" i="2"/>
  <c r="Z327" i="2"/>
  <c r="AA327" i="2"/>
  <c r="AB327" i="2"/>
  <c r="AC327" i="2"/>
  <c r="AD327" i="2"/>
  <c r="AE327" i="2"/>
  <c r="AF327" i="2"/>
  <c r="AG327" i="2"/>
  <c r="AH327" i="2"/>
  <c r="AI327" i="2"/>
  <c r="Z328" i="2"/>
  <c r="AA328" i="2"/>
  <c r="AB328" i="2"/>
  <c r="AC328" i="2"/>
  <c r="AD328" i="2"/>
  <c r="AE328" i="2"/>
  <c r="AF328" i="2"/>
  <c r="AG328" i="2"/>
  <c r="AH328" i="2"/>
  <c r="AI328" i="2"/>
  <c r="Z329" i="2"/>
  <c r="AA329" i="2"/>
  <c r="AB329" i="2"/>
  <c r="AC329" i="2"/>
  <c r="AD329" i="2"/>
  <c r="AE329" i="2"/>
  <c r="AF329" i="2"/>
  <c r="AG329" i="2"/>
  <c r="AH329" i="2"/>
  <c r="AI329" i="2"/>
  <c r="Z330" i="2"/>
  <c r="AA330" i="2"/>
  <c r="AB330" i="2"/>
  <c r="AC330" i="2"/>
  <c r="AD330" i="2"/>
  <c r="AE330" i="2"/>
  <c r="AF330" i="2"/>
  <c r="AG330" i="2"/>
  <c r="AH330" i="2"/>
  <c r="AI330" i="2"/>
  <c r="Z331" i="2"/>
  <c r="AA331" i="2"/>
  <c r="AB331" i="2"/>
  <c r="AC331" i="2"/>
  <c r="AD331" i="2"/>
  <c r="AE331" i="2"/>
  <c r="AF331" i="2"/>
  <c r="AG331" i="2"/>
  <c r="AH331" i="2"/>
  <c r="AI331" i="2"/>
  <c r="Z332" i="2"/>
  <c r="AA332" i="2"/>
  <c r="AB332" i="2"/>
  <c r="AC332" i="2"/>
  <c r="AD332" i="2"/>
  <c r="AE332" i="2"/>
  <c r="AF332" i="2"/>
  <c r="AG332" i="2"/>
  <c r="AH332" i="2"/>
  <c r="AI332" i="2"/>
  <c r="Z333" i="2"/>
  <c r="AA333" i="2"/>
  <c r="AB333" i="2"/>
  <c r="AC333" i="2"/>
  <c r="AD333" i="2"/>
  <c r="AE333" i="2"/>
  <c r="AF333" i="2"/>
  <c r="AG333" i="2"/>
  <c r="AH333" i="2"/>
  <c r="AI333" i="2"/>
  <c r="Z334" i="2"/>
  <c r="AA334" i="2"/>
  <c r="AB334" i="2"/>
  <c r="AC334" i="2"/>
  <c r="AD334" i="2"/>
  <c r="AE334" i="2"/>
  <c r="AF334" i="2"/>
  <c r="AG334" i="2"/>
  <c r="AH334" i="2"/>
  <c r="AI334" i="2"/>
  <c r="Z335" i="2"/>
  <c r="AA335" i="2"/>
  <c r="AB335" i="2"/>
  <c r="AC335" i="2"/>
  <c r="AD335" i="2"/>
  <c r="AE335" i="2"/>
  <c r="AF335" i="2"/>
  <c r="AG335" i="2"/>
  <c r="AH335" i="2"/>
  <c r="AI335" i="2"/>
  <c r="Z336" i="2"/>
  <c r="AA336" i="2"/>
  <c r="AB336" i="2"/>
  <c r="AC336" i="2"/>
  <c r="AD336" i="2"/>
  <c r="AE336" i="2"/>
  <c r="AF336" i="2"/>
  <c r="AG336" i="2"/>
  <c r="AH336" i="2"/>
  <c r="AI336" i="2"/>
  <c r="Z337" i="2"/>
  <c r="AA337" i="2"/>
  <c r="AB337" i="2"/>
  <c r="AC337" i="2"/>
  <c r="AD337" i="2"/>
  <c r="AE337" i="2"/>
  <c r="AF337" i="2"/>
  <c r="AG337" i="2"/>
  <c r="AH337" i="2"/>
  <c r="AI337" i="2"/>
  <c r="Z338" i="2"/>
  <c r="AA338" i="2"/>
  <c r="AB338" i="2"/>
  <c r="AC338" i="2"/>
  <c r="AD338" i="2"/>
  <c r="AE338" i="2"/>
  <c r="AF338" i="2"/>
  <c r="AG338" i="2"/>
  <c r="AH338" i="2"/>
  <c r="AI338" i="2"/>
  <c r="Z339" i="2"/>
  <c r="AA339" i="2"/>
  <c r="AB339" i="2"/>
  <c r="AC339" i="2"/>
  <c r="AD339" i="2"/>
  <c r="AE339" i="2"/>
  <c r="AF339" i="2"/>
  <c r="AG339" i="2"/>
  <c r="AH339" i="2"/>
  <c r="AI339" i="2"/>
  <c r="Z340" i="2"/>
  <c r="AA340" i="2"/>
  <c r="AB340" i="2"/>
  <c r="AC340" i="2"/>
  <c r="AD340" i="2"/>
  <c r="AE340" i="2"/>
  <c r="AF340" i="2"/>
  <c r="AG340" i="2"/>
  <c r="AH340" i="2"/>
  <c r="AI340" i="2"/>
  <c r="Z341" i="2"/>
  <c r="AA341" i="2"/>
  <c r="AB341" i="2"/>
  <c r="AC341" i="2"/>
  <c r="AD341" i="2"/>
  <c r="AE341" i="2"/>
  <c r="AF341" i="2"/>
  <c r="AG341" i="2"/>
  <c r="AH341" i="2"/>
  <c r="AI341" i="2"/>
  <c r="Z342" i="2"/>
  <c r="AA342" i="2"/>
  <c r="AB342" i="2"/>
  <c r="AC342" i="2"/>
  <c r="AD342" i="2"/>
  <c r="AE342" i="2"/>
  <c r="AF342" i="2"/>
  <c r="AG342" i="2"/>
  <c r="AH342" i="2"/>
  <c r="AI342" i="2"/>
  <c r="Z343" i="2"/>
  <c r="AA343" i="2"/>
  <c r="AB343" i="2"/>
  <c r="AC343" i="2"/>
  <c r="AD343" i="2"/>
  <c r="AE343" i="2"/>
  <c r="AF343" i="2"/>
  <c r="AG343" i="2"/>
  <c r="AH343" i="2"/>
  <c r="AI343" i="2"/>
  <c r="Z344" i="2"/>
  <c r="AA344" i="2"/>
  <c r="AB344" i="2"/>
  <c r="AC344" i="2"/>
  <c r="AD344" i="2"/>
  <c r="AE344" i="2"/>
  <c r="AF344" i="2"/>
  <c r="AG344" i="2"/>
  <c r="AH344" i="2"/>
  <c r="AI344" i="2"/>
  <c r="Z345" i="2"/>
  <c r="AA345" i="2"/>
  <c r="AB345" i="2"/>
  <c r="AC345" i="2"/>
  <c r="AD345" i="2"/>
  <c r="AE345" i="2"/>
  <c r="AF345" i="2"/>
  <c r="AG345" i="2"/>
  <c r="AH345" i="2"/>
  <c r="AI345" i="2"/>
  <c r="Z346" i="2"/>
  <c r="AA346" i="2"/>
  <c r="AB346" i="2"/>
  <c r="AC346" i="2"/>
  <c r="AD346" i="2"/>
  <c r="AE346" i="2"/>
  <c r="AF346" i="2"/>
  <c r="AG346" i="2"/>
  <c r="AH346" i="2"/>
  <c r="AI346" i="2"/>
  <c r="Z347" i="2"/>
  <c r="AA347" i="2"/>
  <c r="AB347" i="2"/>
  <c r="AC347" i="2"/>
  <c r="AD347" i="2"/>
  <c r="AE347" i="2"/>
  <c r="AF347" i="2"/>
  <c r="AG347" i="2"/>
  <c r="AH347" i="2"/>
  <c r="AI347" i="2"/>
  <c r="Z348" i="2"/>
  <c r="AA348" i="2"/>
  <c r="AB348" i="2"/>
  <c r="AC348" i="2"/>
  <c r="AD348" i="2"/>
  <c r="AE348" i="2"/>
  <c r="AF348" i="2"/>
  <c r="AG348" i="2"/>
  <c r="AH348" i="2"/>
  <c r="AI348" i="2"/>
  <c r="Z349" i="2"/>
  <c r="AA349" i="2"/>
  <c r="AB349" i="2"/>
  <c r="AC349" i="2"/>
  <c r="AD349" i="2"/>
  <c r="AE349" i="2"/>
  <c r="AF349" i="2"/>
  <c r="AG349" i="2"/>
  <c r="AH349" i="2"/>
  <c r="AI349" i="2"/>
  <c r="Z350" i="2"/>
  <c r="AA350" i="2"/>
  <c r="AB350" i="2"/>
  <c r="AC350" i="2"/>
  <c r="AD350" i="2"/>
  <c r="AE350" i="2"/>
  <c r="AF350" i="2"/>
  <c r="AG350" i="2"/>
  <c r="AH350" i="2"/>
  <c r="AI350" i="2"/>
  <c r="Z351" i="2"/>
  <c r="AA351" i="2"/>
  <c r="AB351" i="2"/>
  <c r="AC351" i="2"/>
  <c r="AD351" i="2"/>
  <c r="AE351" i="2"/>
  <c r="AF351" i="2"/>
  <c r="AG351" i="2"/>
  <c r="AH351" i="2"/>
  <c r="AI351" i="2"/>
  <c r="Z352" i="2"/>
  <c r="AA352" i="2"/>
  <c r="AB352" i="2"/>
  <c r="AC352" i="2"/>
  <c r="AD352" i="2"/>
  <c r="AE352" i="2"/>
  <c r="AF352" i="2"/>
  <c r="AG352" i="2"/>
  <c r="AH352" i="2"/>
  <c r="AI352" i="2"/>
  <c r="Z353" i="2"/>
  <c r="AA353" i="2"/>
  <c r="AB353" i="2"/>
  <c r="AC353" i="2"/>
  <c r="AD353" i="2"/>
  <c r="AE353" i="2"/>
  <c r="AF353" i="2"/>
  <c r="AG353" i="2"/>
  <c r="AH353" i="2"/>
  <c r="AI353" i="2"/>
  <c r="Z354" i="2"/>
  <c r="AA354" i="2"/>
  <c r="AB354" i="2"/>
  <c r="AC354" i="2"/>
  <c r="AD354" i="2"/>
  <c r="AE354" i="2"/>
  <c r="AF354" i="2"/>
  <c r="AG354" i="2"/>
  <c r="AH354" i="2"/>
  <c r="AI354" i="2"/>
  <c r="Z355" i="2"/>
  <c r="AA355" i="2"/>
  <c r="AB355" i="2"/>
  <c r="AC355" i="2"/>
  <c r="AD355" i="2"/>
  <c r="AE355" i="2"/>
  <c r="AF355" i="2"/>
  <c r="AG355" i="2"/>
  <c r="AH355" i="2"/>
  <c r="AI355" i="2"/>
  <c r="Z356" i="2"/>
  <c r="AA356" i="2"/>
  <c r="AB356" i="2"/>
  <c r="AC356" i="2"/>
  <c r="AD356" i="2"/>
  <c r="AE356" i="2"/>
  <c r="AF356" i="2"/>
  <c r="AG356" i="2"/>
  <c r="AH356" i="2"/>
  <c r="AI356" i="2"/>
  <c r="Z357" i="2"/>
  <c r="AA357" i="2"/>
  <c r="AB357" i="2"/>
  <c r="AC357" i="2"/>
  <c r="AD357" i="2"/>
  <c r="AE357" i="2"/>
  <c r="AF357" i="2"/>
  <c r="AG357" i="2"/>
  <c r="AH357" i="2"/>
  <c r="AI357" i="2"/>
  <c r="Z358" i="2"/>
  <c r="AA358" i="2"/>
  <c r="AB358" i="2"/>
  <c r="AC358" i="2"/>
  <c r="AD358" i="2"/>
  <c r="AE358" i="2"/>
  <c r="AF358" i="2"/>
  <c r="AG358" i="2"/>
  <c r="AH358" i="2"/>
  <c r="AI358" i="2"/>
  <c r="Z359" i="2"/>
  <c r="AA359" i="2"/>
  <c r="AB359" i="2"/>
  <c r="AC359" i="2"/>
  <c r="AD359" i="2"/>
  <c r="AE359" i="2"/>
  <c r="AF359" i="2"/>
  <c r="AG359" i="2"/>
  <c r="AH359" i="2"/>
  <c r="AI359" i="2"/>
  <c r="Z360" i="2"/>
  <c r="AA360" i="2"/>
  <c r="AB360" i="2"/>
  <c r="AC360" i="2"/>
  <c r="AD360" i="2"/>
  <c r="AE360" i="2"/>
  <c r="AF360" i="2"/>
  <c r="AG360" i="2"/>
  <c r="AH360" i="2"/>
  <c r="AI360" i="2"/>
  <c r="Z361" i="2"/>
  <c r="AA361" i="2"/>
  <c r="AB361" i="2"/>
  <c r="AC361" i="2"/>
  <c r="AD361" i="2"/>
  <c r="AE361" i="2"/>
  <c r="AF361" i="2"/>
  <c r="AG361" i="2"/>
  <c r="AH361" i="2"/>
  <c r="AI361" i="2"/>
  <c r="Z362" i="2"/>
  <c r="AA362" i="2"/>
  <c r="AB362" i="2"/>
  <c r="AC362" i="2"/>
  <c r="AD362" i="2"/>
  <c r="AE362" i="2"/>
  <c r="AF362" i="2"/>
  <c r="AG362" i="2"/>
  <c r="AH362" i="2"/>
  <c r="AI362" i="2"/>
  <c r="Z363" i="2"/>
  <c r="AA363" i="2"/>
  <c r="AB363" i="2"/>
  <c r="AC363" i="2"/>
  <c r="AD363" i="2"/>
  <c r="AE363" i="2"/>
  <c r="AF363" i="2"/>
  <c r="AG363" i="2"/>
  <c r="AH363" i="2"/>
  <c r="AI363" i="2"/>
  <c r="Z364" i="2"/>
  <c r="AA364" i="2"/>
  <c r="AB364" i="2"/>
  <c r="AC364" i="2"/>
  <c r="AD364" i="2"/>
  <c r="AE364" i="2"/>
  <c r="AF364" i="2"/>
  <c r="AG364" i="2"/>
  <c r="AH364" i="2"/>
  <c r="AI364" i="2"/>
  <c r="Z365" i="2"/>
  <c r="AA365" i="2"/>
  <c r="AB365" i="2"/>
  <c r="AC365" i="2"/>
  <c r="AD365" i="2"/>
  <c r="AE365" i="2"/>
  <c r="AF365" i="2"/>
  <c r="AG365" i="2"/>
  <c r="AH365" i="2"/>
  <c r="AI365" i="2"/>
  <c r="Z366" i="2"/>
  <c r="AA366" i="2"/>
  <c r="AB366" i="2"/>
  <c r="AC366" i="2"/>
  <c r="AD366" i="2"/>
  <c r="AE366" i="2"/>
  <c r="AF366" i="2"/>
  <c r="AG366" i="2"/>
  <c r="AH366" i="2"/>
  <c r="AI366" i="2"/>
  <c r="Z367" i="2"/>
  <c r="AA367" i="2"/>
  <c r="AB367" i="2"/>
  <c r="AC367" i="2"/>
  <c r="AD367" i="2"/>
  <c r="AE367" i="2"/>
  <c r="AF367" i="2"/>
  <c r="AG367" i="2"/>
  <c r="AH367" i="2"/>
  <c r="AI367" i="2"/>
  <c r="Z368" i="2"/>
  <c r="AA368" i="2"/>
  <c r="AB368" i="2"/>
  <c r="AC368" i="2"/>
  <c r="AD368" i="2"/>
  <c r="AE368" i="2"/>
  <c r="AF368" i="2"/>
  <c r="AG368" i="2"/>
  <c r="AH368" i="2"/>
  <c r="AI368" i="2"/>
  <c r="Z369" i="2"/>
  <c r="AA369" i="2"/>
  <c r="AB369" i="2"/>
  <c r="AC369" i="2"/>
  <c r="AD369" i="2"/>
  <c r="AE369" i="2"/>
  <c r="AF369" i="2"/>
  <c r="AG369" i="2"/>
  <c r="AH369" i="2"/>
  <c r="AI369" i="2"/>
  <c r="Z370" i="2"/>
  <c r="AA370" i="2"/>
  <c r="AB370" i="2"/>
  <c r="AC370" i="2"/>
  <c r="AD370" i="2"/>
  <c r="AE370" i="2"/>
  <c r="AF370" i="2"/>
  <c r="AG370" i="2"/>
  <c r="AH370" i="2"/>
  <c r="AI370" i="2"/>
  <c r="Z371" i="2"/>
  <c r="AA371" i="2"/>
  <c r="AB371" i="2"/>
  <c r="AC371" i="2"/>
  <c r="AD371" i="2"/>
  <c r="AE371" i="2"/>
  <c r="AF371" i="2"/>
  <c r="AG371" i="2"/>
  <c r="AH371" i="2"/>
  <c r="AI371" i="2"/>
  <c r="Z372" i="2"/>
  <c r="AA372" i="2"/>
  <c r="AB372" i="2"/>
  <c r="AC372" i="2"/>
  <c r="AD372" i="2"/>
  <c r="AE372" i="2"/>
  <c r="AF372" i="2"/>
  <c r="AG372" i="2"/>
  <c r="AH372" i="2"/>
  <c r="AI372" i="2"/>
  <c r="Z373" i="2"/>
  <c r="AA373" i="2"/>
  <c r="AB373" i="2"/>
  <c r="AC373" i="2"/>
  <c r="AD373" i="2"/>
  <c r="AE373" i="2"/>
  <c r="AF373" i="2"/>
  <c r="AG373" i="2"/>
  <c r="AH373" i="2"/>
  <c r="AI373" i="2"/>
  <c r="Z374" i="2"/>
  <c r="AA374" i="2"/>
  <c r="AB374" i="2"/>
  <c r="AC374" i="2"/>
  <c r="AD374" i="2"/>
  <c r="AE374" i="2"/>
  <c r="AF374" i="2"/>
  <c r="AG374" i="2"/>
  <c r="AH374" i="2"/>
  <c r="AI374" i="2"/>
  <c r="Z375" i="2"/>
  <c r="AA375" i="2"/>
  <c r="AB375" i="2"/>
  <c r="AC375" i="2"/>
  <c r="AD375" i="2"/>
  <c r="AE375" i="2"/>
  <c r="AF375" i="2"/>
  <c r="AG375" i="2"/>
  <c r="AH375" i="2"/>
  <c r="AI375" i="2"/>
  <c r="Z376" i="2"/>
  <c r="AA376" i="2"/>
  <c r="AB376" i="2"/>
  <c r="AC376" i="2"/>
  <c r="AD376" i="2"/>
  <c r="AE376" i="2"/>
  <c r="AF376" i="2"/>
  <c r="AG376" i="2"/>
  <c r="AH376" i="2"/>
  <c r="AI376" i="2"/>
  <c r="Z377" i="2"/>
  <c r="AA377" i="2"/>
  <c r="AB377" i="2"/>
  <c r="AC377" i="2"/>
  <c r="AD377" i="2"/>
  <c r="AE377" i="2"/>
  <c r="AF377" i="2"/>
  <c r="AG377" i="2"/>
  <c r="AH377" i="2"/>
  <c r="AI377" i="2"/>
  <c r="Z378" i="2"/>
  <c r="AA378" i="2"/>
  <c r="AB378" i="2"/>
  <c r="AC378" i="2"/>
  <c r="AD378" i="2"/>
  <c r="AE378" i="2"/>
  <c r="AF378" i="2"/>
  <c r="AG378" i="2"/>
  <c r="AH378" i="2"/>
  <c r="AI378" i="2"/>
  <c r="Z379" i="2"/>
  <c r="AA379" i="2"/>
  <c r="AB379" i="2"/>
  <c r="AC379" i="2"/>
  <c r="AD379" i="2"/>
  <c r="AE379" i="2"/>
  <c r="AF379" i="2"/>
  <c r="AG379" i="2"/>
  <c r="AH379" i="2"/>
  <c r="AI379" i="2"/>
  <c r="Z380" i="2"/>
  <c r="AA380" i="2"/>
  <c r="AB380" i="2"/>
  <c r="AC380" i="2"/>
  <c r="AD380" i="2"/>
  <c r="AE380" i="2"/>
  <c r="AF380" i="2"/>
  <c r="AG380" i="2"/>
  <c r="AH380" i="2"/>
  <c r="AI380" i="2"/>
  <c r="Z381" i="2"/>
  <c r="AA381" i="2"/>
  <c r="AB381" i="2"/>
  <c r="AC381" i="2"/>
  <c r="AD381" i="2"/>
  <c r="AE381" i="2"/>
  <c r="AF381" i="2"/>
  <c r="AG381" i="2"/>
  <c r="AH381" i="2"/>
  <c r="AI381" i="2"/>
  <c r="Z382" i="2"/>
  <c r="AA382" i="2"/>
  <c r="AB382" i="2"/>
  <c r="AC382" i="2"/>
  <c r="AD382" i="2"/>
  <c r="AE382" i="2"/>
  <c r="AF382" i="2"/>
  <c r="AG382" i="2"/>
  <c r="AH382" i="2"/>
  <c r="AI382" i="2"/>
  <c r="Z383" i="2"/>
  <c r="AA383" i="2"/>
  <c r="AB383" i="2"/>
  <c r="AC383" i="2"/>
  <c r="AD383" i="2"/>
  <c r="AE383" i="2"/>
  <c r="AF383" i="2"/>
  <c r="AG383" i="2"/>
  <c r="AH383" i="2"/>
  <c r="AI383" i="2"/>
  <c r="Z384" i="2"/>
  <c r="AA384" i="2"/>
  <c r="AB384" i="2"/>
  <c r="AC384" i="2"/>
  <c r="AD384" i="2"/>
  <c r="AE384" i="2"/>
  <c r="AF384" i="2"/>
  <c r="AG384" i="2"/>
  <c r="AH384" i="2"/>
  <c r="AI384" i="2"/>
  <c r="Z385" i="2"/>
  <c r="AA385" i="2"/>
  <c r="AB385" i="2"/>
  <c r="AC385" i="2"/>
  <c r="AD385" i="2"/>
  <c r="AE385" i="2"/>
  <c r="AF385" i="2"/>
  <c r="AG385" i="2"/>
  <c r="AH385" i="2"/>
  <c r="AI385" i="2"/>
  <c r="Z386" i="2"/>
  <c r="AA386" i="2"/>
  <c r="AB386" i="2"/>
  <c r="AC386" i="2"/>
  <c r="AD386" i="2"/>
  <c r="AE386" i="2"/>
  <c r="AF386" i="2"/>
  <c r="AG386" i="2"/>
  <c r="AH386" i="2"/>
  <c r="AI386" i="2"/>
  <c r="Z387" i="2"/>
  <c r="AA387" i="2"/>
  <c r="AB387" i="2"/>
  <c r="AC387" i="2"/>
  <c r="AD387" i="2"/>
  <c r="AE387" i="2"/>
  <c r="AF387" i="2"/>
  <c r="AG387" i="2"/>
  <c r="AH387" i="2"/>
  <c r="AI387" i="2"/>
  <c r="Z388" i="2"/>
  <c r="AA388" i="2"/>
  <c r="AB388" i="2"/>
  <c r="AC388" i="2"/>
  <c r="AD388" i="2"/>
  <c r="AE388" i="2"/>
  <c r="AF388" i="2"/>
  <c r="AG388" i="2"/>
  <c r="AH388" i="2"/>
  <c r="AI388" i="2"/>
  <c r="Z389" i="2"/>
  <c r="AA389" i="2"/>
  <c r="AB389" i="2"/>
  <c r="AC389" i="2"/>
  <c r="AD389" i="2"/>
  <c r="AE389" i="2"/>
  <c r="AF389" i="2"/>
  <c r="AG389" i="2"/>
  <c r="AH389" i="2"/>
  <c r="AI389" i="2"/>
  <c r="Z390" i="2"/>
  <c r="AA390" i="2"/>
  <c r="AB390" i="2"/>
  <c r="AC390" i="2"/>
  <c r="AD390" i="2"/>
  <c r="AE390" i="2"/>
  <c r="AF390" i="2"/>
  <c r="AG390" i="2"/>
  <c r="AH390" i="2"/>
  <c r="AI390" i="2"/>
  <c r="Z391" i="2"/>
  <c r="AA391" i="2"/>
  <c r="AB391" i="2"/>
  <c r="AC391" i="2"/>
  <c r="AD391" i="2"/>
  <c r="AE391" i="2"/>
  <c r="AF391" i="2"/>
  <c r="AG391" i="2"/>
  <c r="AH391" i="2"/>
  <c r="AI391" i="2"/>
  <c r="Z392" i="2"/>
  <c r="AA392" i="2"/>
  <c r="AB392" i="2"/>
  <c r="AC392" i="2"/>
  <c r="AD392" i="2"/>
  <c r="AE392" i="2"/>
  <c r="AF392" i="2"/>
  <c r="AG392" i="2"/>
  <c r="AH392" i="2"/>
  <c r="AI392" i="2"/>
  <c r="Z393" i="2"/>
  <c r="AA393" i="2"/>
  <c r="AB393" i="2"/>
  <c r="AC393" i="2"/>
  <c r="AD393" i="2"/>
  <c r="AE393" i="2"/>
  <c r="AF393" i="2"/>
  <c r="AG393" i="2"/>
  <c r="AH393" i="2"/>
  <c r="AI393" i="2"/>
  <c r="Z394" i="2"/>
  <c r="AA394" i="2"/>
  <c r="AB394" i="2"/>
  <c r="AC394" i="2"/>
  <c r="AD394" i="2"/>
  <c r="AE394" i="2"/>
  <c r="AF394" i="2"/>
  <c r="AG394" i="2"/>
  <c r="AH394" i="2"/>
  <c r="AI394" i="2"/>
  <c r="Z395" i="2"/>
  <c r="AA395" i="2"/>
  <c r="AB395" i="2"/>
  <c r="AC395" i="2"/>
  <c r="AD395" i="2"/>
  <c r="AE395" i="2"/>
  <c r="AF395" i="2"/>
  <c r="AG395" i="2"/>
  <c r="AH395" i="2"/>
  <c r="AI395" i="2"/>
  <c r="Z396" i="2"/>
  <c r="AA396" i="2"/>
  <c r="AB396" i="2"/>
  <c r="AC396" i="2"/>
  <c r="AD396" i="2"/>
  <c r="AE396" i="2"/>
  <c r="AF396" i="2"/>
  <c r="AG396" i="2"/>
  <c r="AH396" i="2"/>
  <c r="AI396" i="2"/>
  <c r="Z397" i="2"/>
  <c r="AA397" i="2"/>
  <c r="AB397" i="2"/>
  <c r="AC397" i="2"/>
  <c r="AD397" i="2"/>
  <c r="AE397" i="2"/>
  <c r="AF397" i="2"/>
  <c r="AG397" i="2"/>
  <c r="AH397" i="2"/>
  <c r="AI397" i="2"/>
  <c r="Z398" i="2"/>
  <c r="AA398" i="2"/>
  <c r="AB398" i="2"/>
  <c r="AC398" i="2"/>
  <c r="AD398" i="2"/>
  <c r="AE398" i="2"/>
  <c r="AF398" i="2"/>
  <c r="AG398" i="2"/>
  <c r="AH398" i="2"/>
  <c r="AI398" i="2"/>
  <c r="Z399" i="2"/>
  <c r="AA399" i="2"/>
  <c r="AB399" i="2"/>
  <c r="AC399" i="2"/>
  <c r="AD399" i="2"/>
  <c r="AE399" i="2"/>
  <c r="AF399" i="2"/>
  <c r="AG399" i="2"/>
  <c r="AH399" i="2"/>
  <c r="AI399" i="2"/>
  <c r="Z400" i="2"/>
  <c r="AA400" i="2"/>
  <c r="AB400" i="2"/>
  <c r="AC400" i="2"/>
  <c r="AD400" i="2"/>
  <c r="AE400" i="2"/>
  <c r="AF400" i="2"/>
  <c r="AG400" i="2"/>
  <c r="AH400" i="2"/>
  <c r="AI400" i="2"/>
  <c r="Z401" i="2"/>
  <c r="AA401" i="2"/>
  <c r="AB401" i="2"/>
  <c r="AC401" i="2"/>
  <c r="AD401" i="2"/>
  <c r="AE401" i="2"/>
  <c r="AF401" i="2"/>
  <c r="AG401" i="2"/>
  <c r="AH401" i="2"/>
  <c r="AI401" i="2"/>
  <c r="Z402" i="2"/>
  <c r="AA402" i="2"/>
  <c r="AB402" i="2"/>
  <c r="AC402" i="2"/>
  <c r="AD402" i="2"/>
  <c r="AE402" i="2"/>
  <c r="AF402" i="2"/>
  <c r="AG402" i="2"/>
  <c r="AH402" i="2"/>
  <c r="AI402" i="2"/>
  <c r="Z403" i="2"/>
  <c r="AA403" i="2"/>
  <c r="AB403" i="2"/>
  <c r="AC403" i="2"/>
  <c r="AD403" i="2"/>
  <c r="AE403" i="2"/>
  <c r="AF403" i="2"/>
  <c r="AG403" i="2"/>
  <c r="AH403" i="2"/>
  <c r="AI403" i="2"/>
  <c r="Z404" i="2"/>
  <c r="AA404" i="2"/>
  <c r="AB404" i="2"/>
  <c r="AC404" i="2"/>
  <c r="AD404" i="2"/>
  <c r="AE404" i="2"/>
  <c r="AF404" i="2"/>
  <c r="AG404" i="2"/>
  <c r="AH404" i="2"/>
  <c r="AI404" i="2"/>
  <c r="Z405" i="2"/>
  <c r="AA405" i="2"/>
  <c r="AB405" i="2"/>
  <c r="AC405" i="2"/>
  <c r="AD405" i="2"/>
  <c r="AE405" i="2"/>
  <c r="AF405" i="2"/>
  <c r="AG405" i="2"/>
  <c r="AH405" i="2"/>
  <c r="AI405" i="2"/>
  <c r="Z406" i="2"/>
  <c r="AA406" i="2"/>
  <c r="AB406" i="2"/>
  <c r="AC406" i="2"/>
  <c r="AD406" i="2"/>
  <c r="AE406" i="2"/>
  <c r="AF406" i="2"/>
  <c r="AG406" i="2"/>
  <c r="AH406" i="2"/>
  <c r="AI406" i="2"/>
  <c r="Z407" i="2"/>
  <c r="AA407" i="2"/>
  <c r="AB407" i="2"/>
  <c r="AC407" i="2"/>
  <c r="AD407" i="2"/>
  <c r="AE407" i="2"/>
  <c r="AF407" i="2"/>
  <c r="AG407" i="2"/>
  <c r="AH407" i="2"/>
  <c r="AI407" i="2"/>
  <c r="Z408" i="2"/>
  <c r="AA408" i="2"/>
  <c r="AB408" i="2"/>
  <c r="AC408" i="2"/>
  <c r="AD408" i="2"/>
  <c r="AE408" i="2"/>
  <c r="AF408" i="2"/>
  <c r="AG408" i="2"/>
  <c r="AH408" i="2"/>
  <c r="AI408" i="2"/>
  <c r="Z409" i="2"/>
  <c r="AA409" i="2"/>
  <c r="AB409" i="2"/>
  <c r="AC409" i="2"/>
  <c r="AD409" i="2"/>
  <c r="AE409" i="2"/>
  <c r="AF409" i="2"/>
  <c r="AG409" i="2"/>
  <c r="AH409" i="2"/>
  <c r="AI409" i="2"/>
  <c r="Z410" i="2"/>
  <c r="AA410" i="2"/>
  <c r="AB410" i="2"/>
  <c r="AC410" i="2"/>
  <c r="AD410" i="2"/>
  <c r="AE410" i="2"/>
  <c r="AF410" i="2"/>
  <c r="AG410" i="2"/>
  <c r="AH410" i="2"/>
  <c r="AI410" i="2"/>
  <c r="Z411" i="2"/>
  <c r="AA411" i="2"/>
  <c r="AB411" i="2"/>
  <c r="AC411" i="2"/>
  <c r="AD411" i="2"/>
  <c r="AE411" i="2"/>
  <c r="AF411" i="2"/>
  <c r="AG411" i="2"/>
  <c r="AH411" i="2"/>
  <c r="AI411" i="2"/>
  <c r="Z412" i="2"/>
  <c r="AA412" i="2"/>
  <c r="AB412" i="2"/>
  <c r="AC412" i="2"/>
  <c r="AD412" i="2"/>
  <c r="AE412" i="2"/>
  <c r="AF412" i="2"/>
  <c r="AG412" i="2"/>
  <c r="AH412" i="2"/>
  <c r="AI412" i="2"/>
  <c r="Z413" i="2"/>
  <c r="AA413" i="2"/>
  <c r="AB413" i="2"/>
  <c r="AC413" i="2"/>
  <c r="AD413" i="2"/>
  <c r="AE413" i="2"/>
  <c r="AF413" i="2"/>
  <c r="AG413" i="2"/>
  <c r="AH413" i="2"/>
  <c r="AI413" i="2"/>
  <c r="Z414" i="2"/>
  <c r="AA414" i="2"/>
  <c r="AB414" i="2"/>
  <c r="AC414" i="2"/>
  <c r="AD414" i="2"/>
  <c r="AE414" i="2"/>
  <c r="AF414" i="2"/>
  <c r="AG414" i="2"/>
  <c r="AH414" i="2"/>
  <c r="AI414" i="2"/>
  <c r="Z415" i="2"/>
  <c r="AA415" i="2"/>
  <c r="AB415" i="2"/>
  <c r="AC415" i="2"/>
  <c r="AD415" i="2"/>
  <c r="AE415" i="2"/>
  <c r="AF415" i="2"/>
  <c r="AG415" i="2"/>
  <c r="AH415" i="2"/>
  <c r="AI415" i="2"/>
  <c r="Z416" i="2"/>
  <c r="AA416" i="2"/>
  <c r="AB416" i="2"/>
  <c r="AC416" i="2"/>
  <c r="AD416" i="2"/>
  <c r="AE416" i="2"/>
  <c r="AF416" i="2"/>
  <c r="AG416" i="2"/>
  <c r="AH416" i="2"/>
  <c r="AI416" i="2"/>
  <c r="Z417" i="2"/>
  <c r="AA417" i="2"/>
  <c r="AB417" i="2"/>
  <c r="AC417" i="2"/>
  <c r="AD417" i="2"/>
  <c r="AE417" i="2"/>
  <c r="AF417" i="2"/>
  <c r="AG417" i="2"/>
  <c r="AH417" i="2"/>
  <c r="AI417" i="2"/>
  <c r="Z418" i="2"/>
  <c r="AA418" i="2"/>
  <c r="AB418" i="2"/>
  <c r="AC418" i="2"/>
  <c r="AD418" i="2"/>
  <c r="AE418" i="2"/>
  <c r="AF418" i="2"/>
  <c r="AG418" i="2"/>
  <c r="AH418" i="2"/>
  <c r="AI418" i="2"/>
  <c r="Z419" i="2"/>
  <c r="AA419" i="2"/>
  <c r="AB419" i="2"/>
  <c r="AC419" i="2"/>
  <c r="AD419" i="2"/>
  <c r="AE419" i="2"/>
  <c r="AF419" i="2"/>
  <c r="AG419" i="2"/>
  <c r="AH419" i="2"/>
  <c r="AI419" i="2"/>
  <c r="Z420" i="2"/>
  <c r="AA420" i="2"/>
  <c r="AB420" i="2"/>
  <c r="AC420" i="2"/>
  <c r="AD420" i="2"/>
  <c r="AE420" i="2"/>
  <c r="AF420" i="2"/>
  <c r="AG420" i="2"/>
  <c r="AH420" i="2"/>
  <c r="AI420" i="2"/>
  <c r="Z421" i="2"/>
  <c r="AA421" i="2"/>
  <c r="AB421" i="2"/>
  <c r="AC421" i="2"/>
  <c r="AD421" i="2"/>
  <c r="AE421" i="2"/>
  <c r="AF421" i="2"/>
  <c r="AG421" i="2"/>
  <c r="AH421" i="2"/>
  <c r="AI421" i="2"/>
  <c r="Z422" i="2"/>
  <c r="AA422" i="2"/>
  <c r="AB422" i="2"/>
  <c r="AC422" i="2"/>
  <c r="AD422" i="2"/>
  <c r="AE422" i="2"/>
  <c r="AF422" i="2"/>
  <c r="AG422" i="2"/>
  <c r="AH422" i="2"/>
  <c r="AI422" i="2"/>
  <c r="Z423" i="2"/>
  <c r="AA423" i="2"/>
  <c r="AB423" i="2"/>
  <c r="AC423" i="2"/>
  <c r="AD423" i="2"/>
  <c r="AE423" i="2"/>
  <c r="AF423" i="2"/>
  <c r="AG423" i="2"/>
  <c r="AH423" i="2"/>
  <c r="AI423" i="2"/>
  <c r="Z424" i="2"/>
  <c r="AA424" i="2"/>
  <c r="AB424" i="2"/>
  <c r="AC424" i="2"/>
  <c r="AD424" i="2"/>
  <c r="AE424" i="2"/>
  <c r="AF424" i="2"/>
  <c r="AG424" i="2"/>
  <c r="AH424" i="2"/>
  <c r="AI424" i="2"/>
  <c r="Z425" i="2"/>
  <c r="AA425" i="2"/>
  <c r="AB425" i="2"/>
  <c r="AC425" i="2"/>
  <c r="AD425" i="2"/>
  <c r="AE425" i="2"/>
  <c r="AF425" i="2"/>
  <c r="AG425" i="2"/>
  <c r="AH425" i="2"/>
  <c r="AI425" i="2"/>
  <c r="Z426" i="2"/>
  <c r="AA426" i="2"/>
  <c r="AB426" i="2"/>
  <c r="AC426" i="2"/>
  <c r="AD426" i="2"/>
  <c r="AE426" i="2"/>
  <c r="AF426" i="2"/>
  <c r="AG426" i="2"/>
  <c r="AH426" i="2"/>
  <c r="AI426" i="2"/>
  <c r="Z427" i="2"/>
  <c r="AA427" i="2"/>
  <c r="AB427" i="2"/>
  <c r="AC427" i="2"/>
  <c r="AD427" i="2"/>
  <c r="AE427" i="2"/>
  <c r="AF427" i="2"/>
  <c r="AG427" i="2"/>
  <c r="AH427" i="2"/>
  <c r="AI427" i="2"/>
  <c r="Z428" i="2"/>
  <c r="AA428" i="2"/>
  <c r="AB428" i="2"/>
  <c r="AC428" i="2"/>
  <c r="AD428" i="2"/>
  <c r="AE428" i="2"/>
  <c r="AF428" i="2"/>
  <c r="AG428" i="2"/>
  <c r="AH428" i="2"/>
  <c r="AI428" i="2"/>
  <c r="Z429" i="2"/>
  <c r="AA429" i="2"/>
  <c r="AB429" i="2"/>
  <c r="AC429" i="2"/>
  <c r="AD429" i="2"/>
  <c r="AE429" i="2"/>
  <c r="AF429" i="2"/>
  <c r="AG429" i="2"/>
  <c r="AH429" i="2"/>
  <c r="AI429" i="2"/>
  <c r="Z430" i="2"/>
  <c r="AA430" i="2"/>
  <c r="AB430" i="2"/>
  <c r="AC430" i="2"/>
  <c r="AD430" i="2"/>
  <c r="AE430" i="2"/>
  <c r="AF430" i="2"/>
  <c r="AG430" i="2"/>
  <c r="AH430" i="2"/>
  <c r="AI430" i="2"/>
  <c r="Z431" i="2"/>
  <c r="AA431" i="2"/>
  <c r="AB431" i="2"/>
  <c r="AC431" i="2"/>
  <c r="AD431" i="2"/>
  <c r="AE431" i="2"/>
  <c r="AF431" i="2"/>
  <c r="AG431" i="2"/>
  <c r="AH431" i="2"/>
  <c r="AI431" i="2"/>
  <c r="Z432" i="2"/>
  <c r="AA432" i="2"/>
  <c r="AB432" i="2"/>
  <c r="AC432" i="2"/>
  <c r="AD432" i="2"/>
  <c r="AE432" i="2"/>
  <c r="AF432" i="2"/>
  <c r="AG432" i="2"/>
  <c r="AH432" i="2"/>
  <c r="AI432" i="2"/>
  <c r="Z433" i="2"/>
  <c r="AA433" i="2"/>
  <c r="AB433" i="2"/>
  <c r="AC433" i="2"/>
  <c r="AD433" i="2"/>
  <c r="AE433" i="2"/>
  <c r="AF433" i="2"/>
  <c r="AG433" i="2"/>
  <c r="AH433" i="2"/>
  <c r="AI433" i="2"/>
  <c r="Z434" i="2"/>
  <c r="AA434" i="2"/>
  <c r="AB434" i="2"/>
  <c r="AC434" i="2"/>
  <c r="AD434" i="2"/>
  <c r="AE434" i="2"/>
  <c r="AF434" i="2"/>
  <c r="AG434" i="2"/>
  <c r="AH434" i="2"/>
  <c r="AI434" i="2"/>
  <c r="Z435" i="2"/>
  <c r="AA435" i="2"/>
  <c r="AB435" i="2"/>
  <c r="AC435" i="2"/>
  <c r="AD435" i="2"/>
  <c r="AE435" i="2"/>
  <c r="AF435" i="2"/>
  <c r="AG435" i="2"/>
  <c r="AH435" i="2"/>
  <c r="AI435" i="2"/>
  <c r="Z436" i="2"/>
  <c r="AA436" i="2"/>
  <c r="AB436" i="2"/>
  <c r="AC436" i="2"/>
  <c r="AD436" i="2"/>
  <c r="AE436" i="2"/>
  <c r="AF436" i="2"/>
  <c r="AG436" i="2"/>
  <c r="AH436" i="2"/>
  <c r="AI436" i="2"/>
  <c r="Z437" i="2"/>
  <c r="AA437" i="2"/>
  <c r="AB437" i="2"/>
  <c r="AC437" i="2"/>
  <c r="AD437" i="2"/>
  <c r="AE437" i="2"/>
  <c r="AF437" i="2"/>
  <c r="AG437" i="2"/>
  <c r="AH437" i="2"/>
  <c r="AI437" i="2"/>
  <c r="Z438" i="2"/>
  <c r="AA438" i="2"/>
  <c r="AB438" i="2"/>
  <c r="AC438" i="2"/>
  <c r="AD438" i="2"/>
  <c r="AE438" i="2"/>
  <c r="AF438" i="2"/>
  <c r="AG438" i="2"/>
  <c r="AH438" i="2"/>
  <c r="AI438" i="2"/>
  <c r="Z439" i="2"/>
  <c r="AA439" i="2"/>
  <c r="AB439" i="2"/>
  <c r="AC439" i="2"/>
  <c r="AD439" i="2"/>
  <c r="AE439" i="2"/>
  <c r="AF439" i="2"/>
  <c r="AG439" i="2"/>
  <c r="AH439" i="2"/>
  <c r="AI439" i="2"/>
  <c r="Z440" i="2"/>
  <c r="AA440" i="2"/>
  <c r="AB440" i="2"/>
  <c r="AC440" i="2"/>
  <c r="AD440" i="2"/>
  <c r="AE440" i="2"/>
  <c r="AF440" i="2"/>
  <c r="AG440" i="2"/>
  <c r="AH440" i="2"/>
  <c r="AI440" i="2"/>
  <c r="Z441" i="2"/>
  <c r="AA441" i="2"/>
  <c r="AB441" i="2"/>
  <c r="AC441" i="2"/>
  <c r="AD441" i="2"/>
  <c r="AE441" i="2"/>
  <c r="AF441" i="2"/>
  <c r="AG441" i="2"/>
  <c r="AH441" i="2"/>
  <c r="AI441" i="2"/>
  <c r="Z442" i="2"/>
  <c r="AA442" i="2"/>
  <c r="AB442" i="2"/>
  <c r="AC442" i="2"/>
  <c r="AD442" i="2"/>
  <c r="AE442" i="2"/>
  <c r="AF442" i="2"/>
  <c r="AG442" i="2"/>
  <c r="AH442" i="2"/>
  <c r="AI442" i="2"/>
  <c r="Z443" i="2"/>
  <c r="AA443" i="2"/>
  <c r="AB443" i="2"/>
  <c r="AC443" i="2"/>
  <c r="AD443" i="2"/>
  <c r="AE443" i="2"/>
  <c r="AF443" i="2"/>
  <c r="AG443" i="2"/>
  <c r="AH443" i="2"/>
  <c r="AI443" i="2"/>
  <c r="Z444" i="2"/>
  <c r="AA444" i="2"/>
  <c r="AB444" i="2"/>
  <c r="AC444" i="2"/>
  <c r="AD444" i="2"/>
  <c r="AE444" i="2"/>
  <c r="AF444" i="2"/>
  <c r="AG444" i="2"/>
  <c r="AH444" i="2"/>
  <c r="AI444" i="2"/>
  <c r="Z445" i="2"/>
  <c r="AA445" i="2"/>
  <c r="AB445" i="2"/>
  <c r="AC445" i="2"/>
  <c r="AD445" i="2"/>
  <c r="AE445" i="2"/>
  <c r="AF445" i="2"/>
  <c r="AG445" i="2"/>
  <c r="AH445" i="2"/>
  <c r="AI445" i="2"/>
  <c r="Z446" i="2"/>
  <c r="AA446" i="2"/>
  <c r="AB446" i="2"/>
  <c r="AC446" i="2"/>
  <c r="AD446" i="2"/>
  <c r="AE446" i="2"/>
  <c r="AF446" i="2"/>
  <c r="AG446" i="2"/>
  <c r="AH446" i="2"/>
  <c r="AI446" i="2"/>
  <c r="Z447" i="2"/>
  <c r="AA447" i="2"/>
  <c r="AB447" i="2"/>
  <c r="AC447" i="2"/>
  <c r="AD447" i="2"/>
  <c r="AE447" i="2"/>
  <c r="AF447" i="2"/>
  <c r="AG447" i="2"/>
  <c r="AH447" i="2"/>
  <c r="AI447" i="2"/>
  <c r="Z448" i="2"/>
  <c r="AA448" i="2"/>
  <c r="AB448" i="2"/>
  <c r="AC448" i="2"/>
  <c r="AD448" i="2"/>
  <c r="AE448" i="2"/>
  <c r="AF448" i="2"/>
  <c r="AG448" i="2"/>
  <c r="AH448" i="2"/>
  <c r="AI448" i="2"/>
  <c r="Z449" i="2"/>
  <c r="AA449" i="2"/>
  <c r="AB449" i="2"/>
  <c r="AC449" i="2"/>
  <c r="AD449" i="2"/>
  <c r="AE449" i="2"/>
  <c r="AF449" i="2"/>
  <c r="AG449" i="2"/>
  <c r="AH449" i="2"/>
  <c r="AI449" i="2"/>
  <c r="Z450" i="2"/>
  <c r="AA450" i="2"/>
  <c r="AB450" i="2"/>
  <c r="AC450" i="2"/>
  <c r="AD450" i="2"/>
  <c r="AE450" i="2"/>
  <c r="AF450" i="2"/>
  <c r="AG450" i="2"/>
  <c r="AH450" i="2"/>
  <c r="AI450" i="2"/>
  <c r="Z451" i="2"/>
  <c r="AA451" i="2"/>
  <c r="AB451" i="2"/>
  <c r="AC451" i="2"/>
  <c r="AD451" i="2"/>
  <c r="AE451" i="2"/>
  <c r="AF451" i="2"/>
  <c r="AG451" i="2"/>
  <c r="AH451" i="2"/>
  <c r="AI451" i="2"/>
  <c r="Z452" i="2"/>
  <c r="AA452" i="2"/>
  <c r="AB452" i="2"/>
  <c r="AC452" i="2"/>
  <c r="AD452" i="2"/>
  <c r="AE452" i="2"/>
  <c r="AF452" i="2"/>
  <c r="AG452" i="2"/>
  <c r="AH452" i="2"/>
  <c r="AI452" i="2"/>
  <c r="Z453" i="2"/>
  <c r="AA453" i="2"/>
  <c r="AB453" i="2"/>
  <c r="AC453" i="2"/>
  <c r="AD453" i="2"/>
  <c r="AE453" i="2"/>
  <c r="AF453" i="2"/>
  <c r="AG453" i="2"/>
  <c r="AH453" i="2"/>
  <c r="AI453" i="2"/>
  <c r="Z454" i="2"/>
  <c r="AA454" i="2"/>
  <c r="AB454" i="2"/>
  <c r="AC454" i="2"/>
  <c r="AD454" i="2"/>
  <c r="AE454" i="2"/>
  <c r="AF454" i="2"/>
  <c r="AG454" i="2"/>
  <c r="AH454" i="2"/>
  <c r="AI454" i="2"/>
  <c r="Z455" i="2"/>
  <c r="AA455" i="2"/>
  <c r="AB455" i="2"/>
  <c r="AC455" i="2"/>
  <c r="AD455" i="2"/>
  <c r="AE455" i="2"/>
  <c r="AF455" i="2"/>
  <c r="AG455" i="2"/>
  <c r="AH455" i="2"/>
  <c r="AI455" i="2"/>
  <c r="Z456" i="2"/>
  <c r="AA456" i="2"/>
  <c r="AB456" i="2"/>
  <c r="AC456" i="2"/>
  <c r="AD456" i="2"/>
  <c r="AE456" i="2"/>
  <c r="AF456" i="2"/>
  <c r="AG456" i="2"/>
  <c r="AH456" i="2"/>
  <c r="AI456" i="2"/>
  <c r="Z457" i="2"/>
  <c r="AA457" i="2"/>
  <c r="AB457" i="2"/>
  <c r="AC457" i="2"/>
  <c r="AD457" i="2"/>
  <c r="AE457" i="2"/>
  <c r="AF457" i="2"/>
  <c r="AG457" i="2"/>
  <c r="AH457" i="2"/>
  <c r="AI457" i="2"/>
  <c r="Z458" i="2"/>
  <c r="AA458" i="2"/>
  <c r="AB458" i="2"/>
  <c r="AC458" i="2"/>
  <c r="AD458" i="2"/>
  <c r="AE458" i="2"/>
  <c r="AF458" i="2"/>
  <c r="AG458" i="2"/>
  <c r="AH458" i="2"/>
  <c r="AI458" i="2"/>
  <c r="Z459" i="2"/>
  <c r="AA459" i="2"/>
  <c r="AB459" i="2"/>
  <c r="AC459" i="2"/>
  <c r="AD459" i="2"/>
  <c r="AE459" i="2"/>
  <c r="AF459" i="2"/>
  <c r="AG459" i="2"/>
  <c r="AH459" i="2"/>
  <c r="AI459" i="2"/>
  <c r="Z460" i="2"/>
  <c r="AA460" i="2"/>
  <c r="AB460" i="2"/>
  <c r="AC460" i="2"/>
  <c r="AD460" i="2"/>
  <c r="AE460" i="2"/>
  <c r="AF460" i="2"/>
  <c r="AG460" i="2"/>
  <c r="AH460" i="2"/>
  <c r="AI460" i="2"/>
  <c r="Z461" i="2"/>
  <c r="AA461" i="2"/>
  <c r="AB461" i="2"/>
  <c r="AC461" i="2"/>
  <c r="AD461" i="2"/>
  <c r="AE461" i="2"/>
  <c r="AF461" i="2"/>
  <c r="AG461" i="2"/>
  <c r="AH461" i="2"/>
  <c r="AI461" i="2"/>
  <c r="Z462" i="2"/>
  <c r="AA462" i="2"/>
  <c r="AB462" i="2"/>
  <c r="AC462" i="2"/>
  <c r="AD462" i="2"/>
  <c r="AE462" i="2"/>
  <c r="AF462" i="2"/>
  <c r="AG462" i="2"/>
  <c r="AH462" i="2"/>
  <c r="AI462" i="2"/>
  <c r="Z463" i="2"/>
  <c r="AA463" i="2"/>
  <c r="AB463" i="2"/>
  <c r="AC463" i="2"/>
  <c r="AD463" i="2"/>
  <c r="AE463" i="2"/>
  <c r="AF463" i="2"/>
  <c r="AG463" i="2"/>
  <c r="AH463" i="2"/>
  <c r="AI463" i="2"/>
  <c r="Z464" i="2"/>
  <c r="AA464" i="2"/>
  <c r="AB464" i="2"/>
  <c r="AC464" i="2"/>
  <c r="AD464" i="2"/>
  <c r="AE464" i="2"/>
  <c r="AF464" i="2"/>
  <c r="AG464" i="2"/>
  <c r="AH464" i="2"/>
  <c r="AI464" i="2"/>
  <c r="Z465" i="2"/>
  <c r="AA465" i="2"/>
  <c r="AB465" i="2"/>
  <c r="AC465" i="2"/>
  <c r="AD465" i="2"/>
  <c r="AE465" i="2"/>
  <c r="AF465" i="2"/>
  <c r="AG465" i="2"/>
  <c r="AH465" i="2"/>
  <c r="AI465" i="2"/>
  <c r="Z466" i="2"/>
  <c r="AA466" i="2"/>
  <c r="AB466" i="2"/>
  <c r="AC466" i="2"/>
  <c r="AD466" i="2"/>
  <c r="AE466" i="2"/>
  <c r="AF466" i="2"/>
  <c r="AG466" i="2"/>
  <c r="AH466" i="2"/>
  <c r="AI466" i="2"/>
  <c r="Z467" i="2"/>
  <c r="AA467" i="2"/>
  <c r="AB467" i="2"/>
  <c r="AC467" i="2"/>
  <c r="AD467" i="2"/>
  <c r="AE467" i="2"/>
  <c r="AF467" i="2"/>
  <c r="AG467" i="2"/>
  <c r="AH467" i="2"/>
  <c r="AI467" i="2"/>
  <c r="Z468" i="2"/>
  <c r="AA468" i="2"/>
  <c r="AB468" i="2"/>
  <c r="AC468" i="2"/>
  <c r="AD468" i="2"/>
  <c r="AE468" i="2"/>
  <c r="AF468" i="2"/>
  <c r="AG468" i="2"/>
  <c r="AH468" i="2"/>
  <c r="AI468" i="2"/>
  <c r="Z469" i="2"/>
  <c r="AA469" i="2"/>
  <c r="AB469" i="2"/>
  <c r="AC469" i="2"/>
  <c r="AD469" i="2"/>
  <c r="AE469" i="2"/>
  <c r="AF469" i="2"/>
  <c r="AG469" i="2"/>
  <c r="AH469" i="2"/>
  <c r="AI469" i="2"/>
  <c r="Z470" i="2"/>
  <c r="AA470" i="2"/>
  <c r="AB470" i="2"/>
  <c r="AC470" i="2"/>
  <c r="AD470" i="2"/>
  <c r="AE470" i="2"/>
  <c r="AF470" i="2"/>
  <c r="AG470" i="2"/>
  <c r="AH470" i="2"/>
  <c r="AI470" i="2"/>
  <c r="Z471" i="2"/>
  <c r="AA471" i="2"/>
  <c r="AB471" i="2"/>
  <c r="AC471" i="2"/>
  <c r="AD471" i="2"/>
  <c r="AE471" i="2"/>
  <c r="AF471" i="2"/>
  <c r="AG471" i="2"/>
  <c r="AH471" i="2"/>
  <c r="AI471" i="2"/>
  <c r="Z472" i="2"/>
  <c r="AA472" i="2"/>
  <c r="AB472" i="2"/>
  <c r="AC472" i="2"/>
  <c r="AD472" i="2"/>
  <c r="AE472" i="2"/>
  <c r="AF472" i="2"/>
  <c r="AG472" i="2"/>
  <c r="AH472" i="2"/>
  <c r="AI472" i="2"/>
  <c r="Z473" i="2"/>
  <c r="AA473" i="2"/>
  <c r="AB473" i="2"/>
  <c r="AC473" i="2"/>
  <c r="AD473" i="2"/>
  <c r="AE473" i="2"/>
  <c r="AF473" i="2"/>
  <c r="AG473" i="2"/>
  <c r="AH473" i="2"/>
  <c r="AI473" i="2"/>
  <c r="Z474" i="2"/>
  <c r="AA474" i="2"/>
  <c r="AB474" i="2"/>
  <c r="AC474" i="2"/>
  <c r="AD474" i="2"/>
  <c r="AE474" i="2"/>
  <c r="AF474" i="2"/>
  <c r="AG474" i="2"/>
  <c r="AH474" i="2"/>
  <c r="AI474" i="2"/>
  <c r="Z475" i="2"/>
  <c r="AA475" i="2"/>
  <c r="AB475" i="2"/>
  <c r="AC475" i="2"/>
  <c r="AD475" i="2"/>
  <c r="AE475" i="2"/>
  <c r="AF475" i="2"/>
  <c r="AG475" i="2"/>
  <c r="AH475" i="2"/>
  <c r="AI475" i="2"/>
  <c r="Z476" i="2"/>
  <c r="AA476" i="2"/>
  <c r="AB476" i="2"/>
  <c r="AC476" i="2"/>
  <c r="AD476" i="2"/>
  <c r="AE476" i="2"/>
  <c r="AF476" i="2"/>
  <c r="AG476" i="2"/>
  <c r="AH476" i="2"/>
  <c r="AI476" i="2"/>
  <c r="Z477" i="2"/>
  <c r="AA477" i="2"/>
  <c r="AB477" i="2"/>
  <c r="AC477" i="2"/>
  <c r="AD477" i="2"/>
  <c r="AE477" i="2"/>
  <c r="AF477" i="2"/>
  <c r="AG477" i="2"/>
  <c r="AH477" i="2"/>
  <c r="AI477" i="2"/>
  <c r="Z478" i="2"/>
  <c r="AA478" i="2"/>
  <c r="AB478" i="2"/>
  <c r="AC478" i="2"/>
  <c r="AD478" i="2"/>
  <c r="AE478" i="2"/>
  <c r="AF478" i="2"/>
  <c r="AG478" i="2"/>
  <c r="AH478" i="2"/>
  <c r="AI478" i="2"/>
  <c r="Z479" i="2"/>
  <c r="AA479" i="2"/>
  <c r="AB479" i="2"/>
  <c r="AC479" i="2"/>
  <c r="AD479" i="2"/>
  <c r="AE479" i="2"/>
  <c r="AF479" i="2"/>
  <c r="AG479" i="2"/>
  <c r="AH479" i="2"/>
  <c r="AI479" i="2"/>
  <c r="Z480" i="2"/>
  <c r="AA480" i="2"/>
  <c r="AB480" i="2"/>
  <c r="AC480" i="2"/>
  <c r="AD480" i="2"/>
  <c r="AE480" i="2"/>
  <c r="AF480" i="2"/>
  <c r="AG480" i="2"/>
  <c r="AH480" i="2"/>
  <c r="AI480" i="2"/>
  <c r="Z481" i="2"/>
  <c r="AA481" i="2"/>
  <c r="AB481" i="2"/>
  <c r="AC481" i="2"/>
  <c r="AD481" i="2"/>
  <c r="AE481" i="2"/>
  <c r="AF481" i="2"/>
  <c r="AG481" i="2"/>
  <c r="AH481" i="2"/>
  <c r="AI481" i="2"/>
  <c r="Z482" i="2"/>
  <c r="AA482" i="2"/>
  <c r="AB482" i="2"/>
  <c r="AC482" i="2"/>
  <c r="AD482" i="2"/>
  <c r="AE482" i="2"/>
  <c r="AF482" i="2"/>
  <c r="AG482" i="2"/>
  <c r="AH482" i="2"/>
  <c r="AI482" i="2"/>
  <c r="Z483" i="2"/>
  <c r="AA483" i="2"/>
  <c r="AB483" i="2"/>
  <c r="AC483" i="2"/>
  <c r="AD483" i="2"/>
  <c r="AE483" i="2"/>
  <c r="AF483" i="2"/>
  <c r="AG483" i="2"/>
  <c r="AH483" i="2"/>
  <c r="AI483" i="2"/>
  <c r="Z484" i="2"/>
  <c r="AA484" i="2"/>
  <c r="AB484" i="2"/>
  <c r="AC484" i="2"/>
  <c r="AD484" i="2"/>
  <c r="AE484" i="2"/>
  <c r="AF484" i="2"/>
  <c r="AG484" i="2"/>
  <c r="AH484" i="2"/>
  <c r="AI484" i="2"/>
  <c r="Z485" i="2"/>
  <c r="AA485" i="2"/>
  <c r="AB485" i="2"/>
  <c r="AC485" i="2"/>
  <c r="AD485" i="2"/>
  <c r="AE485" i="2"/>
  <c r="AF485" i="2"/>
  <c r="AG485" i="2"/>
  <c r="AH485" i="2"/>
  <c r="AI485" i="2"/>
  <c r="Z486" i="2"/>
  <c r="AA486" i="2"/>
  <c r="AB486" i="2"/>
  <c r="AC486" i="2"/>
  <c r="AD486" i="2"/>
  <c r="AE486" i="2"/>
  <c r="AF486" i="2"/>
  <c r="AG486" i="2"/>
  <c r="AH486" i="2"/>
  <c r="AI486" i="2"/>
  <c r="Z487" i="2"/>
  <c r="AA487" i="2"/>
  <c r="AB487" i="2"/>
  <c r="AC487" i="2"/>
  <c r="AD487" i="2"/>
  <c r="AE487" i="2"/>
  <c r="AF487" i="2"/>
  <c r="AG487" i="2"/>
  <c r="AH487" i="2"/>
  <c r="AI487" i="2"/>
  <c r="Z488" i="2"/>
  <c r="AA488" i="2"/>
  <c r="AB488" i="2"/>
  <c r="AC488" i="2"/>
  <c r="AD488" i="2"/>
  <c r="AE488" i="2"/>
  <c r="AF488" i="2"/>
  <c r="AG488" i="2"/>
  <c r="AH488" i="2"/>
  <c r="AI488" i="2"/>
  <c r="Z489" i="2"/>
  <c r="AA489" i="2"/>
  <c r="AB489" i="2"/>
  <c r="AC489" i="2"/>
  <c r="AD489" i="2"/>
  <c r="AE489" i="2"/>
  <c r="AF489" i="2"/>
  <c r="AG489" i="2"/>
  <c r="AH489" i="2"/>
  <c r="AI489" i="2"/>
  <c r="Z490" i="2"/>
  <c r="AA490" i="2"/>
  <c r="AB490" i="2"/>
  <c r="AC490" i="2"/>
  <c r="AD490" i="2"/>
  <c r="AE490" i="2"/>
  <c r="AF490" i="2"/>
  <c r="AG490" i="2"/>
  <c r="AH490" i="2"/>
  <c r="AI490" i="2"/>
  <c r="Z491" i="2"/>
  <c r="AA491" i="2"/>
  <c r="AB491" i="2"/>
  <c r="AC491" i="2"/>
  <c r="AD491" i="2"/>
  <c r="AE491" i="2"/>
  <c r="AF491" i="2"/>
  <c r="AG491" i="2"/>
  <c r="AH491" i="2"/>
  <c r="AI491" i="2"/>
  <c r="Z492" i="2"/>
  <c r="AA492" i="2"/>
  <c r="AB492" i="2"/>
  <c r="AC492" i="2"/>
  <c r="AD492" i="2"/>
  <c r="AE492" i="2"/>
  <c r="AF492" i="2"/>
  <c r="AG492" i="2"/>
  <c r="AH492" i="2"/>
  <c r="AI492" i="2"/>
  <c r="Z493" i="2"/>
  <c r="AA493" i="2"/>
  <c r="AB493" i="2"/>
  <c r="AC493" i="2"/>
  <c r="AD493" i="2"/>
  <c r="AE493" i="2"/>
  <c r="AF493" i="2"/>
  <c r="AG493" i="2"/>
  <c r="AH493" i="2"/>
  <c r="AI493" i="2"/>
  <c r="Z494" i="2"/>
  <c r="AA494" i="2"/>
  <c r="AB494" i="2"/>
  <c r="AC494" i="2"/>
  <c r="AD494" i="2"/>
  <c r="AE494" i="2"/>
  <c r="AF494" i="2"/>
  <c r="AG494" i="2"/>
  <c r="AH494" i="2"/>
  <c r="AI494" i="2"/>
  <c r="Z495" i="2"/>
  <c r="AA495" i="2"/>
  <c r="AB495" i="2"/>
  <c r="AC495" i="2"/>
  <c r="AD495" i="2"/>
  <c r="AE495" i="2"/>
  <c r="AF495" i="2"/>
  <c r="AG495" i="2"/>
  <c r="AH495" i="2"/>
  <c r="AI495" i="2"/>
  <c r="Z496" i="2"/>
  <c r="AA496" i="2"/>
  <c r="AB496" i="2"/>
  <c r="AC496" i="2"/>
  <c r="AD496" i="2"/>
  <c r="AE496" i="2"/>
  <c r="AF496" i="2"/>
  <c r="AG496" i="2"/>
  <c r="AH496" i="2"/>
  <c r="AI496" i="2"/>
  <c r="Z497" i="2"/>
  <c r="AA497" i="2"/>
  <c r="AB497" i="2"/>
  <c r="AC497" i="2"/>
  <c r="AD497" i="2"/>
  <c r="AE497" i="2"/>
  <c r="AF497" i="2"/>
  <c r="AG497" i="2"/>
  <c r="AH497" i="2"/>
  <c r="AI497" i="2"/>
  <c r="Z498" i="2"/>
  <c r="AA498" i="2"/>
  <c r="AB498" i="2"/>
  <c r="AC498" i="2"/>
  <c r="AD498" i="2"/>
  <c r="AE498" i="2"/>
  <c r="AF498" i="2"/>
  <c r="AG498" i="2"/>
  <c r="AH498" i="2"/>
  <c r="AI498" i="2"/>
  <c r="Z499" i="2"/>
  <c r="AA499" i="2"/>
  <c r="AB499" i="2"/>
  <c r="AC499" i="2"/>
  <c r="AD499" i="2"/>
  <c r="AE499" i="2"/>
  <c r="AF499" i="2"/>
  <c r="AG499" i="2"/>
  <c r="AH499" i="2"/>
  <c r="AI499" i="2"/>
  <c r="Z500" i="2"/>
  <c r="AA500" i="2"/>
  <c r="AB500" i="2"/>
  <c r="AC500" i="2"/>
  <c r="AD500" i="2"/>
  <c r="AE500" i="2"/>
  <c r="AF500" i="2"/>
  <c r="AG500" i="2"/>
  <c r="AH500" i="2"/>
  <c r="AI500" i="2"/>
  <c r="Z501" i="2"/>
  <c r="AA501" i="2"/>
  <c r="AB501" i="2"/>
  <c r="AC501" i="2"/>
  <c r="AD501" i="2"/>
  <c r="AE501" i="2"/>
  <c r="AF501" i="2"/>
  <c r="AG501" i="2"/>
  <c r="AH501" i="2"/>
  <c r="AI501" i="2"/>
  <c r="Z502" i="2"/>
  <c r="AA502" i="2"/>
  <c r="AB502" i="2"/>
  <c r="AC502" i="2"/>
  <c r="AD502" i="2"/>
  <c r="AE502" i="2"/>
  <c r="AF502" i="2"/>
  <c r="AG502" i="2"/>
  <c r="AH502" i="2"/>
  <c r="AI502" i="2"/>
  <c r="Z503" i="2"/>
  <c r="AA503" i="2"/>
  <c r="AB503" i="2"/>
  <c r="AC503" i="2"/>
  <c r="AD503" i="2"/>
  <c r="AE503" i="2"/>
  <c r="AF503" i="2"/>
  <c r="AG503" i="2"/>
  <c r="AH503" i="2"/>
  <c r="AI503" i="2"/>
  <c r="Z504" i="2"/>
  <c r="AA504" i="2"/>
  <c r="AB504" i="2"/>
  <c r="AC504" i="2"/>
  <c r="AD504" i="2"/>
  <c r="AE504" i="2"/>
  <c r="AF504" i="2"/>
  <c r="AG504" i="2"/>
  <c r="AH504" i="2"/>
  <c r="AI504" i="2"/>
  <c r="Z505" i="2"/>
  <c r="AA505" i="2"/>
  <c r="AB505" i="2"/>
  <c r="AC505" i="2"/>
  <c r="AD505" i="2"/>
  <c r="AE505" i="2"/>
  <c r="AF505" i="2"/>
  <c r="AG505" i="2"/>
  <c r="AH505" i="2"/>
  <c r="AI505" i="2"/>
  <c r="Z506" i="2"/>
  <c r="AA506" i="2"/>
  <c r="AB506" i="2"/>
  <c r="AC506" i="2"/>
  <c r="AD506" i="2"/>
  <c r="AE506" i="2"/>
  <c r="AF506" i="2"/>
  <c r="AG506" i="2"/>
  <c r="AH506" i="2"/>
  <c r="AI506" i="2"/>
  <c r="Z507" i="2"/>
  <c r="AA507" i="2"/>
  <c r="AB507" i="2"/>
  <c r="AC507" i="2"/>
  <c r="AD507" i="2"/>
  <c r="AE507" i="2"/>
  <c r="AF507" i="2"/>
  <c r="AG507" i="2"/>
  <c r="AH507" i="2"/>
  <c r="AI507" i="2"/>
  <c r="Z508" i="2"/>
  <c r="AA508" i="2"/>
  <c r="AB508" i="2"/>
  <c r="AC508" i="2"/>
  <c r="AD508" i="2"/>
  <c r="AE508" i="2"/>
  <c r="AF508" i="2"/>
  <c r="AG508" i="2"/>
  <c r="AH508" i="2"/>
  <c r="AI508" i="2"/>
  <c r="Z509" i="2"/>
  <c r="AA509" i="2"/>
  <c r="AB509" i="2"/>
  <c r="AC509" i="2"/>
  <c r="AD509" i="2"/>
  <c r="AE509" i="2"/>
  <c r="AF509" i="2"/>
  <c r="AG509" i="2"/>
  <c r="AH509" i="2"/>
  <c r="AI509" i="2"/>
  <c r="Z510" i="2"/>
  <c r="AA510" i="2"/>
  <c r="AB510" i="2"/>
  <c r="AC510" i="2"/>
  <c r="AD510" i="2"/>
  <c r="AE510" i="2"/>
  <c r="AF510" i="2"/>
  <c r="AG510" i="2"/>
  <c r="AH510" i="2"/>
  <c r="AI510" i="2"/>
  <c r="Z511" i="2"/>
  <c r="AA511" i="2"/>
  <c r="AB511" i="2"/>
  <c r="AC511" i="2"/>
  <c r="AD511" i="2"/>
  <c r="AE511" i="2"/>
  <c r="AF511" i="2"/>
  <c r="AG511" i="2"/>
  <c r="AH511" i="2"/>
  <c r="AI511" i="2"/>
  <c r="Z512" i="2"/>
  <c r="AA512" i="2"/>
  <c r="AB512" i="2"/>
  <c r="AC512" i="2"/>
  <c r="AD512" i="2"/>
  <c r="AE512" i="2"/>
  <c r="AF512" i="2"/>
  <c r="AG512" i="2"/>
  <c r="AH512" i="2"/>
  <c r="AI512" i="2"/>
  <c r="Z513" i="2"/>
  <c r="AA513" i="2"/>
  <c r="AB513" i="2"/>
  <c r="AC513" i="2"/>
  <c r="AD513" i="2"/>
  <c r="AE513" i="2"/>
  <c r="AF513" i="2"/>
  <c r="AG513" i="2"/>
  <c r="AH513" i="2"/>
  <c r="AI513" i="2"/>
  <c r="Z514" i="2"/>
  <c r="AA514" i="2"/>
  <c r="AB514" i="2"/>
  <c r="AC514" i="2"/>
  <c r="AD514" i="2"/>
  <c r="AE514" i="2"/>
  <c r="AF514" i="2"/>
  <c r="AG514" i="2"/>
  <c r="AH514" i="2"/>
  <c r="AI514" i="2"/>
  <c r="Z515" i="2"/>
  <c r="AA515" i="2"/>
  <c r="AB515" i="2"/>
  <c r="AC515" i="2"/>
  <c r="AD515" i="2"/>
  <c r="AE515" i="2"/>
  <c r="AF515" i="2"/>
  <c r="AG515" i="2"/>
  <c r="AH515" i="2"/>
  <c r="AI515" i="2"/>
  <c r="Z516" i="2"/>
  <c r="AA516" i="2"/>
  <c r="AB516" i="2"/>
  <c r="AC516" i="2"/>
  <c r="AD516" i="2"/>
  <c r="AE516" i="2"/>
  <c r="AF516" i="2"/>
  <c r="AG516" i="2"/>
  <c r="AH516" i="2"/>
  <c r="AI516" i="2"/>
  <c r="Z517" i="2"/>
  <c r="AA517" i="2"/>
  <c r="AB517" i="2"/>
  <c r="AC517" i="2"/>
  <c r="AD517" i="2"/>
  <c r="AE517" i="2"/>
  <c r="AF517" i="2"/>
  <c r="AG517" i="2"/>
  <c r="AH517" i="2"/>
  <c r="AI517" i="2"/>
  <c r="Z518" i="2"/>
  <c r="AA518" i="2"/>
  <c r="AB518" i="2"/>
  <c r="AC518" i="2"/>
  <c r="AD518" i="2"/>
  <c r="AE518" i="2"/>
  <c r="AF518" i="2"/>
  <c r="AG518" i="2"/>
  <c r="AH518" i="2"/>
  <c r="AI518" i="2"/>
  <c r="Z519" i="2"/>
  <c r="AA519" i="2"/>
  <c r="AB519" i="2"/>
  <c r="AC519" i="2"/>
  <c r="AD519" i="2"/>
  <c r="AE519" i="2"/>
  <c r="AF519" i="2"/>
  <c r="AG519" i="2"/>
  <c r="AH519" i="2"/>
  <c r="AI519" i="2"/>
  <c r="Z520" i="2"/>
  <c r="AA520" i="2"/>
  <c r="AB520" i="2"/>
  <c r="AC520" i="2"/>
  <c r="AD520" i="2"/>
  <c r="AE520" i="2"/>
  <c r="AF520" i="2"/>
  <c r="AG520" i="2"/>
  <c r="AH520" i="2"/>
  <c r="AI520" i="2"/>
  <c r="Z521" i="2"/>
  <c r="AA521" i="2"/>
  <c r="AB521" i="2"/>
  <c r="AC521" i="2"/>
  <c r="AD521" i="2"/>
  <c r="AE521" i="2"/>
  <c r="AF521" i="2"/>
  <c r="AG521" i="2"/>
  <c r="AH521" i="2"/>
  <c r="AI521" i="2"/>
  <c r="Z522" i="2"/>
  <c r="AA522" i="2"/>
  <c r="AB522" i="2"/>
  <c r="AC522" i="2"/>
  <c r="AD522" i="2"/>
  <c r="AE522" i="2"/>
  <c r="AF522" i="2"/>
  <c r="AG522" i="2"/>
  <c r="AH522" i="2"/>
  <c r="AI522" i="2"/>
  <c r="Z523" i="2"/>
  <c r="AA523" i="2"/>
  <c r="AB523" i="2"/>
  <c r="AC523" i="2"/>
  <c r="AD523" i="2"/>
  <c r="AE523" i="2"/>
  <c r="AF523" i="2"/>
  <c r="AG523" i="2"/>
  <c r="AH523" i="2"/>
  <c r="AI523" i="2"/>
  <c r="Z524" i="2"/>
  <c r="AA524" i="2"/>
  <c r="AB524" i="2"/>
  <c r="AC524" i="2"/>
  <c r="AD524" i="2"/>
  <c r="AE524" i="2"/>
  <c r="AF524" i="2"/>
  <c r="AG524" i="2"/>
  <c r="AH524" i="2"/>
  <c r="AI524" i="2"/>
  <c r="Z525" i="2"/>
  <c r="AA525" i="2"/>
  <c r="AB525" i="2"/>
  <c r="AC525" i="2"/>
  <c r="AD525" i="2"/>
  <c r="AE525" i="2"/>
  <c r="AF525" i="2"/>
  <c r="AG525" i="2"/>
  <c r="AH525" i="2"/>
  <c r="AI525" i="2"/>
  <c r="Z526" i="2"/>
  <c r="AA526" i="2"/>
  <c r="AB526" i="2"/>
  <c r="AC526" i="2"/>
  <c r="AD526" i="2"/>
  <c r="AE526" i="2"/>
  <c r="AF526" i="2"/>
  <c r="AG526" i="2"/>
  <c r="AH526" i="2"/>
  <c r="AI526" i="2"/>
  <c r="Z527" i="2"/>
  <c r="AA527" i="2"/>
  <c r="AB527" i="2"/>
  <c r="AC527" i="2"/>
  <c r="AD527" i="2"/>
  <c r="AE527" i="2"/>
  <c r="AF527" i="2"/>
  <c r="AG527" i="2"/>
  <c r="AH527" i="2"/>
  <c r="AI527" i="2"/>
  <c r="Z528" i="2"/>
  <c r="AA528" i="2"/>
  <c r="AB528" i="2"/>
  <c r="AC528" i="2"/>
  <c r="AD528" i="2"/>
  <c r="AE528" i="2"/>
  <c r="AF528" i="2"/>
  <c r="AG528" i="2"/>
  <c r="AH528" i="2"/>
  <c r="AI528" i="2"/>
  <c r="Z529" i="2"/>
  <c r="AA529" i="2"/>
  <c r="AB529" i="2"/>
  <c r="AC529" i="2"/>
  <c r="AD529" i="2"/>
  <c r="AE529" i="2"/>
  <c r="AF529" i="2"/>
  <c r="AG529" i="2"/>
  <c r="AH529" i="2"/>
  <c r="AI529" i="2"/>
  <c r="Z530" i="2"/>
  <c r="AA530" i="2"/>
  <c r="AB530" i="2"/>
  <c r="AC530" i="2"/>
  <c r="AD530" i="2"/>
  <c r="AE530" i="2"/>
  <c r="AF530" i="2"/>
  <c r="AG530" i="2"/>
  <c r="AH530" i="2"/>
  <c r="AI530" i="2"/>
  <c r="Z531" i="2"/>
  <c r="AA531" i="2"/>
  <c r="AB531" i="2"/>
  <c r="AC531" i="2"/>
  <c r="AD531" i="2"/>
  <c r="AE531" i="2"/>
  <c r="AF531" i="2"/>
  <c r="AG531" i="2"/>
  <c r="AH531" i="2"/>
  <c r="AI531" i="2"/>
  <c r="Z532" i="2"/>
  <c r="AA532" i="2"/>
  <c r="AB532" i="2"/>
  <c r="AC532" i="2"/>
  <c r="AD532" i="2"/>
  <c r="AE532" i="2"/>
  <c r="AF532" i="2"/>
  <c r="AG532" i="2"/>
  <c r="AH532" i="2"/>
  <c r="AI532" i="2"/>
  <c r="Z533" i="2"/>
  <c r="AA533" i="2"/>
  <c r="AB533" i="2"/>
  <c r="AC533" i="2"/>
  <c r="AD533" i="2"/>
  <c r="AE533" i="2"/>
  <c r="AF533" i="2"/>
  <c r="AG533" i="2"/>
  <c r="AH533" i="2"/>
  <c r="AI533" i="2"/>
  <c r="Z534" i="2"/>
  <c r="AA534" i="2"/>
  <c r="AB534" i="2"/>
  <c r="AC534" i="2"/>
  <c r="AD534" i="2"/>
  <c r="AE534" i="2"/>
  <c r="AF534" i="2"/>
  <c r="AG534" i="2"/>
  <c r="AH534" i="2"/>
  <c r="AI534" i="2"/>
  <c r="Z535" i="2"/>
  <c r="AA535" i="2"/>
  <c r="AB535" i="2"/>
  <c r="AC535" i="2"/>
  <c r="AD535" i="2"/>
  <c r="AE535" i="2"/>
  <c r="AF535" i="2"/>
  <c r="AG535" i="2"/>
  <c r="AH535" i="2"/>
  <c r="AI535" i="2"/>
  <c r="Z536" i="2"/>
  <c r="AA536" i="2"/>
  <c r="AB536" i="2"/>
  <c r="AC536" i="2"/>
  <c r="AD536" i="2"/>
  <c r="AE536" i="2"/>
  <c r="AF536" i="2"/>
  <c r="AG536" i="2"/>
  <c r="AH536" i="2"/>
  <c r="AI536" i="2"/>
  <c r="Z537" i="2"/>
  <c r="AA537" i="2"/>
  <c r="AB537" i="2"/>
  <c r="AC537" i="2"/>
  <c r="AD537" i="2"/>
  <c r="AE537" i="2"/>
  <c r="AF537" i="2"/>
  <c r="AG537" i="2"/>
  <c r="AH537" i="2"/>
  <c r="AI537" i="2"/>
  <c r="Z538" i="2"/>
  <c r="AA538" i="2"/>
  <c r="AB538" i="2"/>
  <c r="AC538" i="2"/>
  <c r="AD538" i="2"/>
  <c r="AE538" i="2"/>
  <c r="AF538" i="2"/>
  <c r="AG538" i="2"/>
  <c r="AH538" i="2"/>
  <c r="AI538" i="2"/>
  <c r="Z539" i="2"/>
  <c r="AA539" i="2"/>
  <c r="AB539" i="2"/>
  <c r="AC539" i="2"/>
  <c r="AD539" i="2"/>
  <c r="AE539" i="2"/>
  <c r="AF539" i="2"/>
  <c r="AG539" i="2"/>
  <c r="AH539" i="2"/>
  <c r="AI539" i="2"/>
  <c r="Z540" i="2"/>
  <c r="AA540" i="2"/>
  <c r="AB540" i="2"/>
  <c r="AC540" i="2"/>
  <c r="AD540" i="2"/>
  <c r="AE540" i="2"/>
  <c r="AF540" i="2"/>
  <c r="AG540" i="2"/>
  <c r="AH540" i="2"/>
  <c r="AI540" i="2"/>
  <c r="Z541" i="2"/>
  <c r="AA541" i="2"/>
  <c r="AB541" i="2"/>
  <c r="AC541" i="2"/>
  <c r="AD541" i="2"/>
  <c r="AE541" i="2"/>
  <c r="AF541" i="2"/>
  <c r="AG541" i="2"/>
  <c r="AH541" i="2"/>
  <c r="AI541" i="2"/>
  <c r="Z542" i="2"/>
  <c r="AA542" i="2"/>
  <c r="AB542" i="2"/>
  <c r="AC542" i="2"/>
  <c r="AD542" i="2"/>
  <c r="AE542" i="2"/>
  <c r="AF542" i="2"/>
  <c r="AG542" i="2"/>
  <c r="AH542" i="2"/>
  <c r="AI542" i="2"/>
  <c r="Z543" i="2"/>
  <c r="AA543" i="2"/>
  <c r="AB543" i="2"/>
  <c r="AC543" i="2"/>
  <c r="AD543" i="2"/>
  <c r="AE543" i="2"/>
  <c r="AF543" i="2"/>
  <c r="AG543" i="2"/>
  <c r="AH543" i="2"/>
  <c r="AI543" i="2"/>
  <c r="Z544" i="2"/>
  <c r="AA544" i="2"/>
  <c r="AB544" i="2"/>
  <c r="AC544" i="2"/>
  <c r="AD544" i="2"/>
  <c r="AE544" i="2"/>
  <c r="AF544" i="2"/>
  <c r="AG544" i="2"/>
  <c r="AH544" i="2"/>
  <c r="AI544" i="2"/>
  <c r="Z545" i="2"/>
  <c r="AA545" i="2"/>
  <c r="AB545" i="2"/>
  <c r="AC545" i="2"/>
  <c r="AD545" i="2"/>
  <c r="AE545" i="2"/>
  <c r="AF545" i="2"/>
  <c r="AG545" i="2"/>
  <c r="AH545" i="2"/>
  <c r="AI545" i="2"/>
  <c r="Z546" i="2"/>
  <c r="AA546" i="2"/>
  <c r="AB546" i="2"/>
  <c r="AC546" i="2"/>
  <c r="AD546" i="2"/>
  <c r="AE546" i="2"/>
  <c r="AF546" i="2"/>
  <c r="AG546" i="2"/>
  <c r="AH546" i="2"/>
  <c r="AI546" i="2"/>
  <c r="Z547" i="2"/>
  <c r="AA547" i="2"/>
  <c r="AB547" i="2"/>
  <c r="AC547" i="2"/>
  <c r="AD547" i="2"/>
  <c r="AE547" i="2"/>
  <c r="AF547" i="2"/>
  <c r="AG547" i="2"/>
  <c r="AH547" i="2"/>
  <c r="AI547" i="2"/>
  <c r="Z548" i="2"/>
  <c r="AA548" i="2"/>
  <c r="AB548" i="2"/>
  <c r="AC548" i="2"/>
  <c r="AD548" i="2"/>
  <c r="AE548" i="2"/>
  <c r="AF548" i="2"/>
  <c r="AG548" i="2"/>
  <c r="AH548" i="2"/>
  <c r="AI548" i="2"/>
  <c r="Z549" i="2"/>
  <c r="AA549" i="2"/>
  <c r="AB549" i="2"/>
  <c r="AC549" i="2"/>
  <c r="AD549" i="2"/>
  <c r="AE549" i="2"/>
  <c r="AF549" i="2"/>
  <c r="AG549" i="2"/>
  <c r="AH549" i="2"/>
  <c r="AI549" i="2"/>
  <c r="Z550" i="2"/>
  <c r="AA550" i="2"/>
  <c r="AB550" i="2"/>
  <c r="AC550" i="2"/>
  <c r="AD550" i="2"/>
  <c r="AE550" i="2"/>
  <c r="AF550" i="2"/>
  <c r="AG550" i="2"/>
  <c r="AH550" i="2"/>
  <c r="AI550" i="2"/>
  <c r="Z551" i="2"/>
  <c r="AA551" i="2"/>
  <c r="AB551" i="2"/>
  <c r="AC551" i="2"/>
  <c r="AD551" i="2"/>
  <c r="AE551" i="2"/>
  <c r="AF551" i="2"/>
  <c r="AG551" i="2"/>
  <c r="AH551" i="2"/>
  <c r="AI551" i="2"/>
  <c r="Z552" i="2"/>
  <c r="AA552" i="2"/>
  <c r="AB552" i="2"/>
  <c r="AC552" i="2"/>
  <c r="AD552" i="2"/>
  <c r="AE552" i="2"/>
  <c r="AF552" i="2"/>
  <c r="AG552" i="2"/>
  <c r="AH552" i="2"/>
  <c r="AI552" i="2"/>
  <c r="Z553" i="2"/>
  <c r="AA553" i="2"/>
  <c r="AB553" i="2"/>
  <c r="AC553" i="2"/>
  <c r="AD553" i="2"/>
  <c r="AE553" i="2"/>
  <c r="AF553" i="2"/>
  <c r="AG553" i="2"/>
  <c r="AH553" i="2"/>
  <c r="AI553" i="2"/>
  <c r="Z554" i="2"/>
  <c r="AA554" i="2"/>
  <c r="AB554" i="2"/>
  <c r="AC554" i="2"/>
  <c r="AD554" i="2"/>
  <c r="AE554" i="2"/>
  <c r="AF554" i="2"/>
  <c r="AG554" i="2"/>
  <c r="AH554" i="2"/>
  <c r="AI554" i="2"/>
  <c r="Z555" i="2"/>
  <c r="AA555" i="2"/>
  <c r="AB555" i="2"/>
  <c r="AC555" i="2"/>
  <c r="AD555" i="2"/>
  <c r="AE555" i="2"/>
  <c r="AF555" i="2"/>
  <c r="AG555" i="2"/>
  <c r="AH555" i="2"/>
  <c r="AI555" i="2"/>
  <c r="Z556" i="2"/>
  <c r="AA556" i="2"/>
  <c r="AB556" i="2"/>
  <c r="AC556" i="2"/>
  <c r="AD556" i="2"/>
  <c r="AE556" i="2"/>
  <c r="AF556" i="2"/>
  <c r="AG556" i="2"/>
  <c r="AH556" i="2"/>
  <c r="AI556" i="2"/>
  <c r="Z557" i="2"/>
  <c r="AA557" i="2"/>
  <c r="AB557" i="2"/>
  <c r="AC557" i="2"/>
  <c r="AD557" i="2"/>
  <c r="AE557" i="2"/>
  <c r="AF557" i="2"/>
  <c r="AG557" i="2"/>
  <c r="AH557" i="2"/>
  <c r="AI557" i="2"/>
  <c r="Z558" i="2"/>
  <c r="AA558" i="2"/>
  <c r="AB558" i="2"/>
  <c r="AC558" i="2"/>
  <c r="AD558" i="2"/>
  <c r="AE558" i="2"/>
  <c r="AF558" i="2"/>
  <c r="AG558" i="2"/>
  <c r="AH558" i="2"/>
  <c r="AI558" i="2"/>
  <c r="Z559" i="2"/>
  <c r="AA559" i="2"/>
  <c r="AB559" i="2"/>
  <c r="AC559" i="2"/>
  <c r="AD559" i="2"/>
  <c r="AE559" i="2"/>
  <c r="AF559" i="2"/>
  <c r="AG559" i="2"/>
  <c r="AH559" i="2"/>
  <c r="AI559" i="2"/>
  <c r="Z560" i="2"/>
  <c r="AA560" i="2"/>
  <c r="AB560" i="2"/>
  <c r="AC560" i="2"/>
  <c r="AD560" i="2"/>
  <c r="AE560" i="2"/>
  <c r="AF560" i="2"/>
  <c r="AG560" i="2"/>
  <c r="AH560" i="2"/>
  <c r="AI560" i="2"/>
  <c r="Z561" i="2"/>
  <c r="AA561" i="2"/>
  <c r="AB561" i="2"/>
  <c r="AC561" i="2"/>
  <c r="AD561" i="2"/>
  <c r="AE561" i="2"/>
  <c r="AF561" i="2"/>
  <c r="AG561" i="2"/>
  <c r="AH561" i="2"/>
  <c r="AI561" i="2"/>
  <c r="Z562" i="2"/>
  <c r="AA562" i="2"/>
  <c r="AB562" i="2"/>
  <c r="AC562" i="2"/>
  <c r="AD562" i="2"/>
  <c r="AE562" i="2"/>
  <c r="AF562" i="2"/>
  <c r="AG562" i="2"/>
  <c r="AH562" i="2"/>
  <c r="AI562" i="2"/>
  <c r="Z563" i="2"/>
  <c r="AA563" i="2"/>
  <c r="AB563" i="2"/>
  <c r="AC563" i="2"/>
  <c r="AD563" i="2"/>
  <c r="AE563" i="2"/>
  <c r="AF563" i="2"/>
  <c r="AG563" i="2"/>
  <c r="AH563" i="2"/>
  <c r="AI563" i="2"/>
  <c r="Z564" i="2"/>
  <c r="AA564" i="2"/>
  <c r="AB564" i="2"/>
  <c r="AC564" i="2"/>
  <c r="AD564" i="2"/>
  <c r="AE564" i="2"/>
  <c r="AF564" i="2"/>
  <c r="AG564" i="2"/>
  <c r="AH564" i="2"/>
  <c r="AI564" i="2"/>
  <c r="Z565" i="2"/>
  <c r="AA565" i="2"/>
  <c r="AB565" i="2"/>
  <c r="AC565" i="2"/>
  <c r="AD565" i="2"/>
  <c r="AE565" i="2"/>
  <c r="AF565" i="2"/>
  <c r="AG565" i="2"/>
  <c r="AH565" i="2"/>
  <c r="AI565" i="2"/>
  <c r="Z566" i="2"/>
  <c r="AA566" i="2"/>
  <c r="AB566" i="2"/>
  <c r="AC566" i="2"/>
  <c r="AD566" i="2"/>
  <c r="AE566" i="2"/>
  <c r="AF566" i="2"/>
  <c r="AG566" i="2"/>
  <c r="AH566" i="2"/>
  <c r="AI566" i="2"/>
  <c r="Z567" i="2"/>
  <c r="AA567" i="2"/>
  <c r="AB567" i="2"/>
  <c r="AC567" i="2"/>
  <c r="AD567" i="2"/>
  <c r="AE567" i="2"/>
  <c r="AF567" i="2"/>
  <c r="AG567" i="2"/>
  <c r="AH567" i="2"/>
  <c r="AI567" i="2"/>
  <c r="Z568" i="2"/>
  <c r="AA568" i="2"/>
  <c r="AB568" i="2"/>
  <c r="AC568" i="2"/>
  <c r="AD568" i="2"/>
  <c r="AE568" i="2"/>
  <c r="AF568" i="2"/>
  <c r="AG568" i="2"/>
  <c r="AH568" i="2"/>
  <c r="AI568" i="2"/>
  <c r="Z569" i="2"/>
  <c r="AA569" i="2"/>
  <c r="AB569" i="2"/>
  <c r="AC569" i="2"/>
  <c r="AD569" i="2"/>
  <c r="AE569" i="2"/>
  <c r="AF569" i="2"/>
  <c r="AG569" i="2"/>
  <c r="AH569" i="2"/>
  <c r="AI569" i="2"/>
  <c r="Z570" i="2"/>
  <c r="AA570" i="2"/>
  <c r="AB570" i="2"/>
  <c r="AC570" i="2"/>
  <c r="AD570" i="2"/>
  <c r="AE570" i="2"/>
  <c r="AF570" i="2"/>
  <c r="AG570" i="2"/>
  <c r="AH570" i="2"/>
  <c r="AI570" i="2"/>
  <c r="Z571" i="2"/>
  <c r="AA571" i="2"/>
  <c r="AB571" i="2"/>
  <c r="AC571" i="2"/>
  <c r="AD571" i="2"/>
  <c r="AE571" i="2"/>
  <c r="AF571" i="2"/>
  <c r="AG571" i="2"/>
  <c r="AH571" i="2"/>
  <c r="AI571" i="2"/>
  <c r="Z572" i="2"/>
  <c r="AA572" i="2"/>
  <c r="AB572" i="2"/>
  <c r="AC572" i="2"/>
  <c r="AD572" i="2"/>
  <c r="AE572" i="2"/>
  <c r="AF572" i="2"/>
  <c r="AG572" i="2"/>
  <c r="AH572" i="2"/>
  <c r="AI572" i="2"/>
  <c r="Z573" i="2"/>
  <c r="AA573" i="2"/>
  <c r="AB573" i="2"/>
  <c r="AC573" i="2"/>
  <c r="AD573" i="2"/>
  <c r="AE573" i="2"/>
  <c r="AF573" i="2"/>
  <c r="AG573" i="2"/>
  <c r="AH573" i="2"/>
  <c r="AI573" i="2"/>
  <c r="Z574" i="2"/>
  <c r="AA574" i="2"/>
  <c r="AB574" i="2"/>
  <c r="AC574" i="2"/>
  <c r="AD574" i="2"/>
  <c r="AE574" i="2"/>
  <c r="AF574" i="2"/>
  <c r="AG574" i="2"/>
  <c r="AH574" i="2"/>
  <c r="AI574" i="2"/>
  <c r="Z575" i="2"/>
  <c r="AA575" i="2"/>
  <c r="AB575" i="2"/>
  <c r="AC575" i="2"/>
  <c r="AD575" i="2"/>
  <c r="AE575" i="2"/>
  <c r="AF575" i="2"/>
  <c r="AG575" i="2"/>
  <c r="AH575" i="2"/>
  <c r="AI575" i="2"/>
  <c r="Z576" i="2"/>
  <c r="AA576" i="2"/>
  <c r="AB576" i="2"/>
  <c r="AC576" i="2"/>
  <c r="AD576" i="2"/>
  <c r="AE576" i="2"/>
  <c r="AF576" i="2"/>
  <c r="AG576" i="2"/>
  <c r="AH576" i="2"/>
  <c r="AI576" i="2"/>
  <c r="Z577" i="2"/>
  <c r="AA577" i="2"/>
  <c r="AB577" i="2"/>
  <c r="AC577" i="2"/>
  <c r="AD577" i="2"/>
  <c r="AE577" i="2"/>
  <c r="AF577" i="2"/>
  <c r="AG577" i="2"/>
  <c r="AH577" i="2"/>
  <c r="AI577" i="2"/>
  <c r="Z578" i="2"/>
  <c r="AA578" i="2"/>
  <c r="AB578" i="2"/>
  <c r="AC578" i="2"/>
  <c r="AD578" i="2"/>
  <c r="AE578" i="2"/>
  <c r="AF578" i="2"/>
  <c r="AG578" i="2"/>
  <c r="AH578" i="2"/>
  <c r="AI578" i="2"/>
  <c r="Z579" i="2"/>
  <c r="AA579" i="2"/>
  <c r="AB579" i="2"/>
  <c r="AC579" i="2"/>
  <c r="AD579" i="2"/>
  <c r="AE579" i="2"/>
  <c r="AF579" i="2"/>
  <c r="AG579" i="2"/>
  <c r="AH579" i="2"/>
  <c r="AI579" i="2"/>
  <c r="Z580" i="2"/>
  <c r="AA580" i="2"/>
  <c r="AB580" i="2"/>
  <c r="AC580" i="2"/>
  <c r="AD580" i="2"/>
  <c r="AE580" i="2"/>
  <c r="AF580" i="2"/>
  <c r="AG580" i="2"/>
  <c r="AH580" i="2"/>
  <c r="AI580" i="2"/>
  <c r="Z581" i="2"/>
  <c r="AA581" i="2"/>
  <c r="AB581" i="2"/>
  <c r="AC581" i="2"/>
  <c r="AD581" i="2"/>
  <c r="AE581" i="2"/>
  <c r="AF581" i="2"/>
  <c r="AG581" i="2"/>
  <c r="AH581" i="2"/>
  <c r="AI581" i="2"/>
  <c r="Z582" i="2"/>
  <c r="AA582" i="2"/>
  <c r="AB582" i="2"/>
  <c r="AC582" i="2"/>
  <c r="AD582" i="2"/>
  <c r="AE582" i="2"/>
  <c r="AF582" i="2"/>
  <c r="AG582" i="2"/>
  <c r="AH582" i="2"/>
  <c r="AI582" i="2"/>
  <c r="Z583" i="2"/>
  <c r="AA583" i="2"/>
  <c r="AB583" i="2"/>
  <c r="AC583" i="2"/>
  <c r="AD583" i="2"/>
  <c r="AE583" i="2"/>
  <c r="AF583" i="2"/>
  <c r="AG583" i="2"/>
  <c r="AH583" i="2"/>
  <c r="AI583" i="2"/>
  <c r="Z584" i="2"/>
  <c r="AA584" i="2"/>
  <c r="AB584" i="2"/>
  <c r="AC584" i="2"/>
  <c r="AD584" i="2"/>
  <c r="AE584" i="2"/>
  <c r="AF584" i="2"/>
  <c r="AG584" i="2"/>
  <c r="AH584" i="2"/>
  <c r="AI584" i="2"/>
  <c r="Z585" i="2"/>
  <c r="AA585" i="2"/>
  <c r="AB585" i="2"/>
  <c r="AC585" i="2"/>
  <c r="AD585" i="2"/>
  <c r="AE585" i="2"/>
  <c r="AF585" i="2"/>
  <c r="AG585" i="2"/>
  <c r="AH585" i="2"/>
  <c r="AI585" i="2"/>
  <c r="Z586" i="2"/>
  <c r="AA586" i="2"/>
  <c r="AB586" i="2"/>
  <c r="AC586" i="2"/>
  <c r="AD586" i="2"/>
  <c r="AE586" i="2"/>
  <c r="AF586" i="2"/>
  <c r="AG586" i="2"/>
  <c r="AH586" i="2"/>
  <c r="AI586" i="2"/>
  <c r="Z587" i="2"/>
  <c r="AA587" i="2"/>
  <c r="AB587" i="2"/>
  <c r="AC587" i="2"/>
  <c r="AD587" i="2"/>
  <c r="AE587" i="2"/>
  <c r="AF587" i="2"/>
  <c r="AG587" i="2"/>
  <c r="AH587" i="2"/>
  <c r="AI587" i="2"/>
  <c r="Z588" i="2"/>
  <c r="AA588" i="2"/>
  <c r="AB588" i="2"/>
  <c r="AC588" i="2"/>
  <c r="AD588" i="2"/>
  <c r="AE588" i="2"/>
  <c r="AF588" i="2"/>
  <c r="AG588" i="2"/>
  <c r="AH588" i="2"/>
  <c r="AI588" i="2"/>
  <c r="Z589" i="2"/>
  <c r="AA589" i="2"/>
  <c r="AB589" i="2"/>
  <c r="AC589" i="2"/>
  <c r="AD589" i="2"/>
  <c r="AE589" i="2"/>
  <c r="AF589" i="2"/>
  <c r="AG589" i="2"/>
  <c r="AH589" i="2"/>
  <c r="AI589" i="2"/>
  <c r="Z590" i="2"/>
  <c r="AA590" i="2"/>
  <c r="AB590" i="2"/>
  <c r="AC590" i="2"/>
  <c r="AD590" i="2"/>
  <c r="AE590" i="2"/>
  <c r="AF590" i="2"/>
  <c r="AG590" i="2"/>
  <c r="AH590" i="2"/>
  <c r="AI590" i="2"/>
  <c r="Z591" i="2"/>
  <c r="AA591" i="2"/>
  <c r="AB591" i="2"/>
  <c r="AC591" i="2"/>
  <c r="AD591" i="2"/>
  <c r="AE591" i="2"/>
  <c r="AF591" i="2"/>
  <c r="AG591" i="2"/>
  <c r="AH591" i="2"/>
  <c r="AI591" i="2"/>
  <c r="Z592" i="2"/>
  <c r="AA592" i="2"/>
  <c r="AB592" i="2"/>
  <c r="AC592" i="2"/>
  <c r="AD592" i="2"/>
  <c r="AE592" i="2"/>
  <c r="AF592" i="2"/>
  <c r="AG592" i="2"/>
  <c r="AH592" i="2"/>
  <c r="AI592" i="2"/>
  <c r="Z593" i="2"/>
  <c r="AA593" i="2"/>
  <c r="AB593" i="2"/>
  <c r="AC593" i="2"/>
  <c r="AD593" i="2"/>
  <c r="AE593" i="2"/>
  <c r="AF593" i="2"/>
  <c r="AG593" i="2"/>
  <c r="AH593" i="2"/>
  <c r="AI593" i="2"/>
  <c r="Z594" i="2"/>
  <c r="AA594" i="2"/>
  <c r="AB594" i="2"/>
  <c r="AC594" i="2"/>
  <c r="AD594" i="2"/>
  <c r="AE594" i="2"/>
  <c r="AF594" i="2"/>
  <c r="AG594" i="2"/>
  <c r="AH594" i="2"/>
  <c r="AI594" i="2"/>
  <c r="Z595" i="2"/>
  <c r="AA595" i="2"/>
  <c r="AB595" i="2"/>
  <c r="AC595" i="2"/>
  <c r="AD595" i="2"/>
  <c r="AE595" i="2"/>
  <c r="AF595" i="2"/>
  <c r="AG595" i="2"/>
  <c r="AH595" i="2"/>
  <c r="AI595" i="2"/>
  <c r="Z596" i="2"/>
  <c r="AA596" i="2"/>
  <c r="AB596" i="2"/>
  <c r="AC596" i="2"/>
  <c r="AD596" i="2"/>
  <c r="AE596" i="2"/>
  <c r="AF596" i="2"/>
  <c r="AG596" i="2"/>
  <c r="AH596" i="2"/>
  <c r="AI596" i="2"/>
  <c r="Z597" i="2"/>
  <c r="AA597" i="2"/>
  <c r="AB597" i="2"/>
  <c r="AC597" i="2"/>
  <c r="AD597" i="2"/>
  <c r="AE597" i="2"/>
  <c r="AF597" i="2"/>
  <c r="AG597" i="2"/>
  <c r="AH597" i="2"/>
  <c r="AI597" i="2"/>
  <c r="Z598" i="2"/>
  <c r="AA598" i="2"/>
  <c r="AB598" i="2"/>
  <c r="AC598" i="2"/>
  <c r="AD598" i="2"/>
  <c r="AE598" i="2"/>
  <c r="AF598" i="2"/>
  <c r="AG598" i="2"/>
  <c r="AH598" i="2"/>
  <c r="AI598" i="2"/>
  <c r="Z599" i="2"/>
  <c r="AA599" i="2"/>
  <c r="AB599" i="2"/>
  <c r="AC599" i="2"/>
  <c r="AD599" i="2"/>
  <c r="AE599" i="2"/>
  <c r="AF599" i="2"/>
  <c r="AG599" i="2"/>
  <c r="AH599" i="2"/>
  <c r="AI599" i="2"/>
  <c r="Z600" i="2"/>
  <c r="AA600" i="2"/>
  <c r="AB600" i="2"/>
  <c r="AC600" i="2"/>
  <c r="AD600" i="2"/>
  <c r="AE600" i="2"/>
  <c r="AF600" i="2"/>
  <c r="AG600" i="2"/>
  <c r="AH600" i="2"/>
  <c r="AI600" i="2"/>
  <c r="Z601" i="2"/>
  <c r="AA601" i="2"/>
  <c r="AB601" i="2"/>
  <c r="AC601" i="2"/>
  <c r="AD601" i="2"/>
  <c r="AE601" i="2"/>
  <c r="AF601" i="2"/>
  <c r="AG601" i="2"/>
  <c r="AH601" i="2"/>
  <c r="AI601" i="2"/>
  <c r="Z602" i="2"/>
  <c r="AA602" i="2"/>
  <c r="AB602" i="2"/>
  <c r="AC602" i="2"/>
  <c r="AD602" i="2"/>
  <c r="AE602" i="2"/>
  <c r="AF602" i="2"/>
  <c r="AG602" i="2"/>
  <c r="AH602" i="2"/>
  <c r="AI602" i="2"/>
  <c r="Z603" i="2"/>
  <c r="AA603" i="2"/>
  <c r="AB603" i="2"/>
  <c r="AC603" i="2"/>
  <c r="AD603" i="2"/>
  <c r="AE603" i="2"/>
  <c r="AF603" i="2"/>
  <c r="AG603" i="2"/>
  <c r="AH603" i="2"/>
  <c r="AI603" i="2"/>
  <c r="Z604" i="2"/>
  <c r="AA604" i="2"/>
  <c r="AB604" i="2"/>
  <c r="AC604" i="2"/>
  <c r="AD604" i="2"/>
  <c r="AE604" i="2"/>
  <c r="AF604" i="2"/>
  <c r="AG604" i="2"/>
  <c r="AH604" i="2"/>
  <c r="AI604" i="2"/>
  <c r="Z605" i="2"/>
  <c r="AA605" i="2"/>
  <c r="AB605" i="2"/>
  <c r="AC605" i="2"/>
  <c r="AD605" i="2"/>
  <c r="AE605" i="2"/>
  <c r="AF605" i="2"/>
  <c r="AG605" i="2"/>
  <c r="AH605" i="2"/>
  <c r="AI605" i="2"/>
  <c r="Z606" i="2"/>
  <c r="AA606" i="2"/>
  <c r="AB606" i="2"/>
  <c r="AC606" i="2"/>
  <c r="AD606" i="2"/>
  <c r="AE606" i="2"/>
  <c r="AF606" i="2"/>
  <c r="AG606" i="2"/>
  <c r="AH606" i="2"/>
  <c r="AI606" i="2"/>
  <c r="Z607" i="2"/>
  <c r="AA607" i="2"/>
  <c r="AB607" i="2"/>
  <c r="AC607" i="2"/>
  <c r="AD607" i="2"/>
  <c r="AE607" i="2"/>
  <c r="AF607" i="2"/>
  <c r="AG607" i="2"/>
  <c r="AH607" i="2"/>
  <c r="AI607" i="2"/>
  <c r="Z608" i="2"/>
  <c r="AA608" i="2"/>
  <c r="AB608" i="2"/>
  <c r="AC608" i="2"/>
  <c r="AD608" i="2"/>
  <c r="AE608" i="2"/>
  <c r="AF608" i="2"/>
  <c r="AG608" i="2"/>
  <c r="AH608" i="2"/>
  <c r="AI608" i="2"/>
  <c r="Z609" i="2"/>
  <c r="AA609" i="2"/>
  <c r="AB609" i="2"/>
  <c r="AC609" i="2"/>
  <c r="AD609" i="2"/>
  <c r="AE609" i="2"/>
  <c r="AF609" i="2"/>
  <c r="AG609" i="2"/>
  <c r="AH609" i="2"/>
  <c r="AI609" i="2"/>
  <c r="Z610" i="2"/>
  <c r="AA610" i="2"/>
  <c r="AB610" i="2"/>
  <c r="AC610" i="2"/>
  <c r="AD610" i="2"/>
  <c r="AE610" i="2"/>
  <c r="AF610" i="2"/>
  <c r="AG610" i="2"/>
  <c r="AH610" i="2"/>
  <c r="AI610" i="2"/>
  <c r="Z611" i="2"/>
  <c r="AA611" i="2"/>
  <c r="AB611" i="2"/>
  <c r="AC611" i="2"/>
  <c r="AD611" i="2"/>
  <c r="AE611" i="2"/>
  <c r="AF611" i="2"/>
  <c r="AG611" i="2"/>
  <c r="AH611" i="2"/>
  <c r="AI611" i="2"/>
  <c r="Z612" i="2"/>
  <c r="AA612" i="2"/>
  <c r="AB612" i="2"/>
  <c r="AC612" i="2"/>
  <c r="AD612" i="2"/>
  <c r="AE612" i="2"/>
  <c r="AF612" i="2"/>
  <c r="AG612" i="2"/>
  <c r="AH612" i="2"/>
  <c r="AI612" i="2"/>
  <c r="Z613" i="2"/>
  <c r="AA613" i="2"/>
  <c r="AB613" i="2"/>
  <c r="AC613" i="2"/>
  <c r="AD613" i="2"/>
  <c r="AE613" i="2"/>
  <c r="AF613" i="2"/>
  <c r="AG613" i="2"/>
  <c r="AH613" i="2"/>
  <c r="AI613" i="2"/>
  <c r="Z614" i="2"/>
  <c r="AA614" i="2"/>
  <c r="AB614" i="2"/>
  <c r="AC614" i="2"/>
  <c r="AD614" i="2"/>
  <c r="AE614" i="2"/>
  <c r="AF614" i="2"/>
  <c r="AG614" i="2"/>
  <c r="AH614" i="2"/>
  <c r="AI614" i="2"/>
  <c r="Z615" i="2"/>
  <c r="AA615" i="2"/>
  <c r="AB615" i="2"/>
  <c r="AC615" i="2"/>
  <c r="AD615" i="2"/>
  <c r="AE615" i="2"/>
  <c r="AF615" i="2"/>
  <c r="AG615" i="2"/>
  <c r="AH615" i="2"/>
  <c r="AI615" i="2"/>
  <c r="Z616" i="2"/>
  <c r="AA616" i="2"/>
  <c r="AB616" i="2"/>
  <c r="AC616" i="2"/>
  <c r="AD616" i="2"/>
  <c r="AE616" i="2"/>
  <c r="AF616" i="2"/>
  <c r="AG616" i="2"/>
  <c r="AH616" i="2"/>
  <c r="AI616" i="2"/>
  <c r="Z617" i="2"/>
  <c r="AA617" i="2"/>
  <c r="AB617" i="2"/>
  <c r="AC617" i="2"/>
  <c r="AD617" i="2"/>
  <c r="AE617" i="2"/>
  <c r="AF617" i="2"/>
  <c r="AG617" i="2"/>
  <c r="AH617" i="2"/>
  <c r="AI617" i="2"/>
  <c r="Z618" i="2"/>
  <c r="AA618" i="2"/>
  <c r="AB618" i="2"/>
  <c r="AC618" i="2"/>
  <c r="AD618" i="2"/>
  <c r="AE618" i="2"/>
  <c r="AF618" i="2"/>
  <c r="AG618" i="2"/>
  <c r="AH618" i="2"/>
  <c r="AI618" i="2"/>
  <c r="Z619" i="2"/>
  <c r="AA619" i="2"/>
  <c r="AB619" i="2"/>
  <c r="AC619" i="2"/>
  <c r="AD619" i="2"/>
  <c r="AE619" i="2"/>
  <c r="AF619" i="2"/>
  <c r="AG619" i="2"/>
  <c r="AH619" i="2"/>
  <c r="AI619" i="2"/>
  <c r="Z620" i="2"/>
  <c r="AA620" i="2"/>
  <c r="AB620" i="2"/>
  <c r="AC620" i="2"/>
  <c r="AD620" i="2"/>
  <c r="AE620" i="2"/>
  <c r="AF620" i="2"/>
  <c r="AG620" i="2"/>
  <c r="AH620" i="2"/>
  <c r="AI620" i="2"/>
  <c r="Z621" i="2"/>
  <c r="AA621" i="2"/>
  <c r="AB621" i="2"/>
  <c r="AC621" i="2"/>
  <c r="AD621" i="2"/>
  <c r="AE621" i="2"/>
  <c r="AF621" i="2"/>
  <c r="AG621" i="2"/>
  <c r="AH621" i="2"/>
  <c r="AI621" i="2"/>
  <c r="Z622" i="2"/>
  <c r="AA622" i="2"/>
  <c r="AB622" i="2"/>
  <c r="AC622" i="2"/>
  <c r="AD622" i="2"/>
  <c r="AE622" i="2"/>
  <c r="AF622" i="2"/>
  <c r="AG622" i="2"/>
  <c r="AH622" i="2"/>
  <c r="AI622" i="2"/>
  <c r="Z623" i="2"/>
  <c r="AA623" i="2"/>
  <c r="AB623" i="2"/>
  <c r="AC623" i="2"/>
  <c r="AD623" i="2"/>
  <c r="AE623" i="2"/>
  <c r="AF623" i="2"/>
  <c r="AG623" i="2"/>
  <c r="AH623" i="2"/>
  <c r="AI623" i="2"/>
  <c r="Z624" i="2"/>
  <c r="AA624" i="2"/>
  <c r="AB624" i="2"/>
  <c r="AC624" i="2"/>
  <c r="AD624" i="2"/>
  <c r="AE624" i="2"/>
  <c r="AF624" i="2"/>
  <c r="AG624" i="2"/>
  <c r="AH624" i="2"/>
  <c r="AI624" i="2"/>
  <c r="Z625" i="2"/>
  <c r="AA625" i="2"/>
  <c r="AB625" i="2"/>
  <c r="AC625" i="2"/>
  <c r="AD625" i="2"/>
  <c r="AE625" i="2"/>
  <c r="AF625" i="2"/>
  <c r="AG625" i="2"/>
  <c r="AH625" i="2"/>
  <c r="AI625" i="2"/>
  <c r="Z626" i="2"/>
  <c r="AA626" i="2"/>
  <c r="AB626" i="2"/>
  <c r="AC626" i="2"/>
  <c r="AD626" i="2"/>
  <c r="AE626" i="2"/>
  <c r="AF626" i="2"/>
  <c r="AG626" i="2"/>
  <c r="AH626" i="2"/>
  <c r="AI626" i="2"/>
  <c r="Z627" i="2"/>
  <c r="AA627" i="2"/>
  <c r="AB627" i="2"/>
  <c r="AC627" i="2"/>
  <c r="AD627" i="2"/>
  <c r="AE627" i="2"/>
  <c r="AF627" i="2"/>
  <c r="AG627" i="2"/>
  <c r="AH627" i="2"/>
  <c r="AI627" i="2"/>
  <c r="Z628" i="2"/>
  <c r="AA628" i="2"/>
  <c r="AB628" i="2"/>
  <c r="AC628" i="2"/>
  <c r="AD628" i="2"/>
  <c r="AE628" i="2"/>
  <c r="AF628" i="2"/>
  <c r="AG628" i="2"/>
  <c r="AH628" i="2"/>
  <c r="AI628" i="2"/>
  <c r="Z629" i="2"/>
  <c r="AA629" i="2"/>
  <c r="AB629" i="2"/>
  <c r="AC629" i="2"/>
  <c r="AD629" i="2"/>
  <c r="AE629" i="2"/>
  <c r="AF629" i="2"/>
  <c r="AG629" i="2"/>
  <c r="AH629" i="2"/>
  <c r="AI629" i="2"/>
  <c r="Z630" i="2"/>
  <c r="AA630" i="2"/>
  <c r="AB630" i="2"/>
  <c r="AC630" i="2"/>
  <c r="AD630" i="2"/>
  <c r="AE630" i="2"/>
  <c r="AF630" i="2"/>
  <c r="AG630" i="2"/>
  <c r="AH630" i="2"/>
  <c r="AI630" i="2"/>
  <c r="Z631" i="2"/>
  <c r="AA631" i="2"/>
  <c r="AB631" i="2"/>
  <c r="AC631" i="2"/>
  <c r="AD631" i="2"/>
  <c r="AE631" i="2"/>
  <c r="AF631" i="2"/>
  <c r="AG631" i="2"/>
  <c r="AH631" i="2"/>
  <c r="AI631" i="2"/>
  <c r="Z632" i="2"/>
  <c r="AA632" i="2"/>
  <c r="AB632" i="2"/>
  <c r="AC632" i="2"/>
  <c r="AD632" i="2"/>
  <c r="AE632" i="2"/>
  <c r="AF632" i="2"/>
  <c r="AG632" i="2"/>
  <c r="AH632" i="2"/>
  <c r="AI632" i="2"/>
  <c r="Z633" i="2"/>
  <c r="AA633" i="2"/>
  <c r="AB633" i="2"/>
  <c r="AC633" i="2"/>
  <c r="AD633" i="2"/>
  <c r="AE633" i="2"/>
  <c r="AF633" i="2"/>
  <c r="AG633" i="2"/>
  <c r="AH633" i="2"/>
  <c r="AI633" i="2"/>
  <c r="Z634" i="2"/>
  <c r="AA634" i="2"/>
  <c r="AB634" i="2"/>
  <c r="AC634" i="2"/>
  <c r="AD634" i="2"/>
  <c r="AE634" i="2"/>
  <c r="AF634" i="2"/>
  <c r="AG634" i="2"/>
  <c r="AH634" i="2"/>
  <c r="AI634" i="2"/>
  <c r="Z635" i="2"/>
  <c r="AA635" i="2"/>
  <c r="AB635" i="2"/>
  <c r="AC635" i="2"/>
  <c r="AD635" i="2"/>
  <c r="AE635" i="2"/>
  <c r="AF635" i="2"/>
  <c r="AG635" i="2"/>
  <c r="AH635" i="2"/>
  <c r="AI635" i="2"/>
  <c r="Z636" i="2"/>
  <c r="AA636" i="2"/>
  <c r="AB636" i="2"/>
  <c r="AC636" i="2"/>
  <c r="AD636" i="2"/>
  <c r="AE636" i="2"/>
  <c r="AF636" i="2"/>
  <c r="AG636" i="2"/>
  <c r="AH636" i="2"/>
  <c r="AI636" i="2"/>
  <c r="Z637" i="2"/>
  <c r="AA637" i="2"/>
  <c r="AB637" i="2"/>
  <c r="AC637" i="2"/>
  <c r="AD637" i="2"/>
  <c r="AE637" i="2"/>
  <c r="AF637" i="2"/>
  <c r="AG637" i="2"/>
  <c r="AH637" i="2"/>
  <c r="AI637" i="2"/>
  <c r="Z638" i="2"/>
  <c r="AA638" i="2"/>
  <c r="AB638" i="2"/>
  <c r="AC638" i="2"/>
  <c r="AD638" i="2"/>
  <c r="AE638" i="2"/>
  <c r="AF638" i="2"/>
  <c r="AG638" i="2"/>
  <c r="AH638" i="2"/>
  <c r="AI638" i="2"/>
  <c r="Z639" i="2"/>
  <c r="AA639" i="2"/>
  <c r="AB639" i="2"/>
  <c r="AC639" i="2"/>
  <c r="AD639" i="2"/>
  <c r="AE639" i="2"/>
  <c r="AF639" i="2"/>
  <c r="AG639" i="2"/>
  <c r="AH639" i="2"/>
  <c r="AI639" i="2"/>
  <c r="Z640" i="2"/>
  <c r="AA640" i="2"/>
  <c r="AB640" i="2"/>
  <c r="AC640" i="2"/>
  <c r="AD640" i="2"/>
  <c r="AE640" i="2"/>
  <c r="AF640" i="2"/>
  <c r="AG640" i="2"/>
  <c r="AH640" i="2"/>
  <c r="AI640" i="2"/>
  <c r="Z641" i="2"/>
  <c r="AA641" i="2"/>
  <c r="AB641" i="2"/>
  <c r="AC641" i="2"/>
  <c r="AD641" i="2"/>
  <c r="AE641" i="2"/>
  <c r="AF641" i="2"/>
  <c r="AG641" i="2"/>
  <c r="AH641" i="2"/>
  <c r="AI641" i="2"/>
  <c r="Z642" i="2"/>
  <c r="AA642" i="2"/>
  <c r="AB642" i="2"/>
  <c r="AC642" i="2"/>
  <c r="AD642" i="2"/>
  <c r="AE642" i="2"/>
  <c r="AF642" i="2"/>
  <c r="AG642" i="2"/>
  <c r="AH642" i="2"/>
  <c r="AI642" i="2"/>
  <c r="Z643" i="2"/>
  <c r="AA643" i="2"/>
  <c r="AB643" i="2"/>
  <c r="AC643" i="2"/>
  <c r="AD643" i="2"/>
  <c r="AE643" i="2"/>
  <c r="AF643" i="2"/>
  <c r="AG643" i="2"/>
  <c r="AH643" i="2"/>
  <c r="AI643" i="2"/>
  <c r="Z644" i="2"/>
  <c r="AA644" i="2"/>
  <c r="AB644" i="2"/>
  <c r="AC644" i="2"/>
  <c r="AD644" i="2"/>
  <c r="AE644" i="2"/>
  <c r="AF644" i="2"/>
  <c r="AG644" i="2"/>
  <c r="AH644" i="2"/>
  <c r="AI644" i="2"/>
  <c r="Z645" i="2"/>
  <c r="AA645" i="2"/>
  <c r="AB645" i="2"/>
  <c r="AC645" i="2"/>
  <c r="AD645" i="2"/>
  <c r="AE645" i="2"/>
  <c r="AF645" i="2"/>
  <c r="AG645" i="2"/>
  <c r="AH645" i="2"/>
  <c r="AI645" i="2"/>
  <c r="Z646" i="2"/>
  <c r="AA646" i="2"/>
  <c r="AB646" i="2"/>
  <c r="AC646" i="2"/>
  <c r="AD646" i="2"/>
  <c r="AE646" i="2"/>
  <c r="AF646" i="2"/>
  <c r="AG646" i="2"/>
  <c r="AH646" i="2"/>
  <c r="AI646" i="2"/>
  <c r="Z647" i="2"/>
  <c r="AA647" i="2"/>
  <c r="AB647" i="2"/>
  <c r="AC647" i="2"/>
  <c r="AD647" i="2"/>
  <c r="AE647" i="2"/>
  <c r="AF647" i="2"/>
  <c r="AG647" i="2"/>
  <c r="AH647" i="2"/>
  <c r="AI647" i="2"/>
  <c r="Z648" i="2"/>
  <c r="AA648" i="2"/>
  <c r="AB648" i="2"/>
  <c r="AC648" i="2"/>
  <c r="AD648" i="2"/>
  <c r="AE648" i="2"/>
  <c r="AF648" i="2"/>
  <c r="AG648" i="2"/>
  <c r="AH648" i="2"/>
  <c r="AI648" i="2"/>
  <c r="Z649" i="2"/>
  <c r="AA649" i="2"/>
  <c r="AB649" i="2"/>
  <c r="AC649" i="2"/>
  <c r="AD649" i="2"/>
  <c r="AE649" i="2"/>
  <c r="AF649" i="2"/>
  <c r="AG649" i="2"/>
  <c r="AH649" i="2"/>
  <c r="AI649" i="2"/>
  <c r="Z650" i="2"/>
  <c r="AA650" i="2"/>
  <c r="AB650" i="2"/>
  <c r="AC650" i="2"/>
  <c r="AD650" i="2"/>
  <c r="AE650" i="2"/>
  <c r="AF650" i="2"/>
  <c r="AG650" i="2"/>
  <c r="AH650" i="2"/>
  <c r="AI650" i="2"/>
  <c r="Z651" i="2"/>
  <c r="AA651" i="2"/>
  <c r="AB651" i="2"/>
  <c r="AC651" i="2"/>
  <c r="AD651" i="2"/>
  <c r="AE651" i="2"/>
  <c r="AF651" i="2"/>
  <c r="AG651" i="2"/>
  <c r="AH651" i="2"/>
  <c r="AI651" i="2"/>
  <c r="Z652" i="2"/>
  <c r="AA652" i="2"/>
  <c r="AB652" i="2"/>
  <c r="AC652" i="2"/>
  <c r="AD652" i="2"/>
  <c r="AE652" i="2"/>
  <c r="AF652" i="2"/>
  <c r="AG652" i="2"/>
  <c r="AH652" i="2"/>
  <c r="AI652" i="2"/>
  <c r="Z653" i="2"/>
  <c r="AA653" i="2"/>
  <c r="AB653" i="2"/>
  <c r="AC653" i="2"/>
  <c r="AD653" i="2"/>
  <c r="AE653" i="2"/>
  <c r="AF653" i="2"/>
  <c r="AG653" i="2"/>
  <c r="AH653" i="2"/>
  <c r="AI653" i="2"/>
  <c r="Z654" i="2"/>
  <c r="AA654" i="2"/>
  <c r="AB654" i="2"/>
  <c r="AC654" i="2"/>
  <c r="AD654" i="2"/>
  <c r="AE654" i="2"/>
  <c r="AF654" i="2"/>
  <c r="AG654" i="2"/>
  <c r="AH654" i="2"/>
  <c r="AI654" i="2"/>
  <c r="Z655" i="2"/>
  <c r="AA655" i="2"/>
  <c r="AB655" i="2"/>
  <c r="AC655" i="2"/>
  <c r="AD655" i="2"/>
  <c r="AE655" i="2"/>
  <c r="AF655" i="2"/>
  <c r="AG655" i="2"/>
  <c r="AH655" i="2"/>
  <c r="AI655" i="2"/>
  <c r="Z656" i="2"/>
  <c r="AA656" i="2"/>
  <c r="AB656" i="2"/>
  <c r="AC656" i="2"/>
  <c r="AD656" i="2"/>
  <c r="AE656" i="2"/>
  <c r="AF656" i="2"/>
  <c r="AG656" i="2"/>
  <c r="AH656" i="2"/>
  <c r="AI656" i="2"/>
  <c r="Z657" i="2"/>
  <c r="AA657" i="2"/>
  <c r="AB657" i="2"/>
  <c r="AC657" i="2"/>
  <c r="AD657" i="2"/>
  <c r="AE657" i="2"/>
  <c r="AF657" i="2"/>
  <c r="AG657" i="2"/>
  <c r="AH657" i="2"/>
  <c r="AI657" i="2"/>
  <c r="Z658" i="2"/>
  <c r="AA658" i="2"/>
  <c r="AB658" i="2"/>
  <c r="AC658" i="2"/>
  <c r="AD658" i="2"/>
  <c r="AE658" i="2"/>
  <c r="AF658" i="2"/>
  <c r="AG658" i="2"/>
  <c r="AH658" i="2"/>
  <c r="AI658" i="2"/>
  <c r="Z659" i="2"/>
  <c r="AA659" i="2"/>
  <c r="AB659" i="2"/>
  <c r="AC659" i="2"/>
  <c r="AD659" i="2"/>
  <c r="AE659" i="2"/>
  <c r="AF659" i="2"/>
  <c r="AG659" i="2"/>
  <c r="AH659" i="2"/>
  <c r="AI659" i="2"/>
  <c r="Z660" i="2"/>
  <c r="AA660" i="2"/>
  <c r="AB660" i="2"/>
  <c r="AC660" i="2"/>
  <c r="AD660" i="2"/>
  <c r="AE660" i="2"/>
  <c r="AF660" i="2"/>
  <c r="AG660" i="2"/>
  <c r="AH660" i="2"/>
  <c r="AI660" i="2"/>
  <c r="Z661" i="2"/>
  <c r="AA661" i="2"/>
  <c r="AB661" i="2"/>
  <c r="AC661" i="2"/>
  <c r="AD661" i="2"/>
  <c r="AE661" i="2"/>
  <c r="AF661" i="2"/>
  <c r="AG661" i="2"/>
  <c r="AH661" i="2"/>
  <c r="AI661" i="2"/>
  <c r="Z662" i="2"/>
  <c r="AA662" i="2"/>
  <c r="AB662" i="2"/>
  <c r="AC662" i="2"/>
  <c r="AD662" i="2"/>
  <c r="AE662" i="2"/>
  <c r="AF662" i="2"/>
  <c r="AG662" i="2"/>
  <c r="AH662" i="2"/>
  <c r="AI662" i="2"/>
  <c r="Z663" i="2"/>
  <c r="AA663" i="2"/>
  <c r="AB663" i="2"/>
  <c r="AC663" i="2"/>
  <c r="AD663" i="2"/>
  <c r="AE663" i="2"/>
  <c r="AF663" i="2"/>
  <c r="AG663" i="2"/>
  <c r="AH663" i="2"/>
  <c r="AI663" i="2"/>
  <c r="Z664" i="2"/>
  <c r="AA664" i="2"/>
  <c r="AB664" i="2"/>
  <c r="AC664" i="2"/>
  <c r="AD664" i="2"/>
  <c r="AE664" i="2"/>
  <c r="AF664" i="2"/>
  <c r="AG664" i="2"/>
  <c r="AH664" i="2"/>
  <c r="AI664" i="2"/>
  <c r="Z665" i="2"/>
  <c r="AA665" i="2"/>
  <c r="AB665" i="2"/>
  <c r="AC665" i="2"/>
  <c r="AD665" i="2"/>
  <c r="AE665" i="2"/>
  <c r="AF665" i="2"/>
  <c r="AG665" i="2"/>
  <c r="AH665" i="2"/>
  <c r="AI665" i="2"/>
  <c r="Z666" i="2"/>
  <c r="AA666" i="2"/>
  <c r="AB666" i="2"/>
  <c r="AC666" i="2"/>
  <c r="AD666" i="2"/>
  <c r="AE666" i="2"/>
  <c r="AF666" i="2"/>
  <c r="AG666" i="2"/>
  <c r="AH666" i="2"/>
  <c r="AI666" i="2"/>
  <c r="Z667" i="2"/>
  <c r="AA667" i="2"/>
  <c r="AB667" i="2"/>
  <c r="AC667" i="2"/>
  <c r="AD667" i="2"/>
  <c r="AE667" i="2"/>
  <c r="AF667" i="2"/>
  <c r="AG667" i="2"/>
  <c r="AH667" i="2"/>
  <c r="AI667" i="2"/>
  <c r="Z668" i="2"/>
  <c r="AA668" i="2"/>
  <c r="AB668" i="2"/>
  <c r="AC668" i="2"/>
  <c r="AD668" i="2"/>
  <c r="AE668" i="2"/>
  <c r="AF668" i="2"/>
  <c r="AG668" i="2"/>
  <c r="AH668" i="2"/>
  <c r="AI668" i="2"/>
  <c r="Z669" i="2"/>
  <c r="AA669" i="2"/>
  <c r="AB669" i="2"/>
  <c r="AC669" i="2"/>
  <c r="AD669" i="2"/>
  <c r="AE669" i="2"/>
  <c r="AF669" i="2"/>
  <c r="AG669" i="2"/>
  <c r="AH669" i="2"/>
  <c r="AI669" i="2"/>
  <c r="Z670" i="2"/>
  <c r="AA670" i="2"/>
  <c r="AB670" i="2"/>
  <c r="AC670" i="2"/>
  <c r="AD670" i="2"/>
  <c r="AE670" i="2"/>
  <c r="AF670" i="2"/>
  <c r="AG670" i="2"/>
  <c r="AH670" i="2"/>
  <c r="AI670" i="2"/>
  <c r="Z671" i="2"/>
  <c r="AA671" i="2"/>
  <c r="AB671" i="2"/>
  <c r="AC671" i="2"/>
  <c r="AD671" i="2"/>
  <c r="AE671" i="2"/>
  <c r="AF671" i="2"/>
  <c r="AG671" i="2"/>
  <c r="AH671" i="2"/>
  <c r="AI671" i="2"/>
  <c r="Z672" i="2"/>
  <c r="AA672" i="2"/>
  <c r="AB672" i="2"/>
  <c r="AC672" i="2"/>
  <c r="AD672" i="2"/>
  <c r="AE672" i="2"/>
  <c r="AF672" i="2"/>
  <c r="AG672" i="2"/>
  <c r="AH672" i="2"/>
  <c r="AI672" i="2"/>
  <c r="Z673" i="2"/>
  <c r="AA673" i="2"/>
  <c r="AB673" i="2"/>
  <c r="AC673" i="2"/>
  <c r="AD673" i="2"/>
  <c r="AE673" i="2"/>
  <c r="AF673" i="2"/>
  <c r="AG673" i="2"/>
  <c r="AH673" i="2"/>
  <c r="AI673" i="2"/>
  <c r="Z674" i="2"/>
  <c r="AA674" i="2"/>
  <c r="AB674" i="2"/>
  <c r="AC674" i="2"/>
  <c r="AD674" i="2"/>
  <c r="AE674" i="2"/>
  <c r="AF674" i="2"/>
  <c r="AG674" i="2"/>
  <c r="AH674" i="2"/>
  <c r="AI674" i="2"/>
  <c r="Z675" i="2"/>
  <c r="AA675" i="2"/>
  <c r="AB675" i="2"/>
  <c r="AC675" i="2"/>
  <c r="AD675" i="2"/>
  <c r="AE675" i="2"/>
  <c r="AF675" i="2"/>
  <c r="AG675" i="2"/>
  <c r="AH675" i="2"/>
  <c r="AI675" i="2"/>
  <c r="Z676" i="2"/>
  <c r="AA676" i="2"/>
  <c r="AB676" i="2"/>
  <c r="AC676" i="2"/>
  <c r="AD676" i="2"/>
  <c r="AE676" i="2"/>
  <c r="AF676" i="2"/>
  <c r="AG676" i="2"/>
  <c r="AH676" i="2"/>
  <c r="AI676" i="2"/>
  <c r="Z677" i="2"/>
  <c r="AA677" i="2"/>
  <c r="AB677" i="2"/>
  <c r="AC677" i="2"/>
  <c r="AD677" i="2"/>
  <c r="AE677" i="2"/>
  <c r="AF677" i="2"/>
  <c r="AG677" i="2"/>
  <c r="AH677" i="2"/>
  <c r="AI677" i="2"/>
  <c r="Z678" i="2"/>
  <c r="AA678" i="2"/>
  <c r="AB678" i="2"/>
  <c r="AC678" i="2"/>
  <c r="AD678" i="2"/>
  <c r="AE678" i="2"/>
  <c r="AF678" i="2"/>
  <c r="AG678" i="2"/>
  <c r="AH678" i="2"/>
  <c r="AI678" i="2"/>
  <c r="Z679" i="2"/>
  <c r="AA679" i="2"/>
  <c r="AB679" i="2"/>
  <c r="AC679" i="2"/>
  <c r="AD679" i="2"/>
  <c r="AE679" i="2"/>
  <c r="AF679" i="2"/>
  <c r="AG679" i="2"/>
  <c r="AH679" i="2"/>
  <c r="AI679" i="2"/>
  <c r="Z680" i="2"/>
  <c r="AA680" i="2"/>
  <c r="AB680" i="2"/>
  <c r="AC680" i="2"/>
  <c r="AD680" i="2"/>
  <c r="AE680" i="2"/>
  <c r="AF680" i="2"/>
  <c r="AG680" i="2"/>
  <c r="AH680" i="2"/>
  <c r="AI680" i="2"/>
  <c r="Z681" i="2"/>
  <c r="AA681" i="2"/>
  <c r="AB681" i="2"/>
  <c r="AC681" i="2"/>
  <c r="AD681" i="2"/>
  <c r="AE681" i="2"/>
  <c r="AF681" i="2"/>
  <c r="AG681" i="2"/>
  <c r="AH681" i="2"/>
  <c r="AI681" i="2"/>
  <c r="Z682" i="2"/>
  <c r="AA682" i="2"/>
  <c r="AB682" i="2"/>
  <c r="AC682" i="2"/>
  <c r="AD682" i="2"/>
  <c r="AE682" i="2"/>
  <c r="AF682" i="2"/>
  <c r="AG682" i="2"/>
  <c r="AH682" i="2"/>
  <c r="AI682" i="2"/>
  <c r="Z683" i="2"/>
  <c r="AA683" i="2"/>
  <c r="AB683" i="2"/>
  <c r="AC683" i="2"/>
  <c r="AD683" i="2"/>
  <c r="AE683" i="2"/>
  <c r="AF683" i="2"/>
  <c r="AG683" i="2"/>
  <c r="AH683" i="2"/>
  <c r="AI683" i="2"/>
  <c r="Z684" i="2"/>
  <c r="AA684" i="2"/>
  <c r="AB684" i="2"/>
  <c r="AC684" i="2"/>
  <c r="AD684" i="2"/>
  <c r="AE684" i="2"/>
  <c r="AF684" i="2"/>
  <c r="AG684" i="2"/>
  <c r="AH684" i="2"/>
  <c r="AI684" i="2"/>
  <c r="Z685" i="2"/>
  <c r="AA685" i="2"/>
  <c r="AB685" i="2"/>
  <c r="AC685" i="2"/>
  <c r="AD685" i="2"/>
  <c r="AE685" i="2"/>
  <c r="AF685" i="2"/>
  <c r="AG685" i="2"/>
  <c r="AH685" i="2"/>
  <c r="AI685" i="2"/>
  <c r="Z686" i="2"/>
  <c r="AA686" i="2"/>
  <c r="AB686" i="2"/>
  <c r="AC686" i="2"/>
  <c r="AD686" i="2"/>
  <c r="AE686" i="2"/>
  <c r="AF686" i="2"/>
  <c r="AG686" i="2"/>
  <c r="AH686" i="2"/>
  <c r="AI686" i="2"/>
  <c r="Z687" i="2"/>
  <c r="AA687" i="2"/>
  <c r="AB687" i="2"/>
  <c r="AC687" i="2"/>
  <c r="AD687" i="2"/>
  <c r="AE687" i="2"/>
  <c r="AF687" i="2"/>
  <c r="AG687" i="2"/>
  <c r="AH687" i="2"/>
  <c r="AI687" i="2"/>
  <c r="Z688" i="2"/>
  <c r="AA688" i="2"/>
  <c r="AB688" i="2"/>
  <c r="AC688" i="2"/>
  <c r="AD688" i="2"/>
  <c r="AE688" i="2"/>
  <c r="AF688" i="2"/>
  <c r="AG688" i="2"/>
  <c r="AH688" i="2"/>
  <c r="AI688" i="2"/>
  <c r="Z689" i="2"/>
  <c r="AA689" i="2"/>
  <c r="AB689" i="2"/>
  <c r="AC689" i="2"/>
  <c r="AD689" i="2"/>
  <c r="AE689" i="2"/>
  <c r="AF689" i="2"/>
  <c r="AG689" i="2"/>
  <c r="AH689" i="2"/>
  <c r="AI689" i="2"/>
  <c r="Z690" i="2"/>
  <c r="AA690" i="2"/>
  <c r="AB690" i="2"/>
  <c r="AC690" i="2"/>
  <c r="AD690" i="2"/>
  <c r="AE690" i="2"/>
  <c r="AF690" i="2"/>
  <c r="AG690" i="2"/>
  <c r="AH690" i="2"/>
  <c r="AI690" i="2"/>
  <c r="Z691" i="2"/>
  <c r="AA691" i="2"/>
  <c r="AB691" i="2"/>
  <c r="AC691" i="2"/>
  <c r="AD691" i="2"/>
  <c r="AE691" i="2"/>
  <c r="AF691" i="2"/>
  <c r="AG691" i="2"/>
  <c r="AH691" i="2"/>
  <c r="AI691" i="2"/>
  <c r="Z692" i="2"/>
  <c r="AA692" i="2"/>
  <c r="AB692" i="2"/>
  <c r="AC692" i="2"/>
  <c r="AD692" i="2"/>
  <c r="AE692" i="2"/>
  <c r="AF692" i="2"/>
  <c r="AG692" i="2"/>
  <c r="AH692" i="2"/>
  <c r="AI692" i="2"/>
  <c r="Z693" i="2"/>
  <c r="AA693" i="2"/>
  <c r="AB693" i="2"/>
  <c r="AC693" i="2"/>
  <c r="AD693" i="2"/>
  <c r="AE693" i="2"/>
  <c r="AF693" i="2"/>
  <c r="AG693" i="2"/>
  <c r="AH693" i="2"/>
  <c r="AI693" i="2"/>
  <c r="Z694" i="2"/>
  <c r="AA694" i="2"/>
  <c r="AB694" i="2"/>
  <c r="AC694" i="2"/>
  <c r="AD694" i="2"/>
  <c r="AE694" i="2"/>
  <c r="AF694" i="2"/>
  <c r="AG694" i="2"/>
  <c r="AH694" i="2"/>
  <c r="AI694" i="2"/>
  <c r="Z695" i="2"/>
  <c r="AA695" i="2"/>
  <c r="AB695" i="2"/>
  <c r="AC695" i="2"/>
  <c r="AD695" i="2"/>
  <c r="AE695" i="2"/>
  <c r="AF695" i="2"/>
  <c r="AG695" i="2"/>
  <c r="AH695" i="2"/>
  <c r="AI695" i="2"/>
  <c r="Z696" i="2"/>
  <c r="AA696" i="2"/>
  <c r="AB696" i="2"/>
  <c r="AC696" i="2"/>
  <c r="AD696" i="2"/>
  <c r="AE696" i="2"/>
  <c r="AF696" i="2"/>
  <c r="AG696" i="2"/>
  <c r="AH696" i="2"/>
  <c r="AI696" i="2"/>
  <c r="Z697" i="2"/>
  <c r="AA697" i="2"/>
  <c r="AB697" i="2"/>
  <c r="AC697" i="2"/>
  <c r="AD697" i="2"/>
  <c r="AE697" i="2"/>
  <c r="AF697" i="2"/>
  <c r="AG697" i="2"/>
  <c r="AH697" i="2"/>
  <c r="AI697" i="2"/>
  <c r="Z698" i="2"/>
  <c r="AA698" i="2"/>
  <c r="AB698" i="2"/>
  <c r="AC698" i="2"/>
  <c r="AD698" i="2"/>
  <c r="AE698" i="2"/>
  <c r="AF698" i="2"/>
  <c r="AG698" i="2"/>
  <c r="AH698" i="2"/>
  <c r="AI698" i="2"/>
  <c r="Z699" i="2"/>
  <c r="AA699" i="2"/>
  <c r="AB699" i="2"/>
  <c r="AC699" i="2"/>
  <c r="AD699" i="2"/>
  <c r="AE699" i="2"/>
  <c r="AF699" i="2"/>
  <c r="AG699" i="2"/>
  <c r="AH699" i="2"/>
  <c r="AI699" i="2"/>
  <c r="Z700" i="2"/>
  <c r="AA700" i="2"/>
  <c r="AB700" i="2"/>
  <c r="AC700" i="2"/>
  <c r="AD700" i="2"/>
  <c r="AE700" i="2"/>
  <c r="AF700" i="2"/>
  <c r="AG700" i="2"/>
  <c r="AH700" i="2"/>
  <c r="AI700" i="2"/>
  <c r="Z701" i="2"/>
  <c r="AA701" i="2"/>
  <c r="AB701" i="2"/>
  <c r="AC701" i="2"/>
  <c r="AD701" i="2"/>
  <c r="AE701" i="2"/>
  <c r="AF701" i="2"/>
  <c r="AG701" i="2"/>
  <c r="AH701" i="2"/>
  <c r="AI701" i="2"/>
  <c r="Z702" i="2"/>
  <c r="AA702" i="2"/>
  <c r="AB702" i="2"/>
  <c r="AC702" i="2"/>
  <c r="AD702" i="2"/>
  <c r="AE702" i="2"/>
  <c r="AF702" i="2"/>
  <c r="AG702" i="2"/>
  <c r="AH702" i="2"/>
  <c r="AI702" i="2"/>
  <c r="Z703" i="2"/>
  <c r="AA703" i="2"/>
  <c r="AB703" i="2"/>
  <c r="AC703" i="2"/>
  <c r="AD703" i="2"/>
  <c r="AE703" i="2"/>
  <c r="AF703" i="2"/>
  <c r="AG703" i="2"/>
  <c r="AH703" i="2"/>
  <c r="AI703" i="2"/>
  <c r="Z704" i="2"/>
  <c r="AA704" i="2"/>
  <c r="AB704" i="2"/>
  <c r="AC704" i="2"/>
  <c r="AD704" i="2"/>
  <c r="AE704" i="2"/>
  <c r="AF704" i="2"/>
  <c r="AG704" i="2"/>
  <c r="AH704" i="2"/>
  <c r="AI704" i="2"/>
  <c r="Z705" i="2"/>
  <c r="AA705" i="2"/>
  <c r="AB705" i="2"/>
  <c r="AC705" i="2"/>
  <c r="AD705" i="2"/>
  <c r="AE705" i="2"/>
  <c r="AF705" i="2"/>
  <c r="AG705" i="2"/>
  <c r="AH705" i="2"/>
  <c r="AI705" i="2"/>
  <c r="Z706" i="2"/>
  <c r="AA706" i="2"/>
  <c r="AB706" i="2"/>
  <c r="AC706" i="2"/>
  <c r="AD706" i="2"/>
  <c r="AE706" i="2"/>
  <c r="AF706" i="2"/>
  <c r="AG706" i="2"/>
  <c r="AH706" i="2"/>
  <c r="AI706" i="2"/>
  <c r="Z707" i="2"/>
  <c r="AA707" i="2"/>
  <c r="AB707" i="2"/>
  <c r="AC707" i="2"/>
  <c r="AD707" i="2"/>
  <c r="AE707" i="2"/>
  <c r="AF707" i="2"/>
  <c r="AG707" i="2"/>
  <c r="AH707" i="2"/>
  <c r="AI707" i="2"/>
  <c r="Z708" i="2"/>
  <c r="AA708" i="2"/>
  <c r="AB708" i="2"/>
  <c r="AC708" i="2"/>
  <c r="AD708" i="2"/>
  <c r="AE708" i="2"/>
  <c r="AF708" i="2"/>
  <c r="AG708" i="2"/>
  <c r="AH708" i="2"/>
  <c r="AI708" i="2"/>
  <c r="Z709" i="2"/>
  <c r="AA709" i="2"/>
  <c r="AB709" i="2"/>
  <c r="AC709" i="2"/>
  <c r="AD709" i="2"/>
  <c r="AE709" i="2"/>
  <c r="AF709" i="2"/>
  <c r="AG709" i="2"/>
  <c r="AH709" i="2"/>
  <c r="AI709" i="2"/>
  <c r="Z710" i="2"/>
  <c r="AA710" i="2"/>
  <c r="AB710" i="2"/>
  <c r="AC710" i="2"/>
  <c r="AD710" i="2"/>
  <c r="AE710" i="2"/>
  <c r="AF710" i="2"/>
  <c r="AG710" i="2"/>
  <c r="AH710" i="2"/>
  <c r="AI710" i="2"/>
  <c r="Z711" i="2"/>
  <c r="AA711" i="2"/>
  <c r="AB711" i="2"/>
  <c r="AC711" i="2"/>
  <c r="AD711" i="2"/>
  <c r="AE711" i="2"/>
  <c r="AF711" i="2"/>
  <c r="AG711" i="2"/>
  <c r="AH711" i="2"/>
  <c r="AI711" i="2"/>
  <c r="Z712" i="2"/>
  <c r="AA712" i="2"/>
  <c r="AB712" i="2"/>
  <c r="AC712" i="2"/>
  <c r="AD712" i="2"/>
  <c r="AE712" i="2"/>
  <c r="AF712" i="2"/>
  <c r="AG712" i="2"/>
  <c r="AH712" i="2"/>
  <c r="AI712" i="2"/>
  <c r="Z713" i="2"/>
  <c r="AA713" i="2"/>
  <c r="AB713" i="2"/>
  <c r="AC713" i="2"/>
  <c r="AD713" i="2"/>
  <c r="AE713" i="2"/>
  <c r="AF713" i="2"/>
  <c r="AG713" i="2"/>
  <c r="AH713" i="2"/>
  <c r="AI713" i="2"/>
  <c r="Z714" i="2"/>
  <c r="AA714" i="2"/>
  <c r="AB714" i="2"/>
  <c r="AC714" i="2"/>
  <c r="AD714" i="2"/>
  <c r="AE714" i="2"/>
  <c r="AF714" i="2"/>
  <c r="AG714" i="2"/>
  <c r="AH714" i="2"/>
  <c r="AI714" i="2"/>
  <c r="Z715" i="2"/>
  <c r="AA715" i="2"/>
  <c r="AB715" i="2"/>
  <c r="AC715" i="2"/>
  <c r="AD715" i="2"/>
  <c r="AE715" i="2"/>
  <c r="AF715" i="2"/>
  <c r="AG715" i="2"/>
  <c r="AH715" i="2"/>
  <c r="AI715" i="2"/>
  <c r="Z716" i="2"/>
  <c r="AA716" i="2"/>
  <c r="AB716" i="2"/>
  <c r="AC716" i="2"/>
  <c r="AD716" i="2"/>
  <c r="AE716" i="2"/>
  <c r="AF716" i="2"/>
  <c r="AG716" i="2"/>
  <c r="AH716" i="2"/>
  <c r="AI716" i="2"/>
  <c r="Z717" i="2"/>
  <c r="AA717" i="2"/>
  <c r="AB717" i="2"/>
  <c r="AC717" i="2"/>
  <c r="AD717" i="2"/>
  <c r="AE717" i="2"/>
  <c r="AF717" i="2"/>
  <c r="AG717" i="2"/>
  <c r="AH717" i="2"/>
  <c r="AI717" i="2"/>
  <c r="Z718" i="2"/>
  <c r="AA718" i="2"/>
  <c r="AB718" i="2"/>
  <c r="AC718" i="2"/>
  <c r="AD718" i="2"/>
  <c r="AE718" i="2"/>
  <c r="AF718" i="2"/>
  <c r="AG718" i="2"/>
  <c r="AH718" i="2"/>
  <c r="AI718" i="2"/>
  <c r="Z719" i="2"/>
  <c r="AA719" i="2"/>
  <c r="AB719" i="2"/>
  <c r="AC719" i="2"/>
  <c r="AD719" i="2"/>
  <c r="AE719" i="2"/>
  <c r="AF719" i="2"/>
  <c r="AG719" i="2"/>
  <c r="AH719" i="2"/>
  <c r="AI719" i="2"/>
  <c r="Z720" i="2"/>
  <c r="AA720" i="2"/>
  <c r="AB720" i="2"/>
  <c r="AC720" i="2"/>
  <c r="AD720" i="2"/>
  <c r="AE720" i="2"/>
  <c r="AF720" i="2"/>
  <c r="AG720" i="2"/>
  <c r="AH720" i="2"/>
  <c r="AI720" i="2"/>
  <c r="Z721" i="2"/>
  <c r="AA721" i="2"/>
  <c r="AB721" i="2"/>
  <c r="AC721" i="2"/>
  <c r="AD721" i="2"/>
  <c r="AE721" i="2"/>
  <c r="AF721" i="2"/>
  <c r="AG721" i="2"/>
  <c r="AH721" i="2"/>
  <c r="AI721" i="2"/>
  <c r="Z722" i="2"/>
  <c r="AA722" i="2"/>
  <c r="AB722" i="2"/>
  <c r="AC722" i="2"/>
  <c r="AD722" i="2"/>
  <c r="AE722" i="2"/>
  <c r="AF722" i="2"/>
  <c r="AG722" i="2"/>
  <c r="AH722" i="2"/>
  <c r="AI722" i="2"/>
  <c r="Z723" i="2"/>
  <c r="AA723" i="2"/>
  <c r="AB723" i="2"/>
  <c r="AC723" i="2"/>
  <c r="AD723" i="2"/>
  <c r="AE723" i="2"/>
  <c r="AF723" i="2"/>
  <c r="AG723" i="2"/>
  <c r="AH723" i="2"/>
  <c r="AI723" i="2"/>
  <c r="Z724" i="2"/>
  <c r="AA724" i="2"/>
  <c r="AB724" i="2"/>
  <c r="AC724" i="2"/>
  <c r="AD724" i="2"/>
  <c r="AE724" i="2"/>
  <c r="AF724" i="2"/>
  <c r="AG724" i="2"/>
  <c r="AH724" i="2"/>
  <c r="AI724" i="2"/>
  <c r="Z725" i="2"/>
  <c r="AA725" i="2"/>
  <c r="AB725" i="2"/>
  <c r="AC725" i="2"/>
  <c r="AD725" i="2"/>
  <c r="AE725" i="2"/>
  <c r="AF725" i="2"/>
  <c r="AG725" i="2"/>
  <c r="AH725" i="2"/>
  <c r="AI725" i="2"/>
  <c r="Z726" i="2"/>
  <c r="AA726" i="2"/>
  <c r="AB726" i="2"/>
  <c r="AC726" i="2"/>
  <c r="AD726" i="2"/>
  <c r="AE726" i="2"/>
  <c r="AF726" i="2"/>
  <c r="AG726" i="2"/>
  <c r="AH726" i="2"/>
  <c r="AI726" i="2"/>
  <c r="Z727" i="2"/>
  <c r="AA727" i="2"/>
  <c r="AB727" i="2"/>
  <c r="AC727" i="2"/>
  <c r="AD727" i="2"/>
  <c r="AE727" i="2"/>
  <c r="AF727" i="2"/>
  <c r="AG727" i="2"/>
  <c r="AH727" i="2"/>
  <c r="AI727" i="2"/>
  <c r="Z728" i="2"/>
  <c r="AA728" i="2"/>
  <c r="AB728" i="2"/>
  <c r="AC728" i="2"/>
  <c r="AD728" i="2"/>
  <c r="AE728" i="2"/>
  <c r="AF728" i="2"/>
  <c r="AG728" i="2"/>
  <c r="AH728" i="2"/>
  <c r="AI728" i="2"/>
  <c r="Z729" i="2"/>
  <c r="AA729" i="2"/>
  <c r="AB729" i="2"/>
  <c r="AC729" i="2"/>
  <c r="AD729" i="2"/>
  <c r="AE729" i="2"/>
  <c r="AF729" i="2"/>
  <c r="AG729" i="2"/>
  <c r="AH729" i="2"/>
  <c r="AI729" i="2"/>
  <c r="Z730" i="2"/>
  <c r="AA730" i="2"/>
  <c r="AB730" i="2"/>
  <c r="AC730" i="2"/>
  <c r="AD730" i="2"/>
  <c r="AE730" i="2"/>
  <c r="AF730" i="2"/>
  <c r="AG730" i="2"/>
  <c r="AH730" i="2"/>
  <c r="AI730" i="2"/>
  <c r="Z731" i="2"/>
  <c r="AA731" i="2"/>
  <c r="AB731" i="2"/>
  <c r="AC731" i="2"/>
  <c r="AD731" i="2"/>
  <c r="AE731" i="2"/>
  <c r="AF731" i="2"/>
  <c r="AG731" i="2"/>
  <c r="AH731" i="2"/>
  <c r="AI731" i="2"/>
  <c r="Z732" i="2"/>
  <c r="AA732" i="2"/>
  <c r="AB732" i="2"/>
  <c r="AC732" i="2"/>
  <c r="AD732" i="2"/>
  <c r="AE732" i="2"/>
  <c r="AF732" i="2"/>
  <c r="AG732" i="2"/>
  <c r="AH732" i="2"/>
  <c r="AI732" i="2"/>
  <c r="Z733" i="2"/>
  <c r="AA733" i="2"/>
  <c r="AB733" i="2"/>
  <c r="AC733" i="2"/>
  <c r="AD733" i="2"/>
  <c r="AE733" i="2"/>
  <c r="AF733" i="2"/>
  <c r="AG733" i="2"/>
  <c r="AH733" i="2"/>
  <c r="AI733" i="2"/>
  <c r="Z734" i="2"/>
  <c r="AA734" i="2"/>
  <c r="AB734" i="2"/>
  <c r="AC734" i="2"/>
  <c r="AD734" i="2"/>
  <c r="AE734" i="2"/>
  <c r="AF734" i="2"/>
  <c r="AG734" i="2"/>
  <c r="AH734" i="2"/>
  <c r="AI734" i="2"/>
  <c r="Z735" i="2"/>
  <c r="AA735" i="2"/>
  <c r="AB735" i="2"/>
  <c r="AC735" i="2"/>
  <c r="AD735" i="2"/>
  <c r="AE735" i="2"/>
  <c r="AF735" i="2"/>
  <c r="AG735" i="2"/>
  <c r="AH735" i="2"/>
  <c r="AI735" i="2"/>
  <c r="Z736" i="2"/>
  <c r="AA736" i="2"/>
  <c r="AB736" i="2"/>
  <c r="AC736" i="2"/>
  <c r="AD736" i="2"/>
  <c r="AE736" i="2"/>
  <c r="AF736" i="2"/>
  <c r="AG736" i="2"/>
  <c r="AH736" i="2"/>
  <c r="AI736" i="2"/>
  <c r="Z737" i="2"/>
  <c r="AA737" i="2"/>
  <c r="AB737" i="2"/>
  <c r="AC737" i="2"/>
  <c r="AD737" i="2"/>
  <c r="AE737" i="2"/>
  <c r="AF737" i="2"/>
  <c r="AG737" i="2"/>
  <c r="AH737" i="2"/>
  <c r="AI737" i="2"/>
  <c r="Z738" i="2"/>
  <c r="AA738" i="2"/>
  <c r="AB738" i="2"/>
  <c r="AC738" i="2"/>
  <c r="AD738" i="2"/>
  <c r="AE738" i="2"/>
  <c r="AF738" i="2"/>
  <c r="AG738" i="2"/>
  <c r="AH738" i="2"/>
  <c r="AI738" i="2"/>
  <c r="Z739" i="2"/>
  <c r="AA739" i="2"/>
  <c r="AB739" i="2"/>
  <c r="AC739" i="2"/>
  <c r="AD739" i="2"/>
  <c r="AE739" i="2"/>
  <c r="AF739" i="2"/>
  <c r="AG739" i="2"/>
  <c r="AH739" i="2"/>
  <c r="AI739" i="2"/>
  <c r="Z740" i="2"/>
  <c r="AA740" i="2"/>
  <c r="AB740" i="2"/>
  <c r="AC740" i="2"/>
  <c r="AD740" i="2"/>
  <c r="AE740" i="2"/>
  <c r="AF740" i="2"/>
  <c r="AG740" i="2"/>
  <c r="AH740" i="2"/>
  <c r="AI740" i="2"/>
  <c r="Z741" i="2"/>
  <c r="AA741" i="2"/>
  <c r="AB741" i="2"/>
  <c r="AC741" i="2"/>
  <c r="AD741" i="2"/>
  <c r="AE741" i="2"/>
  <c r="AF741" i="2"/>
  <c r="AG741" i="2"/>
  <c r="AH741" i="2"/>
  <c r="AI741" i="2"/>
  <c r="Z742" i="2"/>
  <c r="AA742" i="2"/>
  <c r="AB742" i="2"/>
  <c r="AC742" i="2"/>
  <c r="AD742" i="2"/>
  <c r="AE742" i="2"/>
  <c r="AF742" i="2"/>
  <c r="AG742" i="2"/>
  <c r="AH742" i="2"/>
  <c r="AI742" i="2"/>
  <c r="Z743" i="2"/>
  <c r="AA743" i="2"/>
  <c r="AB743" i="2"/>
  <c r="AC743" i="2"/>
  <c r="AD743" i="2"/>
  <c r="AE743" i="2"/>
  <c r="AF743" i="2"/>
  <c r="AG743" i="2"/>
  <c r="AH743" i="2"/>
  <c r="AI743" i="2"/>
  <c r="Z744" i="2"/>
  <c r="AA744" i="2"/>
  <c r="AB744" i="2"/>
  <c r="AC744" i="2"/>
  <c r="AD744" i="2"/>
  <c r="AE744" i="2"/>
  <c r="AF744" i="2"/>
  <c r="AG744" i="2"/>
  <c r="AH744" i="2"/>
  <c r="AI744" i="2"/>
  <c r="Z745" i="2"/>
  <c r="AA745" i="2"/>
  <c r="AB745" i="2"/>
  <c r="AC745" i="2"/>
  <c r="AD745" i="2"/>
  <c r="AE745" i="2"/>
  <c r="AF745" i="2"/>
  <c r="AG745" i="2"/>
  <c r="AH745" i="2"/>
  <c r="AI745" i="2"/>
  <c r="Z746" i="2"/>
  <c r="AA746" i="2"/>
  <c r="AB746" i="2"/>
  <c r="AC746" i="2"/>
  <c r="AD746" i="2"/>
  <c r="AE746" i="2"/>
  <c r="AF746" i="2"/>
  <c r="AG746" i="2"/>
  <c r="AH746" i="2"/>
  <c r="AI746" i="2"/>
  <c r="Z747" i="2"/>
  <c r="AA747" i="2"/>
  <c r="AB747" i="2"/>
  <c r="AC747" i="2"/>
  <c r="AD747" i="2"/>
  <c r="AE747" i="2"/>
  <c r="AF747" i="2"/>
  <c r="AG747" i="2"/>
  <c r="AH747" i="2"/>
  <c r="AI747" i="2"/>
  <c r="Z748" i="2"/>
  <c r="AA748" i="2"/>
  <c r="AB748" i="2"/>
  <c r="AC748" i="2"/>
  <c r="AD748" i="2"/>
  <c r="AE748" i="2"/>
  <c r="AF748" i="2"/>
  <c r="AG748" i="2"/>
  <c r="AH748" i="2"/>
  <c r="AI748" i="2"/>
  <c r="Z749" i="2"/>
  <c r="AA749" i="2"/>
  <c r="AB749" i="2"/>
  <c r="AC749" i="2"/>
  <c r="AD749" i="2"/>
  <c r="AE749" i="2"/>
  <c r="AF749" i="2"/>
  <c r="AG749" i="2"/>
  <c r="AH749" i="2"/>
  <c r="AI749" i="2"/>
  <c r="Z750" i="2"/>
  <c r="AA750" i="2"/>
  <c r="AB750" i="2"/>
  <c r="AC750" i="2"/>
  <c r="AD750" i="2"/>
  <c r="AE750" i="2"/>
  <c r="AF750" i="2"/>
  <c r="AG750" i="2"/>
  <c r="AH750" i="2"/>
  <c r="AI750" i="2"/>
  <c r="Z751" i="2"/>
  <c r="AA751" i="2"/>
  <c r="AB751" i="2"/>
  <c r="AC751" i="2"/>
  <c r="AD751" i="2"/>
  <c r="AE751" i="2"/>
  <c r="AF751" i="2"/>
  <c r="AG751" i="2"/>
  <c r="AH751" i="2"/>
  <c r="AI751" i="2"/>
  <c r="Z752" i="2"/>
  <c r="AA752" i="2"/>
  <c r="AB752" i="2"/>
  <c r="AC752" i="2"/>
  <c r="AD752" i="2"/>
  <c r="AE752" i="2"/>
  <c r="AF752" i="2"/>
  <c r="AG752" i="2"/>
  <c r="AH752" i="2"/>
  <c r="AI752" i="2"/>
  <c r="Z753" i="2"/>
  <c r="AA753" i="2"/>
  <c r="AB753" i="2"/>
  <c r="AC753" i="2"/>
  <c r="AD753" i="2"/>
  <c r="AE753" i="2"/>
  <c r="AF753" i="2"/>
  <c r="AG753" i="2"/>
  <c r="AH753" i="2"/>
  <c r="AI753" i="2"/>
  <c r="Z754" i="2"/>
  <c r="AA754" i="2"/>
  <c r="AB754" i="2"/>
  <c r="AC754" i="2"/>
  <c r="AD754" i="2"/>
  <c r="AE754" i="2"/>
  <c r="AF754" i="2"/>
  <c r="AG754" i="2"/>
  <c r="AH754" i="2"/>
  <c r="AI754" i="2"/>
  <c r="Z755" i="2"/>
  <c r="AA755" i="2"/>
  <c r="AB755" i="2"/>
  <c r="AC755" i="2"/>
  <c r="AD755" i="2"/>
  <c r="AE755" i="2"/>
  <c r="AF755" i="2"/>
  <c r="AG755" i="2"/>
  <c r="AH755" i="2"/>
  <c r="AI755" i="2"/>
  <c r="Z756" i="2"/>
  <c r="AA756" i="2"/>
  <c r="AB756" i="2"/>
  <c r="AC756" i="2"/>
  <c r="AD756" i="2"/>
  <c r="AE756" i="2"/>
  <c r="AF756" i="2"/>
  <c r="AG756" i="2"/>
  <c r="AH756" i="2"/>
  <c r="AI756" i="2"/>
  <c r="Z757" i="2"/>
  <c r="AA757" i="2"/>
  <c r="AB757" i="2"/>
  <c r="AC757" i="2"/>
  <c r="AD757" i="2"/>
  <c r="AE757" i="2"/>
  <c r="AF757" i="2"/>
  <c r="AG757" i="2"/>
  <c r="AH757" i="2"/>
  <c r="AI757" i="2"/>
  <c r="Z758" i="2"/>
  <c r="AA758" i="2"/>
  <c r="AB758" i="2"/>
  <c r="AC758" i="2"/>
  <c r="AD758" i="2"/>
  <c r="AE758" i="2"/>
  <c r="AF758" i="2"/>
  <c r="AG758" i="2"/>
  <c r="AH758" i="2"/>
  <c r="AI758" i="2"/>
  <c r="Z759" i="2"/>
  <c r="AA759" i="2"/>
  <c r="AB759" i="2"/>
  <c r="AC759" i="2"/>
  <c r="AD759" i="2"/>
  <c r="AE759" i="2"/>
  <c r="AF759" i="2"/>
  <c r="AG759" i="2"/>
  <c r="AH759" i="2"/>
  <c r="AI759" i="2"/>
  <c r="Z760" i="2"/>
  <c r="AA760" i="2"/>
  <c r="AB760" i="2"/>
  <c r="AC760" i="2"/>
  <c r="AD760" i="2"/>
  <c r="AE760" i="2"/>
  <c r="AF760" i="2"/>
  <c r="AG760" i="2"/>
  <c r="AH760" i="2"/>
  <c r="AI760" i="2"/>
  <c r="Z761" i="2"/>
  <c r="AA761" i="2"/>
  <c r="AB761" i="2"/>
  <c r="AC761" i="2"/>
  <c r="AD761" i="2"/>
  <c r="AE761" i="2"/>
  <c r="AF761" i="2"/>
  <c r="AG761" i="2"/>
  <c r="AH761" i="2"/>
  <c r="AI761" i="2"/>
  <c r="Z762" i="2"/>
  <c r="AA762" i="2"/>
  <c r="AB762" i="2"/>
  <c r="AC762" i="2"/>
  <c r="AD762" i="2"/>
  <c r="AE762" i="2"/>
  <c r="AF762" i="2"/>
  <c r="AG762" i="2"/>
  <c r="AH762" i="2"/>
  <c r="AI762" i="2"/>
  <c r="Z763" i="2"/>
  <c r="AA763" i="2"/>
  <c r="AB763" i="2"/>
  <c r="AC763" i="2"/>
  <c r="AD763" i="2"/>
  <c r="AE763" i="2"/>
  <c r="AF763" i="2"/>
  <c r="AG763" i="2"/>
  <c r="AH763" i="2"/>
  <c r="AI763" i="2"/>
  <c r="Z764" i="2"/>
  <c r="AA764" i="2"/>
  <c r="AB764" i="2"/>
  <c r="AC764" i="2"/>
  <c r="AD764" i="2"/>
  <c r="AE764" i="2"/>
  <c r="AF764" i="2"/>
  <c r="AG764" i="2"/>
  <c r="AH764" i="2"/>
  <c r="AI764" i="2"/>
  <c r="Z765" i="2"/>
  <c r="AA765" i="2"/>
  <c r="AB765" i="2"/>
  <c r="AC765" i="2"/>
  <c r="AD765" i="2"/>
  <c r="AE765" i="2"/>
  <c r="AF765" i="2"/>
  <c r="AG765" i="2"/>
  <c r="AH765" i="2"/>
  <c r="AI765" i="2"/>
  <c r="Z766" i="2"/>
  <c r="AA766" i="2"/>
  <c r="AB766" i="2"/>
  <c r="AC766" i="2"/>
  <c r="AD766" i="2"/>
  <c r="AE766" i="2"/>
  <c r="AF766" i="2"/>
  <c r="AG766" i="2"/>
  <c r="AH766" i="2"/>
  <c r="AI766" i="2"/>
  <c r="Z767" i="2"/>
  <c r="AA767" i="2"/>
  <c r="AB767" i="2"/>
  <c r="AC767" i="2"/>
  <c r="AD767" i="2"/>
  <c r="AE767" i="2"/>
  <c r="AF767" i="2"/>
  <c r="AG767" i="2"/>
  <c r="AH767" i="2"/>
  <c r="AI767" i="2"/>
  <c r="Z768" i="2"/>
  <c r="AA768" i="2"/>
  <c r="AB768" i="2"/>
  <c r="AC768" i="2"/>
  <c r="AD768" i="2"/>
  <c r="AE768" i="2"/>
  <c r="AF768" i="2"/>
  <c r="AG768" i="2"/>
  <c r="AH768" i="2"/>
  <c r="AI768" i="2"/>
  <c r="Z769" i="2"/>
  <c r="AA769" i="2"/>
  <c r="AB769" i="2"/>
  <c r="AC769" i="2"/>
  <c r="AD769" i="2"/>
  <c r="AE769" i="2"/>
  <c r="AF769" i="2"/>
  <c r="AG769" i="2"/>
  <c r="AH769" i="2"/>
  <c r="AI769" i="2"/>
  <c r="Z770" i="2"/>
  <c r="AA770" i="2"/>
  <c r="AB770" i="2"/>
  <c r="AC770" i="2"/>
  <c r="AD770" i="2"/>
  <c r="AE770" i="2"/>
  <c r="AF770" i="2"/>
  <c r="AG770" i="2"/>
  <c r="AH770" i="2"/>
  <c r="AI770" i="2"/>
  <c r="Z771" i="2"/>
  <c r="AA771" i="2"/>
  <c r="AB771" i="2"/>
  <c r="AC771" i="2"/>
  <c r="AD771" i="2"/>
  <c r="AE771" i="2"/>
  <c r="AF771" i="2"/>
  <c r="AG771" i="2"/>
  <c r="AH771" i="2"/>
  <c r="AI771" i="2"/>
  <c r="Z772" i="2"/>
  <c r="AA772" i="2"/>
  <c r="AB772" i="2"/>
  <c r="AC772" i="2"/>
  <c r="AD772" i="2"/>
  <c r="AE772" i="2"/>
  <c r="AF772" i="2"/>
  <c r="AG772" i="2"/>
  <c r="AH772" i="2"/>
  <c r="AI772" i="2"/>
  <c r="Z773" i="2"/>
  <c r="AA773" i="2"/>
  <c r="AB773" i="2"/>
  <c r="AC773" i="2"/>
  <c r="AD773" i="2"/>
  <c r="AE773" i="2"/>
  <c r="AF773" i="2"/>
  <c r="AG773" i="2"/>
  <c r="AH773" i="2"/>
  <c r="AI773" i="2"/>
  <c r="Z774" i="2"/>
  <c r="AA774" i="2"/>
  <c r="AB774" i="2"/>
  <c r="AC774" i="2"/>
  <c r="AD774" i="2"/>
  <c r="AE774" i="2"/>
  <c r="AF774" i="2"/>
  <c r="AG774" i="2"/>
  <c r="AH774" i="2"/>
  <c r="AI774" i="2"/>
  <c r="Z775" i="2"/>
  <c r="AA775" i="2"/>
  <c r="AB775" i="2"/>
  <c r="AC775" i="2"/>
  <c r="AD775" i="2"/>
  <c r="AE775" i="2"/>
  <c r="AF775" i="2"/>
  <c r="AG775" i="2"/>
  <c r="AH775" i="2"/>
  <c r="AI775" i="2"/>
  <c r="Z776" i="2"/>
  <c r="AA776" i="2"/>
  <c r="AB776" i="2"/>
  <c r="AC776" i="2"/>
  <c r="AD776" i="2"/>
  <c r="AE776" i="2"/>
  <c r="AF776" i="2"/>
  <c r="AG776" i="2"/>
  <c r="AH776" i="2"/>
  <c r="AI776" i="2"/>
  <c r="Z777" i="2"/>
  <c r="AA777" i="2"/>
  <c r="AB777" i="2"/>
  <c r="AC777" i="2"/>
  <c r="AD777" i="2"/>
  <c r="AE777" i="2"/>
  <c r="AF777" i="2"/>
  <c r="AG777" i="2"/>
  <c r="AH777" i="2"/>
  <c r="AI777" i="2"/>
  <c r="Z778" i="2"/>
  <c r="AA778" i="2"/>
  <c r="AB778" i="2"/>
  <c r="AC778" i="2"/>
  <c r="AD778" i="2"/>
  <c r="AE778" i="2"/>
  <c r="AF778" i="2"/>
  <c r="AG778" i="2"/>
  <c r="AH778" i="2"/>
  <c r="AI778" i="2"/>
  <c r="Z779" i="2"/>
  <c r="AA779" i="2"/>
  <c r="AB779" i="2"/>
  <c r="AC779" i="2"/>
  <c r="AD779" i="2"/>
  <c r="AE779" i="2"/>
  <c r="AF779" i="2"/>
  <c r="AG779" i="2"/>
  <c r="AH779" i="2"/>
  <c r="AI779" i="2"/>
  <c r="Z780" i="2"/>
  <c r="AA780" i="2"/>
  <c r="AB780" i="2"/>
  <c r="AC780" i="2"/>
  <c r="AD780" i="2"/>
  <c r="AE780" i="2"/>
  <c r="AF780" i="2"/>
  <c r="AG780" i="2"/>
  <c r="AH780" i="2"/>
  <c r="AI780" i="2"/>
  <c r="Z781" i="2"/>
  <c r="AA781" i="2"/>
  <c r="AB781" i="2"/>
  <c r="AC781" i="2"/>
  <c r="AD781" i="2"/>
  <c r="AE781" i="2"/>
  <c r="AF781" i="2"/>
  <c r="AG781" i="2"/>
  <c r="AH781" i="2"/>
  <c r="AI781" i="2"/>
  <c r="Z782" i="2"/>
  <c r="AA782" i="2"/>
  <c r="AB782" i="2"/>
  <c r="AC782" i="2"/>
  <c r="AD782" i="2"/>
  <c r="AE782" i="2"/>
  <c r="AF782" i="2"/>
  <c r="AG782" i="2"/>
  <c r="AH782" i="2"/>
  <c r="AI782" i="2"/>
  <c r="Z783" i="2"/>
  <c r="AA783" i="2"/>
  <c r="AB783" i="2"/>
  <c r="AC783" i="2"/>
  <c r="AD783" i="2"/>
  <c r="AE783" i="2"/>
  <c r="AF783" i="2"/>
  <c r="AG783" i="2"/>
  <c r="AH783" i="2"/>
  <c r="AI783" i="2"/>
  <c r="Z784" i="2"/>
  <c r="AA784" i="2"/>
  <c r="AB784" i="2"/>
  <c r="AC784" i="2"/>
  <c r="AD784" i="2"/>
  <c r="AE784" i="2"/>
  <c r="AF784" i="2"/>
  <c r="AG784" i="2"/>
  <c r="AH784" i="2"/>
  <c r="AI784" i="2"/>
  <c r="Z785" i="2"/>
  <c r="AA785" i="2"/>
  <c r="AB785" i="2"/>
  <c r="AC785" i="2"/>
  <c r="AD785" i="2"/>
  <c r="AE785" i="2"/>
  <c r="AF785" i="2"/>
  <c r="AG785" i="2"/>
  <c r="AH785" i="2"/>
  <c r="AI785" i="2"/>
  <c r="Z786" i="2"/>
  <c r="AA786" i="2"/>
  <c r="AB786" i="2"/>
  <c r="AC786" i="2"/>
  <c r="AD786" i="2"/>
  <c r="AE786" i="2"/>
  <c r="AF786" i="2"/>
  <c r="AG786" i="2"/>
  <c r="AH786" i="2"/>
  <c r="AI786" i="2"/>
  <c r="Z787" i="2"/>
  <c r="AA787" i="2"/>
  <c r="AB787" i="2"/>
  <c r="AC787" i="2"/>
  <c r="AD787" i="2"/>
  <c r="AE787" i="2"/>
  <c r="AF787" i="2"/>
  <c r="AG787" i="2"/>
  <c r="AH787" i="2"/>
  <c r="AI787" i="2"/>
  <c r="Z788" i="2"/>
  <c r="AA788" i="2"/>
  <c r="AB788" i="2"/>
  <c r="AC788" i="2"/>
  <c r="AD788" i="2"/>
  <c r="AE788" i="2"/>
  <c r="AF788" i="2"/>
  <c r="AG788" i="2"/>
  <c r="AH788" i="2"/>
  <c r="AI788" i="2"/>
  <c r="Z789" i="2"/>
  <c r="AA789" i="2"/>
  <c r="AB789" i="2"/>
  <c r="AC789" i="2"/>
  <c r="AD789" i="2"/>
  <c r="AE789" i="2"/>
  <c r="AF789" i="2"/>
  <c r="AG789" i="2"/>
  <c r="AH789" i="2"/>
  <c r="AI789" i="2"/>
  <c r="Z790" i="2"/>
  <c r="AA790" i="2"/>
  <c r="AB790" i="2"/>
  <c r="AC790" i="2"/>
  <c r="AD790" i="2"/>
  <c r="AE790" i="2"/>
  <c r="AF790" i="2"/>
  <c r="AG790" i="2"/>
  <c r="AH790" i="2"/>
  <c r="AI790" i="2"/>
  <c r="Z791" i="2"/>
  <c r="AA791" i="2"/>
  <c r="AB791" i="2"/>
  <c r="AC791" i="2"/>
  <c r="AD791" i="2"/>
  <c r="AE791" i="2"/>
  <c r="AF791" i="2"/>
  <c r="AG791" i="2"/>
  <c r="AH791" i="2"/>
  <c r="AI791" i="2"/>
  <c r="Z792" i="2"/>
  <c r="AA792" i="2"/>
  <c r="AB792" i="2"/>
  <c r="AC792" i="2"/>
  <c r="AD792" i="2"/>
  <c r="AE792" i="2"/>
  <c r="AF792" i="2"/>
  <c r="AG792" i="2"/>
  <c r="AH792" i="2"/>
  <c r="AI792" i="2"/>
  <c r="Z793" i="2"/>
  <c r="AA793" i="2"/>
  <c r="AB793" i="2"/>
  <c r="AC793" i="2"/>
  <c r="AD793" i="2"/>
  <c r="AE793" i="2"/>
  <c r="AF793" i="2"/>
  <c r="AG793" i="2"/>
  <c r="AH793" i="2"/>
  <c r="AI793" i="2"/>
  <c r="Z794" i="2"/>
  <c r="AA794" i="2"/>
  <c r="AB794" i="2"/>
  <c r="AC794" i="2"/>
  <c r="AD794" i="2"/>
  <c r="AE794" i="2"/>
  <c r="AF794" i="2"/>
  <c r="AG794" i="2"/>
  <c r="AH794" i="2"/>
  <c r="AI794" i="2"/>
  <c r="Z795" i="2"/>
  <c r="AA795" i="2"/>
  <c r="AB795" i="2"/>
  <c r="AC795" i="2"/>
  <c r="AD795" i="2"/>
  <c r="AE795" i="2"/>
  <c r="AF795" i="2"/>
  <c r="AG795" i="2"/>
  <c r="AH795" i="2"/>
  <c r="AI795" i="2"/>
  <c r="Z796" i="2"/>
  <c r="AA796" i="2"/>
  <c r="AB796" i="2"/>
  <c r="AC796" i="2"/>
  <c r="AD796" i="2"/>
  <c r="AE796" i="2"/>
  <c r="AF796" i="2"/>
  <c r="AG796" i="2"/>
  <c r="AH796" i="2"/>
  <c r="AI796" i="2"/>
  <c r="Z797" i="2"/>
  <c r="AA797" i="2"/>
  <c r="AB797" i="2"/>
  <c r="AC797" i="2"/>
  <c r="AD797" i="2"/>
  <c r="AE797" i="2"/>
  <c r="AF797" i="2"/>
  <c r="AG797" i="2"/>
  <c r="AH797" i="2"/>
  <c r="AI797" i="2"/>
  <c r="Z798" i="2"/>
  <c r="AA798" i="2"/>
  <c r="AB798" i="2"/>
  <c r="AC798" i="2"/>
  <c r="AD798" i="2"/>
  <c r="AE798" i="2"/>
  <c r="AF798" i="2"/>
  <c r="AG798" i="2"/>
  <c r="AH798" i="2"/>
  <c r="AI798" i="2"/>
  <c r="Z799" i="2"/>
  <c r="AA799" i="2"/>
  <c r="AB799" i="2"/>
  <c r="AC799" i="2"/>
  <c r="AD799" i="2"/>
  <c r="AE799" i="2"/>
  <c r="AF799" i="2"/>
  <c r="AG799" i="2"/>
  <c r="AH799" i="2"/>
  <c r="AI799" i="2"/>
  <c r="Z800" i="2"/>
  <c r="AA800" i="2"/>
  <c r="AB800" i="2"/>
  <c r="AC800" i="2"/>
  <c r="AD800" i="2"/>
  <c r="AE800" i="2"/>
  <c r="AF800" i="2"/>
  <c r="AG800" i="2"/>
  <c r="AH800" i="2"/>
  <c r="AI800" i="2"/>
  <c r="Z801" i="2"/>
  <c r="AA801" i="2"/>
  <c r="AB801" i="2"/>
  <c r="AC801" i="2"/>
  <c r="AD801" i="2"/>
  <c r="AE801" i="2"/>
  <c r="AF801" i="2"/>
  <c r="AG801" i="2"/>
  <c r="AH801" i="2"/>
  <c r="AI801" i="2"/>
  <c r="Z802" i="2"/>
  <c r="AA802" i="2"/>
  <c r="AB802" i="2"/>
  <c r="AC802" i="2"/>
  <c r="AD802" i="2"/>
  <c r="AE802" i="2"/>
  <c r="AF802" i="2"/>
  <c r="AG802" i="2"/>
  <c r="AH802" i="2"/>
  <c r="AI802" i="2"/>
  <c r="Z803" i="2"/>
  <c r="AA803" i="2"/>
  <c r="AB803" i="2"/>
  <c r="AC803" i="2"/>
  <c r="AD803" i="2"/>
  <c r="AE803" i="2"/>
  <c r="AF803" i="2"/>
  <c r="AG803" i="2"/>
  <c r="AH803" i="2"/>
  <c r="AI803" i="2"/>
  <c r="Z804" i="2"/>
  <c r="AA804" i="2"/>
  <c r="AB804" i="2"/>
  <c r="AC804" i="2"/>
  <c r="AD804" i="2"/>
  <c r="AE804" i="2"/>
  <c r="AF804" i="2"/>
  <c r="AG804" i="2"/>
  <c r="AH804" i="2"/>
  <c r="AI804" i="2"/>
  <c r="Z805" i="2"/>
  <c r="AA805" i="2"/>
  <c r="AB805" i="2"/>
  <c r="AC805" i="2"/>
  <c r="AD805" i="2"/>
  <c r="AE805" i="2"/>
  <c r="AF805" i="2"/>
  <c r="AG805" i="2"/>
  <c r="AH805" i="2"/>
  <c r="AI805" i="2"/>
  <c r="Z806" i="2"/>
  <c r="AA806" i="2"/>
  <c r="AB806" i="2"/>
  <c r="AC806" i="2"/>
  <c r="AD806" i="2"/>
  <c r="AE806" i="2"/>
  <c r="AF806" i="2"/>
  <c r="AG806" i="2"/>
  <c r="AH806" i="2"/>
  <c r="AI806" i="2"/>
  <c r="Z807" i="2"/>
  <c r="AA807" i="2"/>
  <c r="AB807" i="2"/>
  <c r="AC807" i="2"/>
  <c r="AD807" i="2"/>
  <c r="AE807" i="2"/>
  <c r="AF807" i="2"/>
  <c r="AG807" i="2"/>
  <c r="AH807" i="2"/>
  <c r="AI807" i="2"/>
  <c r="Z808" i="2"/>
  <c r="AA808" i="2"/>
  <c r="AB808" i="2"/>
  <c r="AC808" i="2"/>
  <c r="AD808" i="2"/>
  <c r="AE808" i="2"/>
  <c r="AF808" i="2"/>
  <c r="AG808" i="2"/>
  <c r="AH808" i="2"/>
  <c r="AI808" i="2"/>
  <c r="Z809" i="2"/>
  <c r="AA809" i="2"/>
  <c r="AB809" i="2"/>
  <c r="AC809" i="2"/>
  <c r="AD809" i="2"/>
  <c r="AE809" i="2"/>
  <c r="AF809" i="2"/>
  <c r="AG809" i="2"/>
  <c r="AH809" i="2"/>
  <c r="AI809" i="2"/>
  <c r="Z810" i="2"/>
  <c r="AA810" i="2"/>
  <c r="AB810" i="2"/>
  <c r="AC810" i="2"/>
  <c r="AD810" i="2"/>
  <c r="AE810" i="2"/>
  <c r="AF810" i="2"/>
  <c r="AG810" i="2"/>
  <c r="AH810" i="2"/>
  <c r="AI810" i="2"/>
  <c r="Z811" i="2"/>
  <c r="AA811" i="2"/>
  <c r="AB811" i="2"/>
  <c r="AC811" i="2"/>
  <c r="AD811" i="2"/>
  <c r="AE811" i="2"/>
  <c r="AF811" i="2"/>
  <c r="AG811" i="2"/>
  <c r="AH811" i="2"/>
  <c r="AI811" i="2"/>
  <c r="Z812" i="2"/>
  <c r="AA812" i="2"/>
  <c r="AB812" i="2"/>
  <c r="AC812" i="2"/>
  <c r="AD812" i="2"/>
  <c r="AE812" i="2"/>
  <c r="AF812" i="2"/>
  <c r="AG812" i="2"/>
  <c r="AH812" i="2"/>
  <c r="AI812" i="2"/>
  <c r="Z813" i="2"/>
  <c r="AA813" i="2"/>
  <c r="AB813" i="2"/>
  <c r="AC813" i="2"/>
  <c r="AD813" i="2"/>
  <c r="AE813" i="2"/>
  <c r="AF813" i="2"/>
  <c r="AG813" i="2"/>
  <c r="AH813" i="2"/>
  <c r="AI813" i="2"/>
  <c r="Z814" i="2"/>
  <c r="AA814" i="2"/>
  <c r="AB814" i="2"/>
  <c r="AC814" i="2"/>
  <c r="AD814" i="2"/>
  <c r="AE814" i="2"/>
  <c r="AF814" i="2"/>
  <c r="AG814" i="2"/>
  <c r="AH814" i="2"/>
  <c r="AI814" i="2"/>
  <c r="Z815" i="2"/>
  <c r="AA815" i="2"/>
  <c r="AB815" i="2"/>
  <c r="AC815" i="2"/>
  <c r="AD815" i="2"/>
  <c r="AE815" i="2"/>
  <c r="AF815" i="2"/>
  <c r="AG815" i="2"/>
  <c r="AH815" i="2"/>
  <c r="AI815" i="2"/>
  <c r="Z816" i="2"/>
  <c r="AA816" i="2"/>
  <c r="AB816" i="2"/>
  <c r="AC816" i="2"/>
  <c r="AD816" i="2"/>
  <c r="AE816" i="2"/>
  <c r="AF816" i="2"/>
  <c r="AG816" i="2"/>
  <c r="AH816" i="2"/>
  <c r="AI816" i="2"/>
  <c r="Z817" i="2"/>
  <c r="AA817" i="2"/>
  <c r="AB817" i="2"/>
  <c r="AC817" i="2"/>
  <c r="AD817" i="2"/>
  <c r="AE817" i="2"/>
  <c r="AF817" i="2"/>
  <c r="AG817" i="2"/>
  <c r="AH817" i="2"/>
  <c r="AI817" i="2"/>
  <c r="Z818" i="2"/>
  <c r="AA818" i="2"/>
  <c r="AB818" i="2"/>
  <c r="AC818" i="2"/>
  <c r="AD818" i="2"/>
  <c r="AE818" i="2"/>
  <c r="AF818" i="2"/>
  <c r="AG818" i="2"/>
  <c r="AH818" i="2"/>
  <c r="AI818" i="2"/>
  <c r="Z819" i="2"/>
  <c r="AA819" i="2"/>
  <c r="AB819" i="2"/>
  <c r="AC819" i="2"/>
  <c r="AD819" i="2"/>
  <c r="AE819" i="2"/>
  <c r="AF819" i="2"/>
  <c r="AG819" i="2"/>
  <c r="AH819" i="2"/>
  <c r="AI819" i="2"/>
  <c r="Z820" i="2"/>
  <c r="AA820" i="2"/>
  <c r="AB820" i="2"/>
  <c r="AC820" i="2"/>
  <c r="AD820" i="2"/>
  <c r="AE820" i="2"/>
  <c r="AF820" i="2"/>
  <c r="AG820" i="2"/>
  <c r="AH820" i="2"/>
  <c r="AI820" i="2"/>
  <c r="Z821" i="2"/>
  <c r="AA821" i="2"/>
  <c r="AB821" i="2"/>
  <c r="AC821" i="2"/>
  <c r="AD821" i="2"/>
  <c r="AE821" i="2"/>
  <c r="AF821" i="2"/>
  <c r="AG821" i="2"/>
  <c r="AH821" i="2"/>
  <c r="AI821" i="2"/>
  <c r="Z822" i="2"/>
  <c r="AA822" i="2"/>
  <c r="AB822" i="2"/>
  <c r="AC822" i="2"/>
  <c r="AD822" i="2"/>
  <c r="AE822" i="2"/>
  <c r="AF822" i="2"/>
  <c r="AG822" i="2"/>
  <c r="AH822" i="2"/>
  <c r="AI822" i="2"/>
  <c r="Z823" i="2"/>
  <c r="AA823" i="2"/>
  <c r="AB823" i="2"/>
  <c r="AC823" i="2"/>
  <c r="AD823" i="2"/>
  <c r="AE823" i="2"/>
  <c r="AF823" i="2"/>
  <c r="AG823" i="2"/>
  <c r="AH823" i="2"/>
  <c r="AI823" i="2"/>
  <c r="Z824" i="2"/>
  <c r="AA824" i="2"/>
  <c r="AB824" i="2"/>
  <c r="AC824" i="2"/>
  <c r="AD824" i="2"/>
  <c r="AE824" i="2"/>
  <c r="AF824" i="2"/>
  <c r="AG824" i="2"/>
  <c r="AH824" i="2"/>
  <c r="AI824" i="2"/>
  <c r="Z825" i="2"/>
  <c r="AA825" i="2"/>
  <c r="AB825" i="2"/>
  <c r="AC825" i="2"/>
  <c r="AD825" i="2"/>
  <c r="AE825" i="2"/>
  <c r="AF825" i="2"/>
  <c r="AG825" i="2"/>
  <c r="AH825" i="2"/>
  <c r="AI825" i="2"/>
  <c r="Z826" i="2"/>
  <c r="AA826" i="2"/>
  <c r="AB826" i="2"/>
  <c r="AC826" i="2"/>
  <c r="AD826" i="2"/>
  <c r="AE826" i="2"/>
  <c r="AF826" i="2"/>
  <c r="AG826" i="2"/>
  <c r="AH826" i="2"/>
  <c r="AI826" i="2"/>
  <c r="Z827" i="2"/>
  <c r="AA827" i="2"/>
  <c r="AB827" i="2"/>
  <c r="AC827" i="2"/>
  <c r="AD827" i="2"/>
  <c r="AE827" i="2"/>
  <c r="AF827" i="2"/>
  <c r="AG827" i="2"/>
  <c r="AH827" i="2"/>
  <c r="AI827" i="2"/>
  <c r="Z828" i="2"/>
  <c r="AA828" i="2"/>
  <c r="AB828" i="2"/>
  <c r="AC828" i="2"/>
  <c r="AD828" i="2"/>
  <c r="AE828" i="2"/>
  <c r="AF828" i="2"/>
  <c r="AG828" i="2"/>
  <c r="AH828" i="2"/>
  <c r="AI828" i="2"/>
  <c r="Z829" i="2"/>
  <c r="AA829" i="2"/>
  <c r="AB829" i="2"/>
  <c r="AC829" i="2"/>
  <c r="AD829" i="2"/>
  <c r="AE829" i="2"/>
  <c r="AF829" i="2"/>
  <c r="AG829" i="2"/>
  <c r="AH829" i="2"/>
  <c r="AI829" i="2"/>
  <c r="Z830" i="2"/>
  <c r="AA830" i="2"/>
  <c r="AB830" i="2"/>
  <c r="AC830" i="2"/>
  <c r="AD830" i="2"/>
  <c r="AE830" i="2"/>
  <c r="AF830" i="2"/>
  <c r="AG830" i="2"/>
  <c r="AH830" i="2"/>
  <c r="AI830" i="2"/>
  <c r="Z831" i="2"/>
  <c r="AA831" i="2"/>
  <c r="AB831" i="2"/>
  <c r="AC831" i="2"/>
  <c r="AD831" i="2"/>
  <c r="AE831" i="2"/>
  <c r="AF831" i="2"/>
  <c r="AG831" i="2"/>
  <c r="AH831" i="2"/>
  <c r="AI831" i="2"/>
  <c r="Z832" i="2"/>
  <c r="AA832" i="2"/>
  <c r="AB832" i="2"/>
  <c r="AC832" i="2"/>
  <c r="AD832" i="2"/>
  <c r="AE832" i="2"/>
  <c r="AF832" i="2"/>
  <c r="AG832" i="2"/>
  <c r="AH832" i="2"/>
  <c r="AI832" i="2"/>
  <c r="Z833" i="2"/>
  <c r="AA833" i="2"/>
  <c r="AB833" i="2"/>
  <c r="AC833" i="2"/>
  <c r="AD833" i="2"/>
  <c r="AE833" i="2"/>
  <c r="AF833" i="2"/>
  <c r="AG833" i="2"/>
  <c r="AH833" i="2"/>
  <c r="AI833" i="2"/>
  <c r="Z834" i="2"/>
  <c r="AA834" i="2"/>
  <c r="AB834" i="2"/>
  <c r="AC834" i="2"/>
  <c r="AD834" i="2"/>
  <c r="AE834" i="2"/>
  <c r="AF834" i="2"/>
  <c r="AG834" i="2"/>
  <c r="AH834" i="2"/>
  <c r="AI834" i="2"/>
  <c r="Z835" i="2"/>
  <c r="AA835" i="2"/>
  <c r="AB835" i="2"/>
  <c r="AC835" i="2"/>
  <c r="AD835" i="2"/>
  <c r="AE835" i="2"/>
  <c r="AF835" i="2"/>
  <c r="AG835" i="2"/>
  <c r="AH835" i="2"/>
  <c r="AI835" i="2"/>
  <c r="Z836" i="2"/>
  <c r="AA836" i="2"/>
  <c r="AB836" i="2"/>
  <c r="AC836" i="2"/>
  <c r="AD836" i="2"/>
  <c r="AE836" i="2"/>
  <c r="AF836" i="2"/>
  <c r="AG836" i="2"/>
  <c r="AH836" i="2"/>
  <c r="AI836" i="2"/>
  <c r="Z837" i="2"/>
  <c r="AA837" i="2"/>
  <c r="AB837" i="2"/>
  <c r="AC837" i="2"/>
  <c r="AD837" i="2"/>
  <c r="AE837" i="2"/>
  <c r="AF837" i="2"/>
  <c r="AG837" i="2"/>
  <c r="AH837" i="2"/>
  <c r="AI837" i="2"/>
  <c r="Z838" i="2"/>
  <c r="AA838" i="2"/>
  <c r="AB838" i="2"/>
  <c r="AC838" i="2"/>
  <c r="AD838" i="2"/>
  <c r="AE838" i="2"/>
  <c r="AF838" i="2"/>
  <c r="AG838" i="2"/>
  <c r="AH838" i="2"/>
  <c r="AI838" i="2"/>
  <c r="Z839" i="2"/>
  <c r="AA839" i="2"/>
  <c r="AB839" i="2"/>
  <c r="AC839" i="2"/>
  <c r="AD839" i="2"/>
  <c r="AE839" i="2"/>
  <c r="AF839" i="2"/>
  <c r="AG839" i="2"/>
  <c r="AH839" i="2"/>
  <c r="AI839" i="2"/>
  <c r="Z840" i="2"/>
  <c r="AA840" i="2"/>
  <c r="AB840" i="2"/>
  <c r="AC840" i="2"/>
  <c r="AD840" i="2"/>
  <c r="AE840" i="2"/>
  <c r="AF840" i="2"/>
  <c r="AG840" i="2"/>
  <c r="AH840" i="2"/>
  <c r="AI840" i="2"/>
  <c r="Z841" i="2"/>
  <c r="AA841" i="2"/>
  <c r="AB841" i="2"/>
  <c r="AC841" i="2"/>
  <c r="AD841" i="2"/>
  <c r="AE841" i="2"/>
  <c r="AF841" i="2"/>
  <c r="AG841" i="2"/>
  <c r="AH841" i="2"/>
  <c r="AI841" i="2"/>
  <c r="Z842" i="2"/>
  <c r="AA842" i="2"/>
  <c r="AB842" i="2"/>
  <c r="AC842" i="2"/>
  <c r="AD842" i="2"/>
  <c r="AE842" i="2"/>
  <c r="AF842" i="2"/>
  <c r="AG842" i="2"/>
  <c r="AH842" i="2"/>
  <c r="AI842" i="2"/>
  <c r="Z843" i="2"/>
  <c r="AA843" i="2"/>
  <c r="AB843" i="2"/>
  <c r="AC843" i="2"/>
  <c r="AD843" i="2"/>
  <c r="AE843" i="2"/>
  <c r="AF843" i="2"/>
  <c r="AG843" i="2"/>
  <c r="AH843" i="2"/>
  <c r="AI843" i="2"/>
  <c r="Z844" i="2"/>
  <c r="AA844" i="2"/>
  <c r="AB844" i="2"/>
  <c r="AC844" i="2"/>
  <c r="AD844" i="2"/>
  <c r="AE844" i="2"/>
  <c r="AF844" i="2"/>
  <c r="AG844" i="2"/>
  <c r="AH844" i="2"/>
  <c r="AI844" i="2"/>
  <c r="Z845" i="2"/>
  <c r="AA845" i="2"/>
  <c r="AB845" i="2"/>
  <c r="AC845" i="2"/>
  <c r="AD845" i="2"/>
  <c r="AE845" i="2"/>
  <c r="AF845" i="2"/>
  <c r="AG845" i="2"/>
  <c r="AH845" i="2"/>
  <c r="AI845" i="2"/>
  <c r="Z846" i="2"/>
  <c r="AA846" i="2"/>
  <c r="AB846" i="2"/>
  <c r="AC846" i="2"/>
  <c r="AD846" i="2"/>
  <c r="AE846" i="2"/>
  <c r="AF846" i="2"/>
  <c r="AG846" i="2"/>
  <c r="AH846" i="2"/>
  <c r="AI846" i="2"/>
  <c r="Z847" i="2"/>
  <c r="AA847" i="2"/>
  <c r="AB847" i="2"/>
  <c r="AC847" i="2"/>
  <c r="AD847" i="2"/>
  <c r="AE847" i="2"/>
  <c r="AF847" i="2"/>
  <c r="AG847" i="2"/>
  <c r="AH847" i="2"/>
  <c r="AI847" i="2"/>
  <c r="Z848" i="2"/>
  <c r="AA848" i="2"/>
  <c r="AB848" i="2"/>
  <c r="AC848" i="2"/>
  <c r="AD848" i="2"/>
  <c r="AE848" i="2"/>
  <c r="AF848" i="2"/>
  <c r="AG848" i="2"/>
  <c r="AH848" i="2"/>
  <c r="AI848" i="2"/>
  <c r="Z849" i="2"/>
  <c r="AA849" i="2"/>
  <c r="AB849" i="2"/>
  <c r="AC849" i="2"/>
  <c r="AD849" i="2"/>
  <c r="AE849" i="2"/>
  <c r="AF849" i="2"/>
  <c r="AG849" i="2"/>
  <c r="AH849" i="2"/>
  <c r="AI849" i="2"/>
  <c r="Z850" i="2"/>
  <c r="AA850" i="2"/>
  <c r="AB850" i="2"/>
  <c r="AC850" i="2"/>
  <c r="AD850" i="2"/>
  <c r="AE850" i="2"/>
  <c r="AF850" i="2"/>
  <c r="AG850" i="2"/>
  <c r="AH850" i="2"/>
  <c r="AI850" i="2"/>
  <c r="Z851" i="2"/>
  <c r="AA851" i="2"/>
  <c r="AB851" i="2"/>
  <c r="AC851" i="2"/>
  <c r="AD851" i="2"/>
  <c r="AE851" i="2"/>
  <c r="AF851" i="2"/>
  <c r="AG851" i="2"/>
  <c r="AH851" i="2"/>
  <c r="AI851" i="2"/>
  <c r="Z852" i="2"/>
  <c r="AA852" i="2"/>
  <c r="AB852" i="2"/>
  <c r="AC852" i="2"/>
  <c r="AD852" i="2"/>
  <c r="AE852" i="2"/>
  <c r="AF852" i="2"/>
  <c r="AG852" i="2"/>
  <c r="AH852" i="2"/>
  <c r="AI852" i="2"/>
  <c r="AC2" i="2"/>
  <c r="AD2" i="2"/>
  <c r="AE2" i="2"/>
  <c r="AF2" i="2"/>
  <c r="AG2" i="2"/>
  <c r="AH2" i="2"/>
  <c r="AI2" i="2"/>
  <c r="AB2" i="2"/>
  <c r="AA2" i="2"/>
  <c r="Z2" i="2"/>
  <c r="B7" i="3"/>
  <c r="C5" i="3"/>
  <c r="D5" i="3"/>
  <c r="E5" i="3"/>
  <c r="F5" i="3"/>
  <c r="G5" i="3"/>
  <c r="H5" i="3"/>
  <c r="I5" i="3"/>
  <c r="J5" i="3"/>
  <c r="K5" i="3"/>
  <c r="B5" i="3"/>
  <c r="N852" i="2"/>
  <c r="O852" i="2"/>
  <c r="P852" i="2"/>
  <c r="Q852" i="2"/>
  <c r="R852" i="2"/>
  <c r="S852" i="2"/>
  <c r="T852" i="2"/>
  <c r="U852" i="2"/>
  <c r="X852" i="2" s="1"/>
  <c r="V852" i="2"/>
  <c r="W852" i="2"/>
  <c r="N3" i="2"/>
  <c r="O3" i="2"/>
  <c r="P3" i="2"/>
  <c r="Q3" i="2"/>
  <c r="R3" i="2"/>
  <c r="S3" i="2"/>
  <c r="T3" i="2"/>
  <c r="U3" i="2"/>
  <c r="V3" i="2"/>
  <c r="W3" i="2"/>
  <c r="N4" i="2"/>
  <c r="O4" i="2"/>
  <c r="P4" i="2"/>
  <c r="Q4" i="2"/>
  <c r="R4" i="2"/>
  <c r="S4" i="2"/>
  <c r="T4" i="2"/>
  <c r="U4" i="2"/>
  <c r="V4" i="2"/>
  <c r="W4" i="2"/>
  <c r="N5" i="2"/>
  <c r="O5" i="2"/>
  <c r="P5" i="2"/>
  <c r="Q5" i="2"/>
  <c r="R5" i="2"/>
  <c r="S5" i="2"/>
  <c r="T5" i="2"/>
  <c r="U5" i="2"/>
  <c r="V5" i="2"/>
  <c r="W5" i="2"/>
  <c r="N6" i="2"/>
  <c r="X6" i="2" s="1"/>
  <c r="O6" i="2"/>
  <c r="P6" i="2"/>
  <c r="Q6" i="2"/>
  <c r="R6" i="2"/>
  <c r="S6" i="2"/>
  <c r="T6" i="2"/>
  <c r="U6" i="2"/>
  <c r="V6" i="2"/>
  <c r="W6" i="2"/>
  <c r="N7" i="2"/>
  <c r="O7" i="2"/>
  <c r="P7" i="2"/>
  <c r="Q7" i="2"/>
  <c r="R7" i="2"/>
  <c r="S7" i="2"/>
  <c r="T7" i="2"/>
  <c r="U7" i="2"/>
  <c r="V7" i="2"/>
  <c r="W7" i="2"/>
  <c r="N8" i="2"/>
  <c r="O8" i="2"/>
  <c r="P8" i="2"/>
  <c r="Q8" i="2"/>
  <c r="R8" i="2"/>
  <c r="S8" i="2"/>
  <c r="T8" i="2"/>
  <c r="U8" i="2"/>
  <c r="V8" i="2"/>
  <c r="W8" i="2"/>
  <c r="N9" i="2"/>
  <c r="O9" i="2"/>
  <c r="P9" i="2"/>
  <c r="Q9" i="2"/>
  <c r="R9" i="2"/>
  <c r="S9" i="2"/>
  <c r="T9" i="2"/>
  <c r="U9" i="2"/>
  <c r="V9" i="2"/>
  <c r="W9" i="2"/>
  <c r="N10" i="2"/>
  <c r="O10" i="2"/>
  <c r="P10" i="2"/>
  <c r="Q10" i="2"/>
  <c r="R10" i="2"/>
  <c r="S10" i="2"/>
  <c r="T10" i="2"/>
  <c r="U10" i="2"/>
  <c r="V10" i="2"/>
  <c r="W10" i="2"/>
  <c r="N11" i="2"/>
  <c r="O11" i="2"/>
  <c r="P11" i="2"/>
  <c r="Q11" i="2"/>
  <c r="R11" i="2"/>
  <c r="S11" i="2"/>
  <c r="T11" i="2"/>
  <c r="U11" i="2"/>
  <c r="V11" i="2"/>
  <c r="W11" i="2"/>
  <c r="N12" i="2"/>
  <c r="X12" i="2" s="1"/>
  <c r="O12" i="2"/>
  <c r="P12" i="2"/>
  <c r="Q12" i="2"/>
  <c r="R12" i="2"/>
  <c r="S12" i="2"/>
  <c r="T12" i="2"/>
  <c r="U12" i="2"/>
  <c r="V12" i="2"/>
  <c r="W12" i="2"/>
  <c r="N13" i="2"/>
  <c r="X13" i="2" s="1"/>
  <c r="O13" i="2"/>
  <c r="P13" i="2"/>
  <c r="Q13" i="2"/>
  <c r="R13" i="2"/>
  <c r="S13" i="2"/>
  <c r="T13" i="2"/>
  <c r="U13" i="2"/>
  <c r="V13" i="2"/>
  <c r="W13" i="2"/>
  <c r="N14" i="2"/>
  <c r="O14" i="2"/>
  <c r="P14" i="2"/>
  <c r="Q14" i="2"/>
  <c r="R14" i="2"/>
  <c r="S14" i="2"/>
  <c r="T14" i="2"/>
  <c r="U14" i="2"/>
  <c r="V14" i="2"/>
  <c r="W14" i="2"/>
  <c r="N15" i="2"/>
  <c r="O15" i="2"/>
  <c r="P15" i="2"/>
  <c r="Q15" i="2"/>
  <c r="R15" i="2"/>
  <c r="S15" i="2"/>
  <c r="T15" i="2"/>
  <c r="U15" i="2"/>
  <c r="V15" i="2"/>
  <c r="W15" i="2"/>
  <c r="N16" i="2"/>
  <c r="X16" i="2" s="1"/>
  <c r="O16" i="2"/>
  <c r="P16" i="2"/>
  <c r="Q16" i="2"/>
  <c r="R16" i="2"/>
  <c r="S16" i="2"/>
  <c r="T16" i="2"/>
  <c r="U16" i="2"/>
  <c r="V16" i="2"/>
  <c r="W16" i="2"/>
  <c r="N17" i="2"/>
  <c r="O17" i="2"/>
  <c r="P17" i="2"/>
  <c r="Q17" i="2"/>
  <c r="R17" i="2"/>
  <c r="S17" i="2"/>
  <c r="T17" i="2"/>
  <c r="U17" i="2"/>
  <c r="V17" i="2"/>
  <c r="W17" i="2"/>
  <c r="N18" i="2"/>
  <c r="O18" i="2"/>
  <c r="P18" i="2"/>
  <c r="Q18" i="2"/>
  <c r="X18" i="2" s="1"/>
  <c r="R18" i="2"/>
  <c r="S18" i="2"/>
  <c r="T18" i="2"/>
  <c r="U18" i="2"/>
  <c r="V18" i="2"/>
  <c r="W18" i="2"/>
  <c r="N19" i="2"/>
  <c r="X19" i="2" s="1"/>
  <c r="O19" i="2"/>
  <c r="P19" i="2"/>
  <c r="Q19" i="2"/>
  <c r="R19" i="2"/>
  <c r="S19" i="2"/>
  <c r="T19" i="2"/>
  <c r="U19" i="2"/>
  <c r="V19" i="2"/>
  <c r="W19" i="2"/>
  <c r="N20" i="2"/>
  <c r="O20" i="2"/>
  <c r="P20" i="2"/>
  <c r="Q20" i="2"/>
  <c r="R20" i="2"/>
  <c r="S20" i="2"/>
  <c r="T20" i="2"/>
  <c r="U20" i="2"/>
  <c r="V20" i="2"/>
  <c r="W20" i="2"/>
  <c r="N21" i="2"/>
  <c r="O21" i="2"/>
  <c r="P21" i="2"/>
  <c r="Q21" i="2"/>
  <c r="R21" i="2"/>
  <c r="S21" i="2"/>
  <c r="T21" i="2"/>
  <c r="U21" i="2"/>
  <c r="V21" i="2"/>
  <c r="W21" i="2"/>
  <c r="N22" i="2"/>
  <c r="O22" i="2"/>
  <c r="P22" i="2"/>
  <c r="Q22" i="2"/>
  <c r="R22" i="2"/>
  <c r="S22" i="2"/>
  <c r="T22" i="2"/>
  <c r="U22" i="2"/>
  <c r="V22" i="2"/>
  <c r="W22" i="2"/>
  <c r="N23" i="2"/>
  <c r="O23" i="2"/>
  <c r="P23" i="2"/>
  <c r="Q23" i="2"/>
  <c r="R23" i="2"/>
  <c r="S23" i="2"/>
  <c r="T23" i="2"/>
  <c r="U23" i="2"/>
  <c r="V23" i="2"/>
  <c r="W23" i="2"/>
  <c r="N24" i="2"/>
  <c r="X24" i="2" s="1"/>
  <c r="O24" i="2"/>
  <c r="P24" i="2"/>
  <c r="Q24" i="2"/>
  <c r="R24" i="2"/>
  <c r="S24" i="2"/>
  <c r="T24" i="2"/>
  <c r="U24" i="2"/>
  <c r="V24" i="2"/>
  <c r="W24" i="2"/>
  <c r="N25" i="2"/>
  <c r="O25" i="2"/>
  <c r="P25" i="2"/>
  <c r="Q25" i="2"/>
  <c r="R25" i="2"/>
  <c r="S25" i="2"/>
  <c r="T25" i="2"/>
  <c r="U25" i="2"/>
  <c r="V25" i="2"/>
  <c r="W25" i="2"/>
  <c r="N26" i="2"/>
  <c r="O26" i="2"/>
  <c r="P26" i="2"/>
  <c r="Q26" i="2"/>
  <c r="R26" i="2"/>
  <c r="S26" i="2"/>
  <c r="T26" i="2"/>
  <c r="U26" i="2"/>
  <c r="V26" i="2"/>
  <c r="W26" i="2"/>
  <c r="N27" i="2"/>
  <c r="O27" i="2"/>
  <c r="P27" i="2"/>
  <c r="Q27" i="2"/>
  <c r="R27" i="2"/>
  <c r="S27" i="2"/>
  <c r="T27" i="2"/>
  <c r="U27" i="2"/>
  <c r="V27" i="2"/>
  <c r="W27" i="2"/>
  <c r="N28" i="2"/>
  <c r="X28" i="2" s="1"/>
  <c r="O28" i="2"/>
  <c r="P28" i="2"/>
  <c r="Q28" i="2"/>
  <c r="R28" i="2"/>
  <c r="S28" i="2"/>
  <c r="T28" i="2"/>
  <c r="U28" i="2"/>
  <c r="V28" i="2"/>
  <c r="W28" i="2"/>
  <c r="N29" i="2"/>
  <c r="O29" i="2"/>
  <c r="P29" i="2"/>
  <c r="Q29" i="2"/>
  <c r="R29" i="2"/>
  <c r="S29" i="2"/>
  <c r="T29" i="2"/>
  <c r="U29" i="2"/>
  <c r="V29" i="2"/>
  <c r="W29" i="2"/>
  <c r="N30" i="2"/>
  <c r="X30" i="2" s="1"/>
  <c r="O30" i="2"/>
  <c r="P30" i="2"/>
  <c r="Q30" i="2"/>
  <c r="R30" i="2"/>
  <c r="S30" i="2"/>
  <c r="T30" i="2"/>
  <c r="U30" i="2"/>
  <c r="V30" i="2"/>
  <c r="W30" i="2"/>
  <c r="N31" i="2"/>
  <c r="X31" i="2" s="1"/>
  <c r="O31" i="2"/>
  <c r="P31" i="2"/>
  <c r="Q31" i="2"/>
  <c r="R31" i="2"/>
  <c r="S31" i="2"/>
  <c r="T31" i="2"/>
  <c r="U31" i="2"/>
  <c r="V31" i="2"/>
  <c r="W31" i="2"/>
  <c r="N32" i="2"/>
  <c r="O32" i="2"/>
  <c r="P32" i="2"/>
  <c r="Q32" i="2"/>
  <c r="R32" i="2"/>
  <c r="S32" i="2"/>
  <c r="T32" i="2"/>
  <c r="U32" i="2"/>
  <c r="V32" i="2"/>
  <c r="W32" i="2"/>
  <c r="N33" i="2"/>
  <c r="O33" i="2"/>
  <c r="P33" i="2"/>
  <c r="Q33" i="2"/>
  <c r="R33" i="2"/>
  <c r="S33" i="2"/>
  <c r="T33" i="2"/>
  <c r="U33" i="2"/>
  <c r="V33" i="2"/>
  <c r="W33" i="2"/>
  <c r="N34" i="2"/>
  <c r="O34" i="2"/>
  <c r="P34" i="2"/>
  <c r="Q34" i="2"/>
  <c r="R34" i="2"/>
  <c r="S34" i="2"/>
  <c r="T34" i="2"/>
  <c r="U34" i="2"/>
  <c r="V34" i="2"/>
  <c r="W34" i="2"/>
  <c r="N35" i="2"/>
  <c r="O35" i="2"/>
  <c r="P35" i="2"/>
  <c r="Q35" i="2"/>
  <c r="R35" i="2"/>
  <c r="S35" i="2"/>
  <c r="T35" i="2"/>
  <c r="U35" i="2"/>
  <c r="V35" i="2"/>
  <c r="W35" i="2"/>
  <c r="N36" i="2"/>
  <c r="O36" i="2"/>
  <c r="P36" i="2"/>
  <c r="Q36" i="2"/>
  <c r="X36" i="2" s="1"/>
  <c r="R36" i="2"/>
  <c r="S36" i="2"/>
  <c r="T36" i="2"/>
  <c r="U36" i="2"/>
  <c r="V36" i="2"/>
  <c r="W36" i="2"/>
  <c r="N37" i="2"/>
  <c r="X37" i="2" s="1"/>
  <c r="O37" i="2"/>
  <c r="P37" i="2"/>
  <c r="Q37" i="2"/>
  <c r="R37" i="2"/>
  <c r="S37" i="2"/>
  <c r="T37" i="2"/>
  <c r="U37" i="2"/>
  <c r="V37" i="2"/>
  <c r="W37" i="2"/>
  <c r="N38" i="2"/>
  <c r="O38" i="2"/>
  <c r="P38" i="2"/>
  <c r="Q38" i="2"/>
  <c r="R38" i="2"/>
  <c r="S38" i="2"/>
  <c r="T38" i="2"/>
  <c r="U38" i="2"/>
  <c r="V38" i="2"/>
  <c r="W38" i="2"/>
  <c r="N39" i="2"/>
  <c r="O39" i="2"/>
  <c r="P39" i="2"/>
  <c r="Q39" i="2"/>
  <c r="R39" i="2"/>
  <c r="S39" i="2"/>
  <c r="T39" i="2"/>
  <c r="U39" i="2"/>
  <c r="V39" i="2"/>
  <c r="W39" i="2"/>
  <c r="N40" i="2"/>
  <c r="O40" i="2"/>
  <c r="X40" i="2" s="1"/>
  <c r="P40" i="2"/>
  <c r="Q40" i="2"/>
  <c r="R40" i="2"/>
  <c r="S40" i="2"/>
  <c r="T40" i="2"/>
  <c r="U40" i="2"/>
  <c r="V40" i="2"/>
  <c r="W40" i="2"/>
  <c r="N41" i="2"/>
  <c r="O41" i="2"/>
  <c r="P41" i="2"/>
  <c r="Q41" i="2"/>
  <c r="R41" i="2"/>
  <c r="S41" i="2"/>
  <c r="T41" i="2"/>
  <c r="U41" i="2"/>
  <c r="V41" i="2"/>
  <c r="W41" i="2"/>
  <c r="N42" i="2"/>
  <c r="X42" i="2" s="1"/>
  <c r="O42" i="2"/>
  <c r="P42" i="2"/>
  <c r="Q42" i="2"/>
  <c r="R42" i="2"/>
  <c r="S42" i="2"/>
  <c r="T42" i="2"/>
  <c r="U42" i="2"/>
  <c r="V42" i="2"/>
  <c r="W42" i="2"/>
  <c r="N43" i="2"/>
  <c r="X43" i="2" s="1"/>
  <c r="O43" i="2"/>
  <c r="P43" i="2"/>
  <c r="Q43" i="2"/>
  <c r="R43" i="2"/>
  <c r="S43" i="2"/>
  <c r="T43" i="2"/>
  <c r="U43" i="2"/>
  <c r="V43" i="2"/>
  <c r="W43" i="2"/>
  <c r="N44" i="2"/>
  <c r="O44" i="2"/>
  <c r="P44" i="2"/>
  <c r="Q44" i="2"/>
  <c r="R44" i="2"/>
  <c r="S44" i="2"/>
  <c r="T44" i="2"/>
  <c r="U44" i="2"/>
  <c r="V44" i="2"/>
  <c r="W44" i="2"/>
  <c r="N45" i="2"/>
  <c r="O45" i="2"/>
  <c r="P45" i="2"/>
  <c r="Q45" i="2"/>
  <c r="R45" i="2"/>
  <c r="S45" i="2"/>
  <c r="T45" i="2"/>
  <c r="U45" i="2"/>
  <c r="V45" i="2"/>
  <c r="W45" i="2"/>
  <c r="N46" i="2"/>
  <c r="O46" i="2"/>
  <c r="P46" i="2"/>
  <c r="Q46" i="2"/>
  <c r="R46" i="2"/>
  <c r="S46" i="2"/>
  <c r="T46" i="2"/>
  <c r="U46" i="2"/>
  <c r="V46" i="2"/>
  <c r="W46" i="2"/>
  <c r="N47" i="2"/>
  <c r="O47" i="2"/>
  <c r="P47" i="2"/>
  <c r="Q47" i="2"/>
  <c r="R47" i="2"/>
  <c r="S47" i="2"/>
  <c r="T47" i="2"/>
  <c r="U47" i="2"/>
  <c r="V47" i="2"/>
  <c r="W47" i="2"/>
  <c r="N48" i="2"/>
  <c r="X48" i="2" s="1"/>
  <c r="O48" i="2"/>
  <c r="P48" i="2"/>
  <c r="Q48" i="2"/>
  <c r="R48" i="2"/>
  <c r="S48" i="2"/>
  <c r="T48" i="2"/>
  <c r="U48" i="2"/>
  <c r="V48" i="2"/>
  <c r="W48" i="2"/>
  <c r="N49" i="2"/>
  <c r="X49" i="2" s="1"/>
  <c r="O49" i="2"/>
  <c r="P49" i="2"/>
  <c r="Q49" i="2"/>
  <c r="R49" i="2"/>
  <c r="S49" i="2"/>
  <c r="T49" i="2"/>
  <c r="U49" i="2"/>
  <c r="V49" i="2"/>
  <c r="W49" i="2"/>
  <c r="N50" i="2"/>
  <c r="O50" i="2"/>
  <c r="P50" i="2"/>
  <c r="Q50" i="2"/>
  <c r="R50" i="2"/>
  <c r="S50" i="2"/>
  <c r="T50" i="2"/>
  <c r="U50" i="2"/>
  <c r="V50" i="2"/>
  <c r="W50" i="2"/>
  <c r="N51" i="2"/>
  <c r="O51" i="2"/>
  <c r="P51" i="2"/>
  <c r="Q51" i="2"/>
  <c r="R51" i="2"/>
  <c r="S51" i="2"/>
  <c r="T51" i="2"/>
  <c r="U51" i="2"/>
  <c r="V51" i="2"/>
  <c r="W51" i="2"/>
  <c r="X51" i="2" s="1"/>
  <c r="N52" i="2"/>
  <c r="X52" i="2" s="1"/>
  <c r="O52" i="2"/>
  <c r="P52" i="2"/>
  <c r="Q52" i="2"/>
  <c r="R52" i="2"/>
  <c r="S52" i="2"/>
  <c r="T52" i="2"/>
  <c r="U52" i="2"/>
  <c r="V52" i="2"/>
  <c r="W52" i="2"/>
  <c r="N53" i="2"/>
  <c r="O53" i="2"/>
  <c r="P53" i="2"/>
  <c r="Q53" i="2"/>
  <c r="R53" i="2"/>
  <c r="S53" i="2"/>
  <c r="T53" i="2"/>
  <c r="U53" i="2"/>
  <c r="V53" i="2"/>
  <c r="W53" i="2"/>
  <c r="N54" i="2"/>
  <c r="X54" i="2" s="1"/>
  <c r="O54" i="2"/>
  <c r="P54" i="2"/>
  <c r="Q54" i="2"/>
  <c r="R54" i="2"/>
  <c r="S54" i="2"/>
  <c r="T54" i="2"/>
  <c r="U54" i="2"/>
  <c r="V54" i="2"/>
  <c r="W54" i="2"/>
  <c r="N55" i="2"/>
  <c r="O55" i="2"/>
  <c r="P55" i="2"/>
  <c r="Q55" i="2"/>
  <c r="R55" i="2"/>
  <c r="S55" i="2"/>
  <c r="T55" i="2"/>
  <c r="U55" i="2"/>
  <c r="V55" i="2"/>
  <c r="W55" i="2"/>
  <c r="N56" i="2"/>
  <c r="O56" i="2"/>
  <c r="P56" i="2"/>
  <c r="Q56" i="2"/>
  <c r="R56" i="2"/>
  <c r="S56" i="2"/>
  <c r="T56" i="2"/>
  <c r="U56" i="2"/>
  <c r="V56" i="2"/>
  <c r="W56" i="2"/>
  <c r="N57" i="2"/>
  <c r="O57" i="2"/>
  <c r="P57" i="2"/>
  <c r="Q57" i="2"/>
  <c r="R57" i="2"/>
  <c r="S57" i="2"/>
  <c r="T57" i="2"/>
  <c r="U57" i="2"/>
  <c r="V57" i="2"/>
  <c r="W57" i="2"/>
  <c r="N58" i="2"/>
  <c r="O58" i="2"/>
  <c r="P58" i="2"/>
  <c r="Q58" i="2"/>
  <c r="R58" i="2"/>
  <c r="S58" i="2"/>
  <c r="T58" i="2"/>
  <c r="U58" i="2"/>
  <c r="V58" i="2"/>
  <c r="W58" i="2"/>
  <c r="N59" i="2"/>
  <c r="O59" i="2"/>
  <c r="P59" i="2"/>
  <c r="Q59" i="2"/>
  <c r="R59" i="2"/>
  <c r="S59" i="2"/>
  <c r="T59" i="2"/>
  <c r="U59" i="2"/>
  <c r="V59" i="2"/>
  <c r="W59" i="2"/>
  <c r="N60" i="2"/>
  <c r="X60" i="2" s="1"/>
  <c r="O60" i="2"/>
  <c r="P60" i="2"/>
  <c r="Q60" i="2"/>
  <c r="R60" i="2"/>
  <c r="S60" i="2"/>
  <c r="T60" i="2"/>
  <c r="U60" i="2"/>
  <c r="V60" i="2"/>
  <c r="W60" i="2"/>
  <c r="N61" i="2"/>
  <c r="X61" i="2" s="1"/>
  <c r="O61" i="2"/>
  <c r="P61" i="2"/>
  <c r="Q61" i="2"/>
  <c r="R61" i="2"/>
  <c r="S61" i="2"/>
  <c r="T61" i="2"/>
  <c r="U61" i="2"/>
  <c r="V61" i="2"/>
  <c r="W61" i="2"/>
  <c r="N62" i="2"/>
  <c r="O62" i="2"/>
  <c r="P62" i="2"/>
  <c r="Q62" i="2"/>
  <c r="R62" i="2"/>
  <c r="S62" i="2"/>
  <c r="T62" i="2"/>
  <c r="U62" i="2"/>
  <c r="V62" i="2"/>
  <c r="W62" i="2"/>
  <c r="N63" i="2"/>
  <c r="O63" i="2"/>
  <c r="P63" i="2"/>
  <c r="Q63" i="2"/>
  <c r="R63" i="2"/>
  <c r="S63" i="2"/>
  <c r="T63" i="2"/>
  <c r="U63" i="2"/>
  <c r="V63" i="2"/>
  <c r="W63" i="2"/>
  <c r="N64" i="2"/>
  <c r="X64" i="2" s="1"/>
  <c r="O64" i="2"/>
  <c r="P64" i="2"/>
  <c r="Q64" i="2"/>
  <c r="R64" i="2"/>
  <c r="S64" i="2"/>
  <c r="T64" i="2"/>
  <c r="U64" i="2"/>
  <c r="V64" i="2"/>
  <c r="W64" i="2"/>
  <c r="N65" i="2"/>
  <c r="O65" i="2"/>
  <c r="P65" i="2"/>
  <c r="Q65" i="2"/>
  <c r="R65" i="2"/>
  <c r="S65" i="2"/>
  <c r="T65" i="2"/>
  <c r="U65" i="2"/>
  <c r="V65" i="2"/>
  <c r="W65" i="2"/>
  <c r="N66" i="2"/>
  <c r="O66" i="2"/>
  <c r="P66" i="2"/>
  <c r="Q66" i="2"/>
  <c r="X66" i="2" s="1"/>
  <c r="R66" i="2"/>
  <c r="S66" i="2"/>
  <c r="T66" i="2"/>
  <c r="U66" i="2"/>
  <c r="V66" i="2"/>
  <c r="W66" i="2"/>
  <c r="N67" i="2"/>
  <c r="X67" i="2" s="1"/>
  <c r="O67" i="2"/>
  <c r="P67" i="2"/>
  <c r="Q67" i="2"/>
  <c r="R67" i="2"/>
  <c r="S67" i="2"/>
  <c r="T67" i="2"/>
  <c r="U67" i="2"/>
  <c r="V67" i="2"/>
  <c r="W67" i="2"/>
  <c r="N68" i="2"/>
  <c r="O68" i="2"/>
  <c r="P68" i="2"/>
  <c r="Q68" i="2"/>
  <c r="R68" i="2"/>
  <c r="S68" i="2"/>
  <c r="T68" i="2"/>
  <c r="U68" i="2"/>
  <c r="V68" i="2"/>
  <c r="W68" i="2"/>
  <c r="N69" i="2"/>
  <c r="O69" i="2"/>
  <c r="P69" i="2"/>
  <c r="Q69" i="2"/>
  <c r="R69" i="2"/>
  <c r="S69" i="2"/>
  <c r="T69" i="2"/>
  <c r="U69" i="2"/>
  <c r="V69" i="2"/>
  <c r="W69" i="2"/>
  <c r="N70" i="2"/>
  <c r="O70" i="2"/>
  <c r="P70" i="2"/>
  <c r="Q70" i="2"/>
  <c r="R70" i="2"/>
  <c r="S70" i="2"/>
  <c r="T70" i="2"/>
  <c r="U70" i="2"/>
  <c r="V70" i="2"/>
  <c r="W70" i="2"/>
  <c r="N71" i="2"/>
  <c r="O71" i="2"/>
  <c r="P71" i="2"/>
  <c r="Q71" i="2"/>
  <c r="R71" i="2"/>
  <c r="S71" i="2"/>
  <c r="T71" i="2"/>
  <c r="U71" i="2"/>
  <c r="V71" i="2"/>
  <c r="W71" i="2"/>
  <c r="N72" i="2"/>
  <c r="X72" i="2" s="1"/>
  <c r="O72" i="2"/>
  <c r="P72" i="2"/>
  <c r="Q72" i="2"/>
  <c r="R72" i="2"/>
  <c r="S72" i="2"/>
  <c r="T72" i="2"/>
  <c r="U72" i="2"/>
  <c r="V72" i="2"/>
  <c r="W72" i="2"/>
  <c r="N73" i="2"/>
  <c r="X73" i="2" s="1"/>
  <c r="O73" i="2"/>
  <c r="P73" i="2"/>
  <c r="Q73" i="2"/>
  <c r="R73" i="2"/>
  <c r="S73" i="2"/>
  <c r="T73" i="2"/>
  <c r="U73" i="2"/>
  <c r="V73" i="2"/>
  <c r="W73" i="2"/>
  <c r="N74" i="2"/>
  <c r="O74" i="2"/>
  <c r="P74" i="2"/>
  <c r="Q74" i="2"/>
  <c r="R74" i="2"/>
  <c r="S74" i="2"/>
  <c r="T74" i="2"/>
  <c r="U74" i="2"/>
  <c r="V74" i="2"/>
  <c r="W74" i="2"/>
  <c r="N75" i="2"/>
  <c r="O75" i="2"/>
  <c r="P75" i="2"/>
  <c r="Q75" i="2"/>
  <c r="R75" i="2"/>
  <c r="S75" i="2"/>
  <c r="T75" i="2"/>
  <c r="U75" i="2"/>
  <c r="V75" i="2"/>
  <c r="W75" i="2"/>
  <c r="N76" i="2"/>
  <c r="X76" i="2" s="1"/>
  <c r="O76" i="2"/>
  <c r="P76" i="2"/>
  <c r="Q76" i="2"/>
  <c r="R76" i="2"/>
  <c r="S76" i="2"/>
  <c r="T76" i="2"/>
  <c r="U76" i="2"/>
  <c r="V76" i="2"/>
  <c r="W76" i="2"/>
  <c r="N77" i="2"/>
  <c r="O77" i="2"/>
  <c r="P77" i="2"/>
  <c r="Q77" i="2"/>
  <c r="R77" i="2"/>
  <c r="S77" i="2"/>
  <c r="T77" i="2"/>
  <c r="U77" i="2"/>
  <c r="V77" i="2"/>
  <c r="W77" i="2"/>
  <c r="N78" i="2"/>
  <c r="X78" i="2" s="1"/>
  <c r="O78" i="2"/>
  <c r="P78" i="2"/>
  <c r="Q78" i="2"/>
  <c r="R78" i="2"/>
  <c r="S78" i="2"/>
  <c r="T78" i="2"/>
  <c r="U78" i="2"/>
  <c r="V78" i="2"/>
  <c r="W78" i="2"/>
  <c r="N79" i="2"/>
  <c r="X79" i="2" s="1"/>
  <c r="O79" i="2"/>
  <c r="P79" i="2"/>
  <c r="Q79" i="2"/>
  <c r="R79" i="2"/>
  <c r="S79" i="2"/>
  <c r="T79" i="2"/>
  <c r="U79" i="2"/>
  <c r="V79" i="2"/>
  <c r="W79" i="2"/>
  <c r="N80" i="2"/>
  <c r="O80" i="2"/>
  <c r="P80" i="2"/>
  <c r="Q80" i="2"/>
  <c r="R80" i="2"/>
  <c r="S80" i="2"/>
  <c r="T80" i="2"/>
  <c r="U80" i="2"/>
  <c r="V80" i="2"/>
  <c r="W80" i="2"/>
  <c r="N81" i="2"/>
  <c r="O81" i="2"/>
  <c r="P81" i="2"/>
  <c r="Q81" i="2"/>
  <c r="R81" i="2"/>
  <c r="S81" i="2"/>
  <c r="T81" i="2"/>
  <c r="U81" i="2"/>
  <c r="V81" i="2"/>
  <c r="W81" i="2"/>
  <c r="N82" i="2"/>
  <c r="O82" i="2"/>
  <c r="P82" i="2"/>
  <c r="Q82" i="2"/>
  <c r="R82" i="2"/>
  <c r="S82" i="2"/>
  <c r="T82" i="2"/>
  <c r="U82" i="2"/>
  <c r="V82" i="2"/>
  <c r="W82" i="2"/>
  <c r="N83" i="2"/>
  <c r="O83" i="2"/>
  <c r="P83" i="2"/>
  <c r="Q83" i="2"/>
  <c r="R83" i="2"/>
  <c r="S83" i="2"/>
  <c r="T83" i="2"/>
  <c r="U83" i="2"/>
  <c r="V83" i="2"/>
  <c r="W83" i="2"/>
  <c r="N84" i="2"/>
  <c r="O84" i="2"/>
  <c r="P84" i="2"/>
  <c r="Q84" i="2"/>
  <c r="X84" i="2" s="1"/>
  <c r="R84" i="2"/>
  <c r="S84" i="2"/>
  <c r="T84" i="2"/>
  <c r="U84" i="2"/>
  <c r="V84" i="2"/>
  <c r="W84" i="2"/>
  <c r="N85" i="2"/>
  <c r="X85" i="2" s="1"/>
  <c r="O85" i="2"/>
  <c r="P85" i="2"/>
  <c r="Q85" i="2"/>
  <c r="R85" i="2"/>
  <c r="S85" i="2"/>
  <c r="T85" i="2"/>
  <c r="U85" i="2"/>
  <c r="V85" i="2"/>
  <c r="W85" i="2"/>
  <c r="N86" i="2"/>
  <c r="O86" i="2"/>
  <c r="P86" i="2"/>
  <c r="Q86" i="2"/>
  <c r="R86" i="2"/>
  <c r="S86" i="2"/>
  <c r="T86" i="2"/>
  <c r="U86" i="2"/>
  <c r="V86" i="2"/>
  <c r="W86" i="2"/>
  <c r="N87" i="2"/>
  <c r="O87" i="2"/>
  <c r="P87" i="2"/>
  <c r="Q87" i="2"/>
  <c r="R87" i="2"/>
  <c r="S87" i="2"/>
  <c r="T87" i="2"/>
  <c r="U87" i="2"/>
  <c r="V87" i="2"/>
  <c r="W87" i="2"/>
  <c r="N88" i="2"/>
  <c r="X88" i="2" s="1"/>
  <c r="O88" i="2"/>
  <c r="P88" i="2"/>
  <c r="Q88" i="2"/>
  <c r="R88" i="2"/>
  <c r="S88" i="2"/>
  <c r="T88" i="2"/>
  <c r="U88" i="2"/>
  <c r="V88" i="2"/>
  <c r="W88" i="2"/>
  <c r="N89" i="2"/>
  <c r="O89" i="2"/>
  <c r="P89" i="2"/>
  <c r="Q89" i="2"/>
  <c r="R89" i="2"/>
  <c r="S89" i="2"/>
  <c r="T89" i="2"/>
  <c r="U89" i="2"/>
  <c r="V89" i="2"/>
  <c r="W89" i="2"/>
  <c r="N90" i="2"/>
  <c r="O90" i="2"/>
  <c r="P90" i="2"/>
  <c r="Q90" i="2"/>
  <c r="R90" i="2"/>
  <c r="S90" i="2"/>
  <c r="T90" i="2"/>
  <c r="U90" i="2"/>
  <c r="V90" i="2"/>
  <c r="W90" i="2"/>
  <c r="N91" i="2"/>
  <c r="X91" i="2" s="1"/>
  <c r="O91" i="2"/>
  <c r="P91" i="2"/>
  <c r="Q91" i="2"/>
  <c r="R91" i="2"/>
  <c r="S91" i="2"/>
  <c r="T91" i="2"/>
  <c r="U91" i="2"/>
  <c r="V91" i="2"/>
  <c r="W91" i="2"/>
  <c r="N92" i="2"/>
  <c r="O92" i="2"/>
  <c r="P92" i="2"/>
  <c r="Q92" i="2"/>
  <c r="R92" i="2"/>
  <c r="S92" i="2"/>
  <c r="T92" i="2"/>
  <c r="U92" i="2"/>
  <c r="V92" i="2"/>
  <c r="W92" i="2"/>
  <c r="N93" i="2"/>
  <c r="O93" i="2"/>
  <c r="P93" i="2"/>
  <c r="Q93" i="2"/>
  <c r="R93" i="2"/>
  <c r="S93" i="2"/>
  <c r="T93" i="2"/>
  <c r="U93" i="2"/>
  <c r="V93" i="2"/>
  <c r="W93" i="2"/>
  <c r="N94" i="2"/>
  <c r="O94" i="2"/>
  <c r="P94" i="2"/>
  <c r="Q94" i="2"/>
  <c r="R94" i="2"/>
  <c r="S94" i="2"/>
  <c r="T94" i="2"/>
  <c r="U94" i="2"/>
  <c r="V94" i="2"/>
  <c r="W94" i="2"/>
  <c r="N95" i="2"/>
  <c r="O95" i="2"/>
  <c r="P95" i="2"/>
  <c r="Q95" i="2"/>
  <c r="R95" i="2"/>
  <c r="S95" i="2"/>
  <c r="T95" i="2"/>
  <c r="U95" i="2"/>
  <c r="V95" i="2"/>
  <c r="W95" i="2"/>
  <c r="N96" i="2"/>
  <c r="O96" i="2"/>
  <c r="P96" i="2"/>
  <c r="Q96" i="2"/>
  <c r="R96" i="2"/>
  <c r="S96" i="2"/>
  <c r="T96" i="2"/>
  <c r="U96" i="2"/>
  <c r="V96" i="2"/>
  <c r="W96" i="2"/>
  <c r="N97" i="2"/>
  <c r="X97" i="2" s="1"/>
  <c r="O97" i="2"/>
  <c r="P97" i="2"/>
  <c r="Q97" i="2"/>
  <c r="R97" i="2"/>
  <c r="S97" i="2"/>
  <c r="T97" i="2"/>
  <c r="U97" i="2"/>
  <c r="V97" i="2"/>
  <c r="W97" i="2"/>
  <c r="N98" i="2"/>
  <c r="O98" i="2"/>
  <c r="P98" i="2"/>
  <c r="Q98" i="2"/>
  <c r="R98" i="2"/>
  <c r="S98" i="2"/>
  <c r="T98" i="2"/>
  <c r="U98" i="2"/>
  <c r="V98" i="2"/>
  <c r="W98" i="2"/>
  <c r="N99" i="2"/>
  <c r="O99" i="2"/>
  <c r="P99" i="2"/>
  <c r="Q99" i="2"/>
  <c r="R99" i="2"/>
  <c r="S99" i="2"/>
  <c r="T99" i="2"/>
  <c r="U99" i="2"/>
  <c r="V99" i="2"/>
  <c r="W99" i="2"/>
  <c r="X99" i="2" s="1"/>
  <c r="N100" i="2"/>
  <c r="X100" i="2" s="1"/>
  <c r="O100" i="2"/>
  <c r="P100" i="2"/>
  <c r="Q100" i="2"/>
  <c r="R100" i="2"/>
  <c r="S100" i="2"/>
  <c r="T100" i="2"/>
  <c r="U100" i="2"/>
  <c r="V100" i="2"/>
  <c r="W100" i="2"/>
  <c r="N101" i="2"/>
  <c r="O101" i="2"/>
  <c r="X101" i="2" s="1"/>
  <c r="P101" i="2"/>
  <c r="Q101" i="2"/>
  <c r="R101" i="2"/>
  <c r="S101" i="2"/>
  <c r="T101" i="2"/>
  <c r="U101" i="2"/>
  <c r="V101" i="2"/>
  <c r="W101" i="2"/>
  <c r="N102" i="2"/>
  <c r="O102" i="2"/>
  <c r="P102" i="2"/>
  <c r="Q102" i="2"/>
  <c r="R102" i="2"/>
  <c r="S102" i="2"/>
  <c r="T102" i="2"/>
  <c r="U102" i="2"/>
  <c r="V102" i="2"/>
  <c r="W102" i="2"/>
  <c r="N103" i="2"/>
  <c r="X103" i="2" s="1"/>
  <c r="O103" i="2"/>
  <c r="P103" i="2"/>
  <c r="Q103" i="2"/>
  <c r="R103" i="2"/>
  <c r="S103" i="2"/>
  <c r="T103" i="2"/>
  <c r="U103" i="2"/>
  <c r="V103" i="2"/>
  <c r="W103" i="2"/>
  <c r="N104" i="2"/>
  <c r="O104" i="2"/>
  <c r="P104" i="2"/>
  <c r="Q104" i="2"/>
  <c r="R104" i="2"/>
  <c r="S104" i="2"/>
  <c r="T104" i="2"/>
  <c r="U104" i="2"/>
  <c r="V104" i="2"/>
  <c r="W104" i="2"/>
  <c r="N105" i="2"/>
  <c r="O105" i="2"/>
  <c r="P105" i="2"/>
  <c r="Q105" i="2"/>
  <c r="R105" i="2"/>
  <c r="S105" i="2"/>
  <c r="T105" i="2"/>
  <c r="U105" i="2"/>
  <c r="V105" i="2"/>
  <c r="W105" i="2"/>
  <c r="N106" i="2"/>
  <c r="O106" i="2"/>
  <c r="P106" i="2"/>
  <c r="Q106" i="2"/>
  <c r="R106" i="2"/>
  <c r="S106" i="2"/>
  <c r="T106" i="2"/>
  <c r="U106" i="2"/>
  <c r="V106" i="2"/>
  <c r="W106" i="2"/>
  <c r="N107" i="2"/>
  <c r="O107" i="2"/>
  <c r="P107" i="2"/>
  <c r="Q107" i="2"/>
  <c r="R107" i="2"/>
  <c r="S107" i="2"/>
  <c r="T107" i="2"/>
  <c r="U107" i="2"/>
  <c r="V107" i="2"/>
  <c r="W107" i="2"/>
  <c r="N108" i="2"/>
  <c r="O108" i="2"/>
  <c r="P108" i="2"/>
  <c r="Q108" i="2"/>
  <c r="R108" i="2"/>
  <c r="S108" i="2"/>
  <c r="T108" i="2"/>
  <c r="U108" i="2"/>
  <c r="V108" i="2"/>
  <c r="W108" i="2"/>
  <c r="N109" i="2"/>
  <c r="X109" i="2" s="1"/>
  <c r="O109" i="2"/>
  <c r="P109" i="2"/>
  <c r="Q109" i="2"/>
  <c r="R109" i="2"/>
  <c r="S109" i="2"/>
  <c r="T109" i="2"/>
  <c r="U109" i="2"/>
  <c r="V109" i="2"/>
  <c r="W109" i="2"/>
  <c r="N110" i="2"/>
  <c r="O110" i="2"/>
  <c r="P110" i="2"/>
  <c r="Q110" i="2"/>
  <c r="R110" i="2"/>
  <c r="S110" i="2"/>
  <c r="T110" i="2"/>
  <c r="U110" i="2"/>
  <c r="V110" i="2"/>
  <c r="W110" i="2"/>
  <c r="N111" i="2"/>
  <c r="O111" i="2"/>
  <c r="P111" i="2"/>
  <c r="Q111" i="2"/>
  <c r="R111" i="2"/>
  <c r="S111" i="2"/>
  <c r="T111" i="2"/>
  <c r="U111" i="2"/>
  <c r="V111" i="2"/>
  <c r="W111" i="2"/>
  <c r="N112" i="2"/>
  <c r="X112" i="2" s="1"/>
  <c r="O112" i="2"/>
  <c r="P112" i="2"/>
  <c r="Q112" i="2"/>
  <c r="R112" i="2"/>
  <c r="S112" i="2"/>
  <c r="T112" i="2"/>
  <c r="U112" i="2"/>
  <c r="V112" i="2"/>
  <c r="W112" i="2"/>
  <c r="N113" i="2"/>
  <c r="O113" i="2"/>
  <c r="P113" i="2"/>
  <c r="Q113" i="2"/>
  <c r="R113" i="2"/>
  <c r="S113" i="2"/>
  <c r="T113" i="2"/>
  <c r="U113" i="2"/>
  <c r="V113" i="2"/>
  <c r="W113" i="2"/>
  <c r="N114" i="2"/>
  <c r="O114" i="2"/>
  <c r="P114" i="2"/>
  <c r="Q114" i="2"/>
  <c r="X114" i="2" s="1"/>
  <c r="R114" i="2"/>
  <c r="S114" i="2"/>
  <c r="T114" i="2"/>
  <c r="U114" i="2"/>
  <c r="V114" i="2"/>
  <c r="W114" i="2"/>
  <c r="N115" i="2"/>
  <c r="X115" i="2" s="1"/>
  <c r="O115" i="2"/>
  <c r="P115" i="2"/>
  <c r="Q115" i="2"/>
  <c r="R115" i="2"/>
  <c r="S115" i="2"/>
  <c r="T115" i="2"/>
  <c r="U115" i="2"/>
  <c r="V115" i="2"/>
  <c r="W115" i="2"/>
  <c r="N116" i="2"/>
  <c r="O116" i="2"/>
  <c r="P116" i="2"/>
  <c r="Q116" i="2"/>
  <c r="R116" i="2"/>
  <c r="S116" i="2"/>
  <c r="T116" i="2"/>
  <c r="U116" i="2"/>
  <c r="V116" i="2"/>
  <c r="W116" i="2"/>
  <c r="N117" i="2"/>
  <c r="O117" i="2"/>
  <c r="P117" i="2"/>
  <c r="Q117" i="2"/>
  <c r="R117" i="2"/>
  <c r="S117" i="2"/>
  <c r="T117" i="2"/>
  <c r="U117" i="2"/>
  <c r="V117" i="2"/>
  <c r="W117" i="2"/>
  <c r="N118" i="2"/>
  <c r="O118" i="2"/>
  <c r="P118" i="2"/>
  <c r="Q118" i="2"/>
  <c r="R118" i="2"/>
  <c r="S118" i="2"/>
  <c r="T118" i="2"/>
  <c r="U118" i="2"/>
  <c r="V118" i="2"/>
  <c r="W118" i="2"/>
  <c r="N119" i="2"/>
  <c r="O119" i="2"/>
  <c r="X119" i="2" s="1"/>
  <c r="P119" i="2"/>
  <c r="Q119" i="2"/>
  <c r="R119" i="2"/>
  <c r="S119" i="2"/>
  <c r="T119" i="2"/>
  <c r="U119" i="2"/>
  <c r="V119" i="2"/>
  <c r="W119" i="2"/>
  <c r="N120" i="2"/>
  <c r="O120" i="2"/>
  <c r="P120" i="2"/>
  <c r="Q120" i="2"/>
  <c r="R120" i="2"/>
  <c r="S120" i="2"/>
  <c r="T120" i="2"/>
  <c r="U120" i="2"/>
  <c r="V120" i="2"/>
  <c r="W120" i="2"/>
  <c r="N121" i="2"/>
  <c r="X121" i="2" s="1"/>
  <c r="O121" i="2"/>
  <c r="P121" i="2"/>
  <c r="Q121" i="2"/>
  <c r="R121" i="2"/>
  <c r="S121" i="2"/>
  <c r="T121" i="2"/>
  <c r="U121" i="2"/>
  <c r="V121" i="2"/>
  <c r="W121" i="2"/>
  <c r="N122" i="2"/>
  <c r="O122" i="2"/>
  <c r="P122" i="2"/>
  <c r="Q122" i="2"/>
  <c r="R122" i="2"/>
  <c r="S122" i="2"/>
  <c r="T122" i="2"/>
  <c r="U122" i="2"/>
  <c r="V122" i="2"/>
  <c r="W122" i="2"/>
  <c r="N123" i="2"/>
  <c r="O123" i="2"/>
  <c r="P123" i="2"/>
  <c r="Q123" i="2"/>
  <c r="R123" i="2"/>
  <c r="S123" i="2"/>
  <c r="T123" i="2"/>
  <c r="U123" i="2"/>
  <c r="V123" i="2"/>
  <c r="W123" i="2"/>
  <c r="N124" i="2"/>
  <c r="X124" i="2" s="1"/>
  <c r="O124" i="2"/>
  <c r="P124" i="2"/>
  <c r="Q124" i="2"/>
  <c r="R124" i="2"/>
  <c r="S124" i="2"/>
  <c r="T124" i="2"/>
  <c r="U124" i="2"/>
  <c r="V124" i="2"/>
  <c r="W124" i="2"/>
  <c r="N125" i="2"/>
  <c r="O125" i="2"/>
  <c r="P125" i="2"/>
  <c r="Q125" i="2"/>
  <c r="R125" i="2"/>
  <c r="S125" i="2"/>
  <c r="T125" i="2"/>
  <c r="U125" i="2"/>
  <c r="V125" i="2"/>
  <c r="W125" i="2"/>
  <c r="N126" i="2"/>
  <c r="O126" i="2"/>
  <c r="P126" i="2"/>
  <c r="Q126" i="2"/>
  <c r="R126" i="2"/>
  <c r="S126" i="2"/>
  <c r="T126" i="2"/>
  <c r="U126" i="2"/>
  <c r="V126" i="2"/>
  <c r="W126" i="2"/>
  <c r="N127" i="2"/>
  <c r="X127" i="2" s="1"/>
  <c r="O127" i="2"/>
  <c r="P127" i="2"/>
  <c r="Q127" i="2"/>
  <c r="R127" i="2"/>
  <c r="S127" i="2"/>
  <c r="T127" i="2"/>
  <c r="U127" i="2"/>
  <c r="V127" i="2"/>
  <c r="W127" i="2"/>
  <c r="N128" i="2"/>
  <c r="O128" i="2"/>
  <c r="P128" i="2"/>
  <c r="Q128" i="2"/>
  <c r="R128" i="2"/>
  <c r="S128" i="2"/>
  <c r="T128" i="2"/>
  <c r="U128" i="2"/>
  <c r="V128" i="2"/>
  <c r="W128" i="2"/>
  <c r="N129" i="2"/>
  <c r="O129" i="2"/>
  <c r="P129" i="2"/>
  <c r="Q129" i="2"/>
  <c r="R129" i="2"/>
  <c r="S129" i="2"/>
  <c r="T129" i="2"/>
  <c r="U129" i="2"/>
  <c r="V129" i="2"/>
  <c r="W129" i="2"/>
  <c r="N130" i="2"/>
  <c r="O130" i="2"/>
  <c r="P130" i="2"/>
  <c r="Q130" i="2"/>
  <c r="R130" i="2"/>
  <c r="S130" i="2"/>
  <c r="T130" i="2"/>
  <c r="U130" i="2"/>
  <c r="V130" i="2"/>
  <c r="W130" i="2"/>
  <c r="N131" i="2"/>
  <c r="O131" i="2"/>
  <c r="P131" i="2"/>
  <c r="Q131" i="2"/>
  <c r="R131" i="2"/>
  <c r="S131" i="2"/>
  <c r="T131" i="2"/>
  <c r="U131" i="2"/>
  <c r="V131" i="2"/>
  <c r="W131" i="2"/>
  <c r="N132" i="2"/>
  <c r="O132" i="2"/>
  <c r="P132" i="2"/>
  <c r="Q132" i="2"/>
  <c r="X132" i="2" s="1"/>
  <c r="R132" i="2"/>
  <c r="S132" i="2"/>
  <c r="T132" i="2"/>
  <c r="U132" i="2"/>
  <c r="V132" i="2"/>
  <c r="W132" i="2"/>
  <c r="N133" i="2"/>
  <c r="X133" i="2" s="1"/>
  <c r="O133" i="2"/>
  <c r="P133" i="2"/>
  <c r="Q133" i="2"/>
  <c r="R133" i="2"/>
  <c r="S133" i="2"/>
  <c r="T133" i="2"/>
  <c r="U133" i="2"/>
  <c r="V133" i="2"/>
  <c r="W133" i="2"/>
  <c r="N134" i="2"/>
  <c r="O134" i="2"/>
  <c r="P134" i="2"/>
  <c r="Q134" i="2"/>
  <c r="R134" i="2"/>
  <c r="S134" i="2"/>
  <c r="T134" i="2"/>
  <c r="U134" i="2"/>
  <c r="V134" i="2"/>
  <c r="W134" i="2"/>
  <c r="N135" i="2"/>
  <c r="O135" i="2"/>
  <c r="P135" i="2"/>
  <c r="Q135" i="2"/>
  <c r="R135" i="2"/>
  <c r="S135" i="2"/>
  <c r="T135" i="2"/>
  <c r="U135" i="2"/>
  <c r="V135" i="2"/>
  <c r="W135" i="2"/>
  <c r="N136" i="2"/>
  <c r="X136" i="2" s="1"/>
  <c r="O136" i="2"/>
  <c r="P136" i="2"/>
  <c r="Q136" i="2"/>
  <c r="R136" i="2"/>
  <c r="S136" i="2"/>
  <c r="T136" i="2"/>
  <c r="U136" i="2"/>
  <c r="V136" i="2"/>
  <c r="W136" i="2"/>
  <c r="N137" i="2"/>
  <c r="O137" i="2"/>
  <c r="P137" i="2"/>
  <c r="Q137" i="2"/>
  <c r="R137" i="2"/>
  <c r="S137" i="2"/>
  <c r="T137" i="2"/>
  <c r="U137" i="2"/>
  <c r="V137" i="2"/>
  <c r="W137" i="2"/>
  <c r="N138" i="2"/>
  <c r="O138" i="2"/>
  <c r="P138" i="2"/>
  <c r="Q138" i="2"/>
  <c r="R138" i="2"/>
  <c r="S138" i="2"/>
  <c r="T138" i="2"/>
  <c r="U138" i="2"/>
  <c r="V138" i="2"/>
  <c r="W138" i="2"/>
  <c r="N139" i="2"/>
  <c r="X139" i="2" s="1"/>
  <c r="O139" i="2"/>
  <c r="P139" i="2"/>
  <c r="Q139" i="2"/>
  <c r="R139" i="2"/>
  <c r="S139" i="2"/>
  <c r="T139" i="2"/>
  <c r="U139" i="2"/>
  <c r="V139" i="2"/>
  <c r="W139" i="2"/>
  <c r="N140" i="2"/>
  <c r="O140" i="2"/>
  <c r="P140" i="2"/>
  <c r="Q140" i="2"/>
  <c r="R140" i="2"/>
  <c r="S140" i="2"/>
  <c r="T140" i="2"/>
  <c r="U140" i="2"/>
  <c r="V140" i="2"/>
  <c r="W140" i="2"/>
  <c r="N141" i="2"/>
  <c r="O141" i="2"/>
  <c r="P141" i="2"/>
  <c r="Q141" i="2"/>
  <c r="R141" i="2"/>
  <c r="S141" i="2"/>
  <c r="T141" i="2"/>
  <c r="U141" i="2"/>
  <c r="V141" i="2"/>
  <c r="W141" i="2"/>
  <c r="N142" i="2"/>
  <c r="O142" i="2"/>
  <c r="P142" i="2"/>
  <c r="Q142" i="2"/>
  <c r="R142" i="2"/>
  <c r="S142" i="2"/>
  <c r="T142" i="2"/>
  <c r="U142" i="2"/>
  <c r="V142" i="2"/>
  <c r="W142" i="2"/>
  <c r="N143" i="2"/>
  <c r="O143" i="2"/>
  <c r="P143" i="2"/>
  <c r="Q143" i="2"/>
  <c r="R143" i="2"/>
  <c r="S143" i="2"/>
  <c r="T143" i="2"/>
  <c r="U143" i="2"/>
  <c r="V143" i="2"/>
  <c r="W143" i="2"/>
  <c r="N144" i="2"/>
  <c r="O144" i="2"/>
  <c r="P144" i="2"/>
  <c r="Q144" i="2"/>
  <c r="R144" i="2"/>
  <c r="S144" i="2"/>
  <c r="T144" i="2"/>
  <c r="U144" i="2"/>
  <c r="V144" i="2"/>
  <c r="W144" i="2"/>
  <c r="N145" i="2"/>
  <c r="X145" i="2" s="1"/>
  <c r="O145" i="2"/>
  <c r="P145" i="2"/>
  <c r="Q145" i="2"/>
  <c r="R145" i="2"/>
  <c r="S145" i="2"/>
  <c r="T145" i="2"/>
  <c r="U145" i="2"/>
  <c r="V145" i="2"/>
  <c r="W145" i="2"/>
  <c r="N146" i="2"/>
  <c r="O146" i="2"/>
  <c r="P146" i="2"/>
  <c r="Q146" i="2"/>
  <c r="R146" i="2"/>
  <c r="S146" i="2"/>
  <c r="T146" i="2"/>
  <c r="U146" i="2"/>
  <c r="V146" i="2"/>
  <c r="W146" i="2"/>
  <c r="N147" i="2"/>
  <c r="O147" i="2"/>
  <c r="P147" i="2"/>
  <c r="Q147" i="2"/>
  <c r="R147" i="2"/>
  <c r="S147" i="2"/>
  <c r="T147" i="2"/>
  <c r="U147" i="2"/>
  <c r="V147" i="2"/>
  <c r="W147" i="2"/>
  <c r="X147" i="2" s="1"/>
  <c r="N148" i="2"/>
  <c r="X148" i="2" s="1"/>
  <c r="O148" i="2"/>
  <c r="P148" i="2"/>
  <c r="Q148" i="2"/>
  <c r="R148" i="2"/>
  <c r="S148" i="2"/>
  <c r="T148" i="2"/>
  <c r="U148" i="2"/>
  <c r="V148" i="2"/>
  <c r="W148" i="2"/>
  <c r="N149" i="2"/>
  <c r="O149" i="2"/>
  <c r="X149" i="2" s="1"/>
  <c r="P149" i="2"/>
  <c r="Q149" i="2"/>
  <c r="R149" i="2"/>
  <c r="S149" i="2"/>
  <c r="T149" i="2"/>
  <c r="U149" i="2"/>
  <c r="V149" i="2"/>
  <c r="W149" i="2"/>
  <c r="N150" i="2"/>
  <c r="O150" i="2"/>
  <c r="P150" i="2"/>
  <c r="Q150" i="2"/>
  <c r="R150" i="2"/>
  <c r="S150" i="2"/>
  <c r="T150" i="2"/>
  <c r="U150" i="2"/>
  <c r="V150" i="2"/>
  <c r="W150" i="2"/>
  <c r="N151" i="2"/>
  <c r="X151" i="2" s="1"/>
  <c r="O151" i="2"/>
  <c r="P151" i="2"/>
  <c r="Q151" i="2"/>
  <c r="R151" i="2"/>
  <c r="S151" i="2"/>
  <c r="T151" i="2"/>
  <c r="U151" i="2"/>
  <c r="V151" i="2"/>
  <c r="W151" i="2"/>
  <c r="N152" i="2"/>
  <c r="O152" i="2"/>
  <c r="P152" i="2"/>
  <c r="Q152" i="2"/>
  <c r="R152" i="2"/>
  <c r="S152" i="2"/>
  <c r="T152" i="2"/>
  <c r="U152" i="2"/>
  <c r="V152" i="2"/>
  <c r="W152" i="2"/>
  <c r="N153" i="2"/>
  <c r="O153" i="2"/>
  <c r="P153" i="2"/>
  <c r="Q153" i="2"/>
  <c r="R153" i="2"/>
  <c r="S153" i="2"/>
  <c r="T153" i="2"/>
  <c r="U153" i="2"/>
  <c r="V153" i="2"/>
  <c r="W153" i="2"/>
  <c r="N154" i="2"/>
  <c r="O154" i="2"/>
  <c r="P154" i="2"/>
  <c r="Q154" i="2"/>
  <c r="R154" i="2"/>
  <c r="S154" i="2"/>
  <c r="T154" i="2"/>
  <c r="U154" i="2"/>
  <c r="V154" i="2"/>
  <c r="W154" i="2"/>
  <c r="N155" i="2"/>
  <c r="O155" i="2"/>
  <c r="P155" i="2"/>
  <c r="Q155" i="2"/>
  <c r="R155" i="2"/>
  <c r="S155" i="2"/>
  <c r="T155" i="2"/>
  <c r="U155" i="2"/>
  <c r="V155" i="2"/>
  <c r="W155" i="2"/>
  <c r="N156" i="2"/>
  <c r="O156" i="2"/>
  <c r="P156" i="2"/>
  <c r="Q156" i="2"/>
  <c r="R156" i="2"/>
  <c r="S156" i="2"/>
  <c r="T156" i="2"/>
  <c r="U156" i="2"/>
  <c r="V156" i="2"/>
  <c r="W156" i="2"/>
  <c r="N157" i="2"/>
  <c r="X157" i="2" s="1"/>
  <c r="O157" i="2"/>
  <c r="P157" i="2"/>
  <c r="Q157" i="2"/>
  <c r="R157" i="2"/>
  <c r="S157" i="2"/>
  <c r="T157" i="2"/>
  <c r="U157" i="2"/>
  <c r="V157" i="2"/>
  <c r="W157" i="2"/>
  <c r="N158" i="2"/>
  <c r="O158" i="2"/>
  <c r="P158" i="2"/>
  <c r="Q158" i="2"/>
  <c r="R158" i="2"/>
  <c r="S158" i="2"/>
  <c r="T158" i="2"/>
  <c r="U158" i="2"/>
  <c r="V158" i="2"/>
  <c r="W158" i="2"/>
  <c r="N159" i="2"/>
  <c r="O159" i="2"/>
  <c r="P159" i="2"/>
  <c r="Q159" i="2"/>
  <c r="R159" i="2"/>
  <c r="S159" i="2"/>
  <c r="T159" i="2"/>
  <c r="U159" i="2"/>
  <c r="V159" i="2"/>
  <c r="W159" i="2"/>
  <c r="N160" i="2"/>
  <c r="X160" i="2" s="1"/>
  <c r="O160" i="2"/>
  <c r="P160" i="2"/>
  <c r="Q160" i="2"/>
  <c r="R160" i="2"/>
  <c r="S160" i="2"/>
  <c r="T160" i="2"/>
  <c r="U160" i="2"/>
  <c r="V160" i="2"/>
  <c r="W160" i="2"/>
  <c r="N161" i="2"/>
  <c r="O161" i="2"/>
  <c r="P161" i="2"/>
  <c r="Q161" i="2"/>
  <c r="R161" i="2"/>
  <c r="S161" i="2"/>
  <c r="T161" i="2"/>
  <c r="U161" i="2"/>
  <c r="V161" i="2"/>
  <c r="W161" i="2"/>
  <c r="N162" i="2"/>
  <c r="O162" i="2"/>
  <c r="P162" i="2"/>
  <c r="Q162" i="2"/>
  <c r="X162" i="2" s="1"/>
  <c r="R162" i="2"/>
  <c r="S162" i="2"/>
  <c r="T162" i="2"/>
  <c r="U162" i="2"/>
  <c r="V162" i="2"/>
  <c r="W162" i="2"/>
  <c r="N163" i="2"/>
  <c r="X163" i="2" s="1"/>
  <c r="O163" i="2"/>
  <c r="P163" i="2"/>
  <c r="Q163" i="2"/>
  <c r="R163" i="2"/>
  <c r="S163" i="2"/>
  <c r="T163" i="2"/>
  <c r="U163" i="2"/>
  <c r="V163" i="2"/>
  <c r="W163" i="2"/>
  <c r="N164" i="2"/>
  <c r="O164" i="2"/>
  <c r="P164" i="2"/>
  <c r="Q164" i="2"/>
  <c r="R164" i="2"/>
  <c r="S164" i="2"/>
  <c r="T164" i="2"/>
  <c r="U164" i="2"/>
  <c r="V164" i="2"/>
  <c r="W164" i="2"/>
  <c r="N165" i="2"/>
  <c r="O165" i="2"/>
  <c r="P165" i="2"/>
  <c r="Q165" i="2"/>
  <c r="R165" i="2"/>
  <c r="S165" i="2"/>
  <c r="T165" i="2"/>
  <c r="U165" i="2"/>
  <c r="V165" i="2"/>
  <c r="W165" i="2"/>
  <c r="N166" i="2"/>
  <c r="O166" i="2"/>
  <c r="P166" i="2"/>
  <c r="Q166" i="2"/>
  <c r="R166" i="2"/>
  <c r="S166" i="2"/>
  <c r="T166" i="2"/>
  <c r="U166" i="2"/>
  <c r="V166" i="2"/>
  <c r="W166" i="2"/>
  <c r="N167" i="2"/>
  <c r="O167" i="2"/>
  <c r="P167" i="2"/>
  <c r="Q167" i="2"/>
  <c r="R167" i="2"/>
  <c r="S167" i="2"/>
  <c r="T167" i="2"/>
  <c r="U167" i="2"/>
  <c r="V167" i="2"/>
  <c r="W167" i="2"/>
  <c r="N168" i="2"/>
  <c r="O168" i="2"/>
  <c r="P168" i="2"/>
  <c r="Q168" i="2"/>
  <c r="R168" i="2"/>
  <c r="S168" i="2"/>
  <c r="T168" i="2"/>
  <c r="U168" i="2"/>
  <c r="V168" i="2"/>
  <c r="W168" i="2"/>
  <c r="N169" i="2"/>
  <c r="X169" i="2" s="1"/>
  <c r="O169" i="2"/>
  <c r="P169" i="2"/>
  <c r="Q169" i="2"/>
  <c r="R169" i="2"/>
  <c r="S169" i="2"/>
  <c r="T169" i="2"/>
  <c r="U169" i="2"/>
  <c r="V169" i="2"/>
  <c r="W169" i="2"/>
  <c r="N170" i="2"/>
  <c r="O170" i="2"/>
  <c r="P170" i="2"/>
  <c r="Q170" i="2"/>
  <c r="R170" i="2"/>
  <c r="S170" i="2"/>
  <c r="T170" i="2"/>
  <c r="U170" i="2"/>
  <c r="V170" i="2"/>
  <c r="W170" i="2"/>
  <c r="N171" i="2"/>
  <c r="O171" i="2"/>
  <c r="P171" i="2"/>
  <c r="Q171" i="2"/>
  <c r="R171" i="2"/>
  <c r="S171" i="2"/>
  <c r="T171" i="2"/>
  <c r="U171" i="2"/>
  <c r="V171" i="2"/>
  <c r="W171" i="2"/>
  <c r="N172" i="2"/>
  <c r="X172" i="2" s="1"/>
  <c r="O172" i="2"/>
  <c r="P172" i="2"/>
  <c r="Q172" i="2"/>
  <c r="R172" i="2"/>
  <c r="S172" i="2"/>
  <c r="T172" i="2"/>
  <c r="U172" i="2"/>
  <c r="V172" i="2"/>
  <c r="W172" i="2"/>
  <c r="N173" i="2"/>
  <c r="O173" i="2"/>
  <c r="P173" i="2"/>
  <c r="Q173" i="2"/>
  <c r="R173" i="2"/>
  <c r="S173" i="2"/>
  <c r="T173" i="2"/>
  <c r="U173" i="2"/>
  <c r="V173" i="2"/>
  <c r="W173" i="2"/>
  <c r="N174" i="2"/>
  <c r="O174" i="2"/>
  <c r="P174" i="2"/>
  <c r="Q174" i="2"/>
  <c r="R174" i="2"/>
  <c r="S174" i="2"/>
  <c r="T174" i="2"/>
  <c r="U174" i="2"/>
  <c r="V174" i="2"/>
  <c r="W174" i="2"/>
  <c r="N175" i="2"/>
  <c r="X175" i="2" s="1"/>
  <c r="O175" i="2"/>
  <c r="P175" i="2"/>
  <c r="Q175" i="2"/>
  <c r="R175" i="2"/>
  <c r="S175" i="2"/>
  <c r="T175" i="2"/>
  <c r="U175" i="2"/>
  <c r="V175" i="2"/>
  <c r="W175" i="2"/>
  <c r="N176" i="2"/>
  <c r="O176" i="2"/>
  <c r="P176" i="2"/>
  <c r="Q176" i="2"/>
  <c r="R176" i="2"/>
  <c r="S176" i="2"/>
  <c r="T176" i="2"/>
  <c r="U176" i="2"/>
  <c r="X176" i="2" s="1"/>
  <c r="V176" i="2"/>
  <c r="W176" i="2"/>
  <c r="N177" i="2"/>
  <c r="O177" i="2"/>
  <c r="P177" i="2"/>
  <c r="Q177" i="2"/>
  <c r="R177" i="2"/>
  <c r="S177" i="2"/>
  <c r="T177" i="2"/>
  <c r="U177" i="2"/>
  <c r="V177" i="2"/>
  <c r="W177" i="2"/>
  <c r="N178" i="2"/>
  <c r="O178" i="2"/>
  <c r="X178" i="2" s="1"/>
  <c r="P178" i="2"/>
  <c r="Q178" i="2"/>
  <c r="R178" i="2"/>
  <c r="S178" i="2"/>
  <c r="T178" i="2"/>
  <c r="U178" i="2"/>
  <c r="V178" i="2"/>
  <c r="W178" i="2"/>
  <c r="N179" i="2"/>
  <c r="O179" i="2"/>
  <c r="P179" i="2"/>
  <c r="Q179" i="2"/>
  <c r="R179" i="2"/>
  <c r="S179" i="2"/>
  <c r="T179" i="2"/>
  <c r="U179" i="2"/>
  <c r="V179" i="2"/>
  <c r="W179" i="2"/>
  <c r="N180" i="2"/>
  <c r="O180" i="2"/>
  <c r="P180" i="2"/>
  <c r="Q180" i="2"/>
  <c r="R180" i="2"/>
  <c r="S180" i="2"/>
  <c r="T180" i="2"/>
  <c r="U180" i="2"/>
  <c r="V180" i="2"/>
  <c r="W180" i="2"/>
  <c r="N181" i="2"/>
  <c r="X181" i="2" s="1"/>
  <c r="O181" i="2"/>
  <c r="P181" i="2"/>
  <c r="Q181" i="2"/>
  <c r="R181" i="2"/>
  <c r="S181" i="2"/>
  <c r="T181" i="2"/>
  <c r="U181" i="2"/>
  <c r="V181" i="2"/>
  <c r="W181" i="2"/>
  <c r="N182" i="2"/>
  <c r="O182" i="2"/>
  <c r="P182" i="2"/>
  <c r="Q182" i="2"/>
  <c r="R182" i="2"/>
  <c r="S182" i="2"/>
  <c r="T182" i="2"/>
  <c r="U182" i="2"/>
  <c r="V182" i="2"/>
  <c r="W182" i="2"/>
  <c r="N183" i="2"/>
  <c r="O183" i="2"/>
  <c r="P183" i="2"/>
  <c r="Q183" i="2"/>
  <c r="R183" i="2"/>
  <c r="S183" i="2"/>
  <c r="T183" i="2"/>
  <c r="U183" i="2"/>
  <c r="V183" i="2"/>
  <c r="W183" i="2"/>
  <c r="N184" i="2"/>
  <c r="X184" i="2" s="1"/>
  <c r="O184" i="2"/>
  <c r="P184" i="2"/>
  <c r="Q184" i="2"/>
  <c r="R184" i="2"/>
  <c r="S184" i="2"/>
  <c r="T184" i="2"/>
  <c r="U184" i="2"/>
  <c r="V184" i="2"/>
  <c r="W184" i="2"/>
  <c r="N185" i="2"/>
  <c r="O185" i="2"/>
  <c r="P185" i="2"/>
  <c r="Q185" i="2"/>
  <c r="R185" i="2"/>
  <c r="S185" i="2"/>
  <c r="T185" i="2"/>
  <c r="U185" i="2"/>
  <c r="V185" i="2"/>
  <c r="W185" i="2"/>
  <c r="N186" i="2"/>
  <c r="O186" i="2"/>
  <c r="P186" i="2"/>
  <c r="Q186" i="2"/>
  <c r="R186" i="2"/>
  <c r="S186" i="2"/>
  <c r="T186" i="2"/>
  <c r="U186" i="2"/>
  <c r="V186" i="2"/>
  <c r="W186" i="2"/>
  <c r="N187" i="2"/>
  <c r="X187" i="2" s="1"/>
  <c r="O187" i="2"/>
  <c r="P187" i="2"/>
  <c r="Q187" i="2"/>
  <c r="R187" i="2"/>
  <c r="S187" i="2"/>
  <c r="T187" i="2"/>
  <c r="U187" i="2"/>
  <c r="V187" i="2"/>
  <c r="W187" i="2"/>
  <c r="N188" i="2"/>
  <c r="O188" i="2"/>
  <c r="P188" i="2"/>
  <c r="Q188" i="2"/>
  <c r="R188" i="2"/>
  <c r="S188" i="2"/>
  <c r="T188" i="2"/>
  <c r="U188" i="2"/>
  <c r="X188" i="2" s="1"/>
  <c r="V188" i="2"/>
  <c r="W188" i="2"/>
  <c r="N189" i="2"/>
  <c r="O189" i="2"/>
  <c r="P189" i="2"/>
  <c r="Q189" i="2"/>
  <c r="R189" i="2"/>
  <c r="S189" i="2"/>
  <c r="T189" i="2"/>
  <c r="U189" i="2"/>
  <c r="V189" i="2"/>
  <c r="W189" i="2"/>
  <c r="N190" i="2"/>
  <c r="O190" i="2"/>
  <c r="X190" i="2" s="1"/>
  <c r="P190" i="2"/>
  <c r="Q190" i="2"/>
  <c r="R190" i="2"/>
  <c r="S190" i="2"/>
  <c r="T190" i="2"/>
  <c r="U190" i="2"/>
  <c r="V190" i="2"/>
  <c r="W190" i="2"/>
  <c r="N191" i="2"/>
  <c r="O191" i="2"/>
  <c r="P191" i="2"/>
  <c r="Q191" i="2"/>
  <c r="R191" i="2"/>
  <c r="S191" i="2"/>
  <c r="T191" i="2"/>
  <c r="U191" i="2"/>
  <c r="V191" i="2"/>
  <c r="W191" i="2"/>
  <c r="N192" i="2"/>
  <c r="O192" i="2"/>
  <c r="P192" i="2"/>
  <c r="Q192" i="2"/>
  <c r="R192" i="2"/>
  <c r="S192" i="2"/>
  <c r="T192" i="2"/>
  <c r="U192" i="2"/>
  <c r="V192" i="2"/>
  <c r="W192" i="2"/>
  <c r="N193" i="2"/>
  <c r="X193" i="2" s="1"/>
  <c r="O193" i="2"/>
  <c r="P193" i="2"/>
  <c r="Q193" i="2"/>
  <c r="R193" i="2"/>
  <c r="S193" i="2"/>
  <c r="T193" i="2"/>
  <c r="U193" i="2"/>
  <c r="V193" i="2"/>
  <c r="W193" i="2"/>
  <c r="N194" i="2"/>
  <c r="O194" i="2"/>
  <c r="P194" i="2"/>
  <c r="Q194" i="2"/>
  <c r="R194" i="2"/>
  <c r="S194" i="2"/>
  <c r="T194" i="2"/>
  <c r="U194" i="2"/>
  <c r="V194" i="2"/>
  <c r="W194" i="2"/>
  <c r="N195" i="2"/>
  <c r="O195" i="2"/>
  <c r="P195" i="2"/>
  <c r="Q195" i="2"/>
  <c r="R195" i="2"/>
  <c r="S195" i="2"/>
  <c r="T195" i="2"/>
  <c r="U195" i="2"/>
  <c r="V195" i="2"/>
  <c r="W195" i="2"/>
  <c r="N196" i="2"/>
  <c r="X196" i="2" s="1"/>
  <c r="O196" i="2"/>
  <c r="P196" i="2"/>
  <c r="Q196" i="2"/>
  <c r="R196" i="2"/>
  <c r="S196" i="2"/>
  <c r="T196" i="2"/>
  <c r="U196" i="2"/>
  <c r="V196" i="2"/>
  <c r="W196" i="2"/>
  <c r="N197" i="2"/>
  <c r="O197" i="2"/>
  <c r="P197" i="2"/>
  <c r="Q197" i="2"/>
  <c r="R197" i="2"/>
  <c r="S197" i="2"/>
  <c r="T197" i="2"/>
  <c r="U197" i="2"/>
  <c r="V197" i="2"/>
  <c r="W197" i="2"/>
  <c r="N198" i="2"/>
  <c r="O198" i="2"/>
  <c r="P198" i="2"/>
  <c r="Q198" i="2"/>
  <c r="R198" i="2"/>
  <c r="S198" i="2"/>
  <c r="T198" i="2"/>
  <c r="U198" i="2"/>
  <c r="V198" i="2"/>
  <c r="W198" i="2"/>
  <c r="N199" i="2"/>
  <c r="X199" i="2" s="1"/>
  <c r="O199" i="2"/>
  <c r="P199" i="2"/>
  <c r="Q199" i="2"/>
  <c r="R199" i="2"/>
  <c r="S199" i="2"/>
  <c r="T199" i="2"/>
  <c r="U199" i="2"/>
  <c r="V199" i="2"/>
  <c r="W199" i="2"/>
  <c r="N200" i="2"/>
  <c r="O200" i="2"/>
  <c r="P200" i="2"/>
  <c r="Q200" i="2"/>
  <c r="R200" i="2"/>
  <c r="S200" i="2"/>
  <c r="T200" i="2"/>
  <c r="U200" i="2"/>
  <c r="X200" i="2" s="1"/>
  <c r="V200" i="2"/>
  <c r="W200" i="2"/>
  <c r="N201" i="2"/>
  <c r="O201" i="2"/>
  <c r="P201" i="2"/>
  <c r="Q201" i="2"/>
  <c r="R201" i="2"/>
  <c r="S201" i="2"/>
  <c r="T201" i="2"/>
  <c r="U201" i="2"/>
  <c r="V201" i="2"/>
  <c r="W201" i="2"/>
  <c r="N202" i="2"/>
  <c r="O202" i="2"/>
  <c r="X202" i="2" s="1"/>
  <c r="P202" i="2"/>
  <c r="Q202" i="2"/>
  <c r="R202" i="2"/>
  <c r="S202" i="2"/>
  <c r="T202" i="2"/>
  <c r="U202" i="2"/>
  <c r="V202" i="2"/>
  <c r="W202" i="2"/>
  <c r="N203" i="2"/>
  <c r="O203" i="2"/>
  <c r="P203" i="2"/>
  <c r="Q203" i="2"/>
  <c r="R203" i="2"/>
  <c r="S203" i="2"/>
  <c r="T203" i="2"/>
  <c r="U203" i="2"/>
  <c r="V203" i="2"/>
  <c r="W203" i="2"/>
  <c r="N204" i="2"/>
  <c r="O204" i="2"/>
  <c r="P204" i="2"/>
  <c r="Q204" i="2"/>
  <c r="R204" i="2"/>
  <c r="S204" i="2"/>
  <c r="T204" i="2"/>
  <c r="U204" i="2"/>
  <c r="V204" i="2"/>
  <c r="W204" i="2"/>
  <c r="N205" i="2"/>
  <c r="X205" i="2" s="1"/>
  <c r="O205" i="2"/>
  <c r="P205" i="2"/>
  <c r="Q205" i="2"/>
  <c r="R205" i="2"/>
  <c r="S205" i="2"/>
  <c r="T205" i="2"/>
  <c r="U205" i="2"/>
  <c r="V205" i="2"/>
  <c r="W205" i="2"/>
  <c r="N206" i="2"/>
  <c r="O206" i="2"/>
  <c r="P206" i="2"/>
  <c r="Q206" i="2"/>
  <c r="R206" i="2"/>
  <c r="S206" i="2"/>
  <c r="T206" i="2"/>
  <c r="U206" i="2"/>
  <c r="V206" i="2"/>
  <c r="W206" i="2"/>
  <c r="N207" i="2"/>
  <c r="O207" i="2"/>
  <c r="P207" i="2"/>
  <c r="Q207" i="2"/>
  <c r="R207" i="2"/>
  <c r="S207" i="2"/>
  <c r="T207" i="2"/>
  <c r="U207" i="2"/>
  <c r="V207" i="2"/>
  <c r="W207" i="2"/>
  <c r="N208" i="2"/>
  <c r="X208" i="2" s="1"/>
  <c r="O208" i="2"/>
  <c r="P208" i="2"/>
  <c r="Q208" i="2"/>
  <c r="R208" i="2"/>
  <c r="S208" i="2"/>
  <c r="T208" i="2"/>
  <c r="U208" i="2"/>
  <c r="V208" i="2"/>
  <c r="W208" i="2"/>
  <c r="N209" i="2"/>
  <c r="O209" i="2"/>
  <c r="P209" i="2"/>
  <c r="Q209" i="2"/>
  <c r="R209" i="2"/>
  <c r="S209" i="2"/>
  <c r="T209" i="2"/>
  <c r="U209" i="2"/>
  <c r="V209" i="2"/>
  <c r="W209" i="2"/>
  <c r="N210" i="2"/>
  <c r="O210" i="2"/>
  <c r="P210" i="2"/>
  <c r="Q210" i="2"/>
  <c r="R210" i="2"/>
  <c r="S210" i="2"/>
  <c r="T210" i="2"/>
  <c r="U210" i="2"/>
  <c r="V210" i="2"/>
  <c r="W210" i="2"/>
  <c r="N211" i="2"/>
  <c r="X211" i="2" s="1"/>
  <c r="O211" i="2"/>
  <c r="P211" i="2"/>
  <c r="Q211" i="2"/>
  <c r="R211" i="2"/>
  <c r="S211" i="2"/>
  <c r="T211" i="2"/>
  <c r="U211" i="2"/>
  <c r="V211" i="2"/>
  <c r="W211" i="2"/>
  <c r="N212" i="2"/>
  <c r="O212" i="2"/>
  <c r="P212" i="2"/>
  <c r="Q212" i="2"/>
  <c r="R212" i="2"/>
  <c r="S212" i="2"/>
  <c r="T212" i="2"/>
  <c r="U212" i="2"/>
  <c r="X212" i="2" s="1"/>
  <c r="V212" i="2"/>
  <c r="W212" i="2"/>
  <c r="N213" i="2"/>
  <c r="O213" i="2"/>
  <c r="P213" i="2"/>
  <c r="Q213" i="2"/>
  <c r="R213" i="2"/>
  <c r="S213" i="2"/>
  <c r="T213" i="2"/>
  <c r="U213" i="2"/>
  <c r="V213" i="2"/>
  <c r="W213" i="2"/>
  <c r="N214" i="2"/>
  <c r="O214" i="2"/>
  <c r="X214" i="2" s="1"/>
  <c r="P214" i="2"/>
  <c r="Q214" i="2"/>
  <c r="R214" i="2"/>
  <c r="S214" i="2"/>
  <c r="T214" i="2"/>
  <c r="U214" i="2"/>
  <c r="V214" i="2"/>
  <c r="W214" i="2"/>
  <c r="N215" i="2"/>
  <c r="O215" i="2"/>
  <c r="P215" i="2"/>
  <c r="Q215" i="2"/>
  <c r="R215" i="2"/>
  <c r="S215" i="2"/>
  <c r="T215" i="2"/>
  <c r="U215" i="2"/>
  <c r="V215" i="2"/>
  <c r="W215" i="2"/>
  <c r="N216" i="2"/>
  <c r="O216" i="2"/>
  <c r="P216" i="2"/>
  <c r="Q216" i="2"/>
  <c r="R216" i="2"/>
  <c r="S216" i="2"/>
  <c r="T216" i="2"/>
  <c r="U216" i="2"/>
  <c r="V216" i="2"/>
  <c r="W216" i="2"/>
  <c r="N217" i="2"/>
  <c r="X217" i="2" s="1"/>
  <c r="O217" i="2"/>
  <c r="P217" i="2"/>
  <c r="Q217" i="2"/>
  <c r="R217" i="2"/>
  <c r="S217" i="2"/>
  <c r="T217" i="2"/>
  <c r="U217" i="2"/>
  <c r="V217" i="2"/>
  <c r="W217" i="2"/>
  <c r="N218" i="2"/>
  <c r="O218" i="2"/>
  <c r="P218" i="2"/>
  <c r="Q218" i="2"/>
  <c r="R218" i="2"/>
  <c r="S218" i="2"/>
  <c r="T218" i="2"/>
  <c r="U218" i="2"/>
  <c r="V218" i="2"/>
  <c r="W218" i="2"/>
  <c r="N219" i="2"/>
  <c r="O219" i="2"/>
  <c r="P219" i="2"/>
  <c r="Q219" i="2"/>
  <c r="R219" i="2"/>
  <c r="S219" i="2"/>
  <c r="T219" i="2"/>
  <c r="U219" i="2"/>
  <c r="V219" i="2"/>
  <c r="W219" i="2"/>
  <c r="N220" i="2"/>
  <c r="X220" i="2" s="1"/>
  <c r="O220" i="2"/>
  <c r="P220" i="2"/>
  <c r="Q220" i="2"/>
  <c r="R220" i="2"/>
  <c r="S220" i="2"/>
  <c r="T220" i="2"/>
  <c r="U220" i="2"/>
  <c r="V220" i="2"/>
  <c r="W220" i="2"/>
  <c r="N221" i="2"/>
  <c r="O221" i="2"/>
  <c r="P221" i="2"/>
  <c r="Q221" i="2"/>
  <c r="R221" i="2"/>
  <c r="S221" i="2"/>
  <c r="T221" i="2"/>
  <c r="U221" i="2"/>
  <c r="V221" i="2"/>
  <c r="W221" i="2"/>
  <c r="N222" i="2"/>
  <c r="O222" i="2"/>
  <c r="P222" i="2"/>
  <c r="Q222" i="2"/>
  <c r="R222" i="2"/>
  <c r="S222" i="2"/>
  <c r="T222" i="2"/>
  <c r="U222" i="2"/>
  <c r="V222" i="2"/>
  <c r="W222" i="2"/>
  <c r="N223" i="2"/>
  <c r="X223" i="2" s="1"/>
  <c r="O223" i="2"/>
  <c r="P223" i="2"/>
  <c r="Q223" i="2"/>
  <c r="R223" i="2"/>
  <c r="S223" i="2"/>
  <c r="T223" i="2"/>
  <c r="U223" i="2"/>
  <c r="V223" i="2"/>
  <c r="W223" i="2"/>
  <c r="N224" i="2"/>
  <c r="O224" i="2"/>
  <c r="P224" i="2"/>
  <c r="Q224" i="2"/>
  <c r="R224" i="2"/>
  <c r="S224" i="2"/>
  <c r="T224" i="2"/>
  <c r="U224" i="2"/>
  <c r="X224" i="2" s="1"/>
  <c r="V224" i="2"/>
  <c r="W224" i="2"/>
  <c r="N225" i="2"/>
  <c r="O225" i="2"/>
  <c r="P225" i="2"/>
  <c r="Q225" i="2"/>
  <c r="R225" i="2"/>
  <c r="S225" i="2"/>
  <c r="T225" i="2"/>
  <c r="U225" i="2"/>
  <c r="V225" i="2"/>
  <c r="W225" i="2"/>
  <c r="N226" i="2"/>
  <c r="O226" i="2"/>
  <c r="X226" i="2" s="1"/>
  <c r="P226" i="2"/>
  <c r="Q226" i="2"/>
  <c r="R226" i="2"/>
  <c r="S226" i="2"/>
  <c r="T226" i="2"/>
  <c r="U226" i="2"/>
  <c r="V226" i="2"/>
  <c r="W226" i="2"/>
  <c r="N227" i="2"/>
  <c r="O227" i="2"/>
  <c r="P227" i="2"/>
  <c r="Q227" i="2"/>
  <c r="R227" i="2"/>
  <c r="S227" i="2"/>
  <c r="T227" i="2"/>
  <c r="U227" i="2"/>
  <c r="V227" i="2"/>
  <c r="W227" i="2"/>
  <c r="N228" i="2"/>
  <c r="O228" i="2"/>
  <c r="P228" i="2"/>
  <c r="Q228" i="2"/>
  <c r="R228" i="2"/>
  <c r="S228" i="2"/>
  <c r="T228" i="2"/>
  <c r="U228" i="2"/>
  <c r="V228" i="2"/>
  <c r="W228" i="2"/>
  <c r="N229" i="2"/>
  <c r="X229" i="2" s="1"/>
  <c r="O229" i="2"/>
  <c r="P229" i="2"/>
  <c r="Q229" i="2"/>
  <c r="R229" i="2"/>
  <c r="S229" i="2"/>
  <c r="T229" i="2"/>
  <c r="U229" i="2"/>
  <c r="V229" i="2"/>
  <c r="W229" i="2"/>
  <c r="N230" i="2"/>
  <c r="O230" i="2"/>
  <c r="P230" i="2"/>
  <c r="Q230" i="2"/>
  <c r="R230" i="2"/>
  <c r="S230" i="2"/>
  <c r="T230" i="2"/>
  <c r="U230" i="2"/>
  <c r="V230" i="2"/>
  <c r="W230" i="2"/>
  <c r="N231" i="2"/>
  <c r="O231" i="2"/>
  <c r="P231" i="2"/>
  <c r="Q231" i="2"/>
  <c r="R231" i="2"/>
  <c r="S231" i="2"/>
  <c r="T231" i="2"/>
  <c r="U231" i="2"/>
  <c r="V231" i="2"/>
  <c r="W231" i="2"/>
  <c r="N232" i="2"/>
  <c r="X232" i="2" s="1"/>
  <c r="O232" i="2"/>
  <c r="P232" i="2"/>
  <c r="Q232" i="2"/>
  <c r="R232" i="2"/>
  <c r="S232" i="2"/>
  <c r="T232" i="2"/>
  <c r="U232" i="2"/>
  <c r="V232" i="2"/>
  <c r="W232" i="2"/>
  <c r="N233" i="2"/>
  <c r="O233" i="2"/>
  <c r="P233" i="2"/>
  <c r="Q233" i="2"/>
  <c r="R233" i="2"/>
  <c r="S233" i="2"/>
  <c r="T233" i="2"/>
  <c r="U233" i="2"/>
  <c r="V233" i="2"/>
  <c r="W233" i="2"/>
  <c r="N234" i="2"/>
  <c r="O234" i="2"/>
  <c r="P234" i="2"/>
  <c r="Q234" i="2"/>
  <c r="R234" i="2"/>
  <c r="S234" i="2"/>
  <c r="T234" i="2"/>
  <c r="U234" i="2"/>
  <c r="V234" i="2"/>
  <c r="W234" i="2"/>
  <c r="N235" i="2"/>
  <c r="X235" i="2" s="1"/>
  <c r="O235" i="2"/>
  <c r="P235" i="2"/>
  <c r="Q235" i="2"/>
  <c r="R235" i="2"/>
  <c r="S235" i="2"/>
  <c r="T235" i="2"/>
  <c r="U235" i="2"/>
  <c r="V235" i="2"/>
  <c r="W235" i="2"/>
  <c r="N236" i="2"/>
  <c r="O236" i="2"/>
  <c r="P236" i="2"/>
  <c r="Q236" i="2"/>
  <c r="R236" i="2"/>
  <c r="S236" i="2"/>
  <c r="T236" i="2"/>
  <c r="U236" i="2"/>
  <c r="X236" i="2" s="1"/>
  <c r="V236" i="2"/>
  <c r="W236" i="2"/>
  <c r="N237" i="2"/>
  <c r="O237" i="2"/>
  <c r="P237" i="2"/>
  <c r="Q237" i="2"/>
  <c r="R237" i="2"/>
  <c r="S237" i="2"/>
  <c r="T237" i="2"/>
  <c r="U237" i="2"/>
  <c r="V237" i="2"/>
  <c r="W237" i="2"/>
  <c r="N238" i="2"/>
  <c r="O238" i="2"/>
  <c r="X238" i="2" s="1"/>
  <c r="P238" i="2"/>
  <c r="Q238" i="2"/>
  <c r="R238" i="2"/>
  <c r="S238" i="2"/>
  <c r="T238" i="2"/>
  <c r="U238" i="2"/>
  <c r="V238" i="2"/>
  <c r="W238" i="2"/>
  <c r="N239" i="2"/>
  <c r="O239" i="2"/>
  <c r="P239" i="2"/>
  <c r="Q239" i="2"/>
  <c r="R239" i="2"/>
  <c r="S239" i="2"/>
  <c r="T239" i="2"/>
  <c r="U239" i="2"/>
  <c r="V239" i="2"/>
  <c r="W239" i="2"/>
  <c r="N240" i="2"/>
  <c r="O240" i="2"/>
  <c r="P240" i="2"/>
  <c r="Q240" i="2"/>
  <c r="R240" i="2"/>
  <c r="S240" i="2"/>
  <c r="T240" i="2"/>
  <c r="U240" i="2"/>
  <c r="V240" i="2"/>
  <c r="W240" i="2"/>
  <c r="N241" i="2"/>
  <c r="X241" i="2" s="1"/>
  <c r="O241" i="2"/>
  <c r="P241" i="2"/>
  <c r="Q241" i="2"/>
  <c r="R241" i="2"/>
  <c r="S241" i="2"/>
  <c r="T241" i="2"/>
  <c r="U241" i="2"/>
  <c r="V241" i="2"/>
  <c r="W241" i="2"/>
  <c r="N242" i="2"/>
  <c r="O242" i="2"/>
  <c r="P242" i="2"/>
  <c r="Q242" i="2"/>
  <c r="R242" i="2"/>
  <c r="S242" i="2"/>
  <c r="T242" i="2"/>
  <c r="U242" i="2"/>
  <c r="V242" i="2"/>
  <c r="W242" i="2"/>
  <c r="N243" i="2"/>
  <c r="O243" i="2"/>
  <c r="P243" i="2"/>
  <c r="Q243" i="2"/>
  <c r="R243" i="2"/>
  <c r="S243" i="2"/>
  <c r="T243" i="2"/>
  <c r="U243" i="2"/>
  <c r="V243" i="2"/>
  <c r="W243" i="2"/>
  <c r="N244" i="2"/>
  <c r="X244" i="2" s="1"/>
  <c r="O244" i="2"/>
  <c r="P244" i="2"/>
  <c r="Q244" i="2"/>
  <c r="R244" i="2"/>
  <c r="S244" i="2"/>
  <c r="T244" i="2"/>
  <c r="U244" i="2"/>
  <c r="V244" i="2"/>
  <c r="W244" i="2"/>
  <c r="N245" i="2"/>
  <c r="O245" i="2"/>
  <c r="P245" i="2"/>
  <c r="Q245" i="2"/>
  <c r="R245" i="2"/>
  <c r="S245" i="2"/>
  <c r="T245" i="2"/>
  <c r="U245" i="2"/>
  <c r="V245" i="2"/>
  <c r="W245" i="2"/>
  <c r="N246" i="2"/>
  <c r="O246" i="2"/>
  <c r="P246" i="2"/>
  <c r="Q246" i="2"/>
  <c r="R246" i="2"/>
  <c r="S246" i="2"/>
  <c r="T246" i="2"/>
  <c r="U246" i="2"/>
  <c r="V246" i="2"/>
  <c r="W246" i="2"/>
  <c r="N247" i="2"/>
  <c r="X247" i="2" s="1"/>
  <c r="O247" i="2"/>
  <c r="P247" i="2"/>
  <c r="Q247" i="2"/>
  <c r="R247" i="2"/>
  <c r="S247" i="2"/>
  <c r="T247" i="2"/>
  <c r="U247" i="2"/>
  <c r="V247" i="2"/>
  <c r="W247" i="2"/>
  <c r="N248" i="2"/>
  <c r="O248" i="2"/>
  <c r="P248" i="2"/>
  <c r="Q248" i="2"/>
  <c r="R248" i="2"/>
  <c r="S248" i="2"/>
  <c r="T248" i="2"/>
  <c r="U248" i="2"/>
  <c r="X248" i="2" s="1"/>
  <c r="V248" i="2"/>
  <c r="W248" i="2"/>
  <c r="N249" i="2"/>
  <c r="O249" i="2"/>
  <c r="P249" i="2"/>
  <c r="Q249" i="2"/>
  <c r="R249" i="2"/>
  <c r="S249" i="2"/>
  <c r="T249" i="2"/>
  <c r="U249" i="2"/>
  <c r="V249" i="2"/>
  <c r="W249" i="2"/>
  <c r="N250" i="2"/>
  <c r="O250" i="2"/>
  <c r="X250" i="2" s="1"/>
  <c r="P250" i="2"/>
  <c r="Q250" i="2"/>
  <c r="R250" i="2"/>
  <c r="S250" i="2"/>
  <c r="T250" i="2"/>
  <c r="U250" i="2"/>
  <c r="V250" i="2"/>
  <c r="W250" i="2"/>
  <c r="N251" i="2"/>
  <c r="O251" i="2"/>
  <c r="P251" i="2"/>
  <c r="Q251" i="2"/>
  <c r="R251" i="2"/>
  <c r="S251" i="2"/>
  <c r="T251" i="2"/>
  <c r="U251" i="2"/>
  <c r="V251" i="2"/>
  <c r="W251" i="2"/>
  <c r="N252" i="2"/>
  <c r="O252" i="2"/>
  <c r="P252" i="2"/>
  <c r="Q252" i="2"/>
  <c r="R252" i="2"/>
  <c r="S252" i="2"/>
  <c r="T252" i="2"/>
  <c r="U252" i="2"/>
  <c r="V252" i="2"/>
  <c r="W252" i="2"/>
  <c r="N253" i="2"/>
  <c r="X253" i="2" s="1"/>
  <c r="O253" i="2"/>
  <c r="P253" i="2"/>
  <c r="Q253" i="2"/>
  <c r="R253" i="2"/>
  <c r="S253" i="2"/>
  <c r="T253" i="2"/>
  <c r="U253" i="2"/>
  <c r="V253" i="2"/>
  <c r="W253" i="2"/>
  <c r="N254" i="2"/>
  <c r="O254" i="2"/>
  <c r="P254" i="2"/>
  <c r="Q254" i="2"/>
  <c r="R254" i="2"/>
  <c r="S254" i="2"/>
  <c r="T254" i="2"/>
  <c r="U254" i="2"/>
  <c r="V254" i="2"/>
  <c r="W254" i="2"/>
  <c r="N255" i="2"/>
  <c r="O255" i="2"/>
  <c r="P255" i="2"/>
  <c r="Q255" i="2"/>
  <c r="R255" i="2"/>
  <c r="S255" i="2"/>
  <c r="T255" i="2"/>
  <c r="U255" i="2"/>
  <c r="V255" i="2"/>
  <c r="W255" i="2"/>
  <c r="N256" i="2"/>
  <c r="X256" i="2" s="1"/>
  <c r="O256" i="2"/>
  <c r="P256" i="2"/>
  <c r="Q256" i="2"/>
  <c r="R256" i="2"/>
  <c r="S256" i="2"/>
  <c r="T256" i="2"/>
  <c r="U256" i="2"/>
  <c r="V256" i="2"/>
  <c r="W256" i="2"/>
  <c r="N257" i="2"/>
  <c r="O257" i="2"/>
  <c r="P257" i="2"/>
  <c r="Q257" i="2"/>
  <c r="R257" i="2"/>
  <c r="S257" i="2"/>
  <c r="T257" i="2"/>
  <c r="U257" i="2"/>
  <c r="V257" i="2"/>
  <c r="W257" i="2"/>
  <c r="N258" i="2"/>
  <c r="O258" i="2"/>
  <c r="P258" i="2"/>
  <c r="Q258" i="2"/>
  <c r="R258" i="2"/>
  <c r="S258" i="2"/>
  <c r="T258" i="2"/>
  <c r="U258" i="2"/>
  <c r="V258" i="2"/>
  <c r="W258" i="2"/>
  <c r="N259" i="2"/>
  <c r="X259" i="2" s="1"/>
  <c r="O259" i="2"/>
  <c r="P259" i="2"/>
  <c r="Q259" i="2"/>
  <c r="R259" i="2"/>
  <c r="S259" i="2"/>
  <c r="T259" i="2"/>
  <c r="U259" i="2"/>
  <c r="V259" i="2"/>
  <c r="W259" i="2"/>
  <c r="N260" i="2"/>
  <c r="O260" i="2"/>
  <c r="P260" i="2"/>
  <c r="Q260" i="2"/>
  <c r="R260" i="2"/>
  <c r="S260" i="2"/>
  <c r="T260" i="2"/>
  <c r="U260" i="2"/>
  <c r="X260" i="2" s="1"/>
  <c r="V260" i="2"/>
  <c r="W260" i="2"/>
  <c r="N261" i="2"/>
  <c r="O261" i="2"/>
  <c r="P261" i="2"/>
  <c r="Q261" i="2"/>
  <c r="R261" i="2"/>
  <c r="S261" i="2"/>
  <c r="T261" i="2"/>
  <c r="U261" i="2"/>
  <c r="V261" i="2"/>
  <c r="W261" i="2"/>
  <c r="N262" i="2"/>
  <c r="O262" i="2"/>
  <c r="X262" i="2" s="1"/>
  <c r="P262" i="2"/>
  <c r="Q262" i="2"/>
  <c r="R262" i="2"/>
  <c r="S262" i="2"/>
  <c r="T262" i="2"/>
  <c r="U262" i="2"/>
  <c r="V262" i="2"/>
  <c r="W262" i="2"/>
  <c r="N263" i="2"/>
  <c r="O263" i="2"/>
  <c r="P263" i="2"/>
  <c r="Q263" i="2"/>
  <c r="R263" i="2"/>
  <c r="S263" i="2"/>
  <c r="T263" i="2"/>
  <c r="U263" i="2"/>
  <c r="V263" i="2"/>
  <c r="W263" i="2"/>
  <c r="N264" i="2"/>
  <c r="O264" i="2"/>
  <c r="P264" i="2"/>
  <c r="Q264" i="2"/>
  <c r="R264" i="2"/>
  <c r="S264" i="2"/>
  <c r="T264" i="2"/>
  <c r="U264" i="2"/>
  <c r="V264" i="2"/>
  <c r="W264" i="2"/>
  <c r="N265" i="2"/>
  <c r="X265" i="2" s="1"/>
  <c r="O265" i="2"/>
  <c r="P265" i="2"/>
  <c r="Q265" i="2"/>
  <c r="R265" i="2"/>
  <c r="S265" i="2"/>
  <c r="T265" i="2"/>
  <c r="U265" i="2"/>
  <c r="V265" i="2"/>
  <c r="W265" i="2"/>
  <c r="N266" i="2"/>
  <c r="O266" i="2"/>
  <c r="P266" i="2"/>
  <c r="Q266" i="2"/>
  <c r="R266" i="2"/>
  <c r="S266" i="2"/>
  <c r="T266" i="2"/>
  <c r="U266" i="2"/>
  <c r="V266" i="2"/>
  <c r="W266" i="2"/>
  <c r="N267" i="2"/>
  <c r="O267" i="2"/>
  <c r="P267" i="2"/>
  <c r="Q267" i="2"/>
  <c r="R267" i="2"/>
  <c r="S267" i="2"/>
  <c r="T267" i="2"/>
  <c r="U267" i="2"/>
  <c r="V267" i="2"/>
  <c r="W267" i="2"/>
  <c r="N268" i="2"/>
  <c r="X268" i="2" s="1"/>
  <c r="O268" i="2"/>
  <c r="P268" i="2"/>
  <c r="Q268" i="2"/>
  <c r="R268" i="2"/>
  <c r="S268" i="2"/>
  <c r="T268" i="2"/>
  <c r="U268" i="2"/>
  <c r="V268" i="2"/>
  <c r="W268" i="2"/>
  <c r="N269" i="2"/>
  <c r="O269" i="2"/>
  <c r="P269" i="2"/>
  <c r="Q269" i="2"/>
  <c r="R269" i="2"/>
  <c r="S269" i="2"/>
  <c r="T269" i="2"/>
  <c r="U269" i="2"/>
  <c r="V269" i="2"/>
  <c r="W269" i="2"/>
  <c r="N270" i="2"/>
  <c r="O270" i="2"/>
  <c r="P270" i="2"/>
  <c r="Q270" i="2"/>
  <c r="R270" i="2"/>
  <c r="S270" i="2"/>
  <c r="T270" i="2"/>
  <c r="U270" i="2"/>
  <c r="V270" i="2"/>
  <c r="W270" i="2"/>
  <c r="N271" i="2"/>
  <c r="X271" i="2" s="1"/>
  <c r="O271" i="2"/>
  <c r="P271" i="2"/>
  <c r="Q271" i="2"/>
  <c r="R271" i="2"/>
  <c r="S271" i="2"/>
  <c r="T271" i="2"/>
  <c r="U271" i="2"/>
  <c r="V271" i="2"/>
  <c r="W271" i="2"/>
  <c r="N272" i="2"/>
  <c r="O272" i="2"/>
  <c r="P272" i="2"/>
  <c r="Q272" i="2"/>
  <c r="R272" i="2"/>
  <c r="S272" i="2"/>
  <c r="T272" i="2"/>
  <c r="U272" i="2"/>
  <c r="X272" i="2" s="1"/>
  <c r="V272" i="2"/>
  <c r="W272" i="2"/>
  <c r="N273" i="2"/>
  <c r="O273" i="2"/>
  <c r="P273" i="2"/>
  <c r="Q273" i="2"/>
  <c r="R273" i="2"/>
  <c r="S273" i="2"/>
  <c r="T273" i="2"/>
  <c r="U273" i="2"/>
  <c r="V273" i="2"/>
  <c r="W273" i="2"/>
  <c r="N274" i="2"/>
  <c r="X274" i="2" s="1"/>
  <c r="O274" i="2"/>
  <c r="P274" i="2"/>
  <c r="Q274" i="2"/>
  <c r="R274" i="2"/>
  <c r="S274" i="2"/>
  <c r="T274" i="2"/>
  <c r="U274" i="2"/>
  <c r="V274" i="2"/>
  <c r="W274" i="2"/>
  <c r="N275" i="2"/>
  <c r="O275" i="2"/>
  <c r="P275" i="2"/>
  <c r="Q275" i="2"/>
  <c r="R275" i="2"/>
  <c r="S275" i="2"/>
  <c r="T275" i="2"/>
  <c r="U275" i="2"/>
  <c r="V275" i="2"/>
  <c r="W275" i="2"/>
  <c r="N276" i="2"/>
  <c r="O276" i="2"/>
  <c r="P276" i="2"/>
  <c r="Q276" i="2"/>
  <c r="R276" i="2"/>
  <c r="S276" i="2"/>
  <c r="T276" i="2"/>
  <c r="U276" i="2"/>
  <c r="V276" i="2"/>
  <c r="W276" i="2"/>
  <c r="N277" i="2"/>
  <c r="X277" i="2" s="1"/>
  <c r="O277" i="2"/>
  <c r="P277" i="2"/>
  <c r="Q277" i="2"/>
  <c r="R277" i="2"/>
  <c r="S277" i="2"/>
  <c r="T277" i="2"/>
  <c r="U277" i="2"/>
  <c r="V277" i="2"/>
  <c r="W277" i="2"/>
  <c r="N278" i="2"/>
  <c r="O278" i="2"/>
  <c r="P278" i="2"/>
  <c r="Q278" i="2"/>
  <c r="R278" i="2"/>
  <c r="S278" i="2"/>
  <c r="T278" i="2"/>
  <c r="U278" i="2"/>
  <c r="V278" i="2"/>
  <c r="W278" i="2"/>
  <c r="N279" i="2"/>
  <c r="O279" i="2"/>
  <c r="P279" i="2"/>
  <c r="Q279" i="2"/>
  <c r="R279" i="2"/>
  <c r="S279" i="2"/>
  <c r="T279" i="2"/>
  <c r="U279" i="2"/>
  <c r="V279" i="2"/>
  <c r="W279" i="2"/>
  <c r="N280" i="2"/>
  <c r="X280" i="2" s="1"/>
  <c r="O280" i="2"/>
  <c r="P280" i="2"/>
  <c r="Q280" i="2"/>
  <c r="R280" i="2"/>
  <c r="S280" i="2"/>
  <c r="T280" i="2"/>
  <c r="U280" i="2"/>
  <c r="V280" i="2"/>
  <c r="W280" i="2"/>
  <c r="N281" i="2"/>
  <c r="O281" i="2"/>
  <c r="P281" i="2"/>
  <c r="Q281" i="2"/>
  <c r="R281" i="2"/>
  <c r="S281" i="2"/>
  <c r="T281" i="2"/>
  <c r="U281" i="2"/>
  <c r="V281" i="2"/>
  <c r="W281" i="2"/>
  <c r="N282" i="2"/>
  <c r="O282" i="2"/>
  <c r="P282" i="2"/>
  <c r="Q282" i="2"/>
  <c r="R282" i="2"/>
  <c r="S282" i="2"/>
  <c r="T282" i="2"/>
  <c r="U282" i="2"/>
  <c r="V282" i="2"/>
  <c r="W282" i="2"/>
  <c r="N283" i="2"/>
  <c r="X283" i="2" s="1"/>
  <c r="O283" i="2"/>
  <c r="P283" i="2"/>
  <c r="Q283" i="2"/>
  <c r="R283" i="2"/>
  <c r="S283" i="2"/>
  <c r="T283" i="2"/>
  <c r="U283" i="2"/>
  <c r="V283" i="2"/>
  <c r="W283" i="2"/>
  <c r="N284" i="2"/>
  <c r="O284" i="2"/>
  <c r="P284" i="2"/>
  <c r="Q284" i="2"/>
  <c r="R284" i="2"/>
  <c r="S284" i="2"/>
  <c r="T284" i="2"/>
  <c r="U284" i="2"/>
  <c r="X284" i="2" s="1"/>
  <c r="V284" i="2"/>
  <c r="W284" i="2"/>
  <c r="N285" i="2"/>
  <c r="O285" i="2"/>
  <c r="P285" i="2"/>
  <c r="Q285" i="2"/>
  <c r="R285" i="2"/>
  <c r="S285" i="2"/>
  <c r="T285" i="2"/>
  <c r="U285" i="2"/>
  <c r="V285" i="2"/>
  <c r="W285" i="2"/>
  <c r="N286" i="2"/>
  <c r="X286" i="2" s="1"/>
  <c r="O286" i="2"/>
  <c r="P286" i="2"/>
  <c r="Q286" i="2"/>
  <c r="R286" i="2"/>
  <c r="S286" i="2"/>
  <c r="T286" i="2"/>
  <c r="U286" i="2"/>
  <c r="V286" i="2"/>
  <c r="W286" i="2"/>
  <c r="N287" i="2"/>
  <c r="O287" i="2"/>
  <c r="P287" i="2"/>
  <c r="Q287" i="2"/>
  <c r="R287" i="2"/>
  <c r="S287" i="2"/>
  <c r="T287" i="2"/>
  <c r="U287" i="2"/>
  <c r="V287" i="2"/>
  <c r="W287" i="2"/>
  <c r="N288" i="2"/>
  <c r="O288" i="2"/>
  <c r="P288" i="2"/>
  <c r="Q288" i="2"/>
  <c r="R288" i="2"/>
  <c r="S288" i="2"/>
  <c r="T288" i="2"/>
  <c r="U288" i="2"/>
  <c r="V288" i="2"/>
  <c r="W288" i="2"/>
  <c r="N289" i="2"/>
  <c r="X289" i="2" s="1"/>
  <c r="O289" i="2"/>
  <c r="P289" i="2"/>
  <c r="Q289" i="2"/>
  <c r="R289" i="2"/>
  <c r="S289" i="2"/>
  <c r="T289" i="2"/>
  <c r="U289" i="2"/>
  <c r="V289" i="2"/>
  <c r="W289" i="2"/>
  <c r="N290" i="2"/>
  <c r="O290" i="2"/>
  <c r="P290" i="2"/>
  <c r="Q290" i="2"/>
  <c r="R290" i="2"/>
  <c r="S290" i="2"/>
  <c r="T290" i="2"/>
  <c r="U290" i="2"/>
  <c r="V290" i="2"/>
  <c r="W290" i="2"/>
  <c r="N291" i="2"/>
  <c r="O291" i="2"/>
  <c r="P291" i="2"/>
  <c r="Q291" i="2"/>
  <c r="R291" i="2"/>
  <c r="S291" i="2"/>
  <c r="T291" i="2"/>
  <c r="U291" i="2"/>
  <c r="V291" i="2"/>
  <c r="W291" i="2"/>
  <c r="N292" i="2"/>
  <c r="X292" i="2" s="1"/>
  <c r="O292" i="2"/>
  <c r="P292" i="2"/>
  <c r="Q292" i="2"/>
  <c r="R292" i="2"/>
  <c r="S292" i="2"/>
  <c r="T292" i="2"/>
  <c r="U292" i="2"/>
  <c r="V292" i="2"/>
  <c r="W292" i="2"/>
  <c r="N293" i="2"/>
  <c r="O293" i="2"/>
  <c r="P293" i="2"/>
  <c r="Q293" i="2"/>
  <c r="R293" i="2"/>
  <c r="S293" i="2"/>
  <c r="T293" i="2"/>
  <c r="U293" i="2"/>
  <c r="V293" i="2"/>
  <c r="W293" i="2"/>
  <c r="N294" i="2"/>
  <c r="O294" i="2"/>
  <c r="P294" i="2"/>
  <c r="Q294" i="2"/>
  <c r="R294" i="2"/>
  <c r="S294" i="2"/>
  <c r="T294" i="2"/>
  <c r="U294" i="2"/>
  <c r="V294" i="2"/>
  <c r="W294" i="2"/>
  <c r="N295" i="2"/>
  <c r="X295" i="2" s="1"/>
  <c r="O295" i="2"/>
  <c r="P295" i="2"/>
  <c r="Q295" i="2"/>
  <c r="R295" i="2"/>
  <c r="S295" i="2"/>
  <c r="T295" i="2"/>
  <c r="U295" i="2"/>
  <c r="V295" i="2"/>
  <c r="W295" i="2"/>
  <c r="N296" i="2"/>
  <c r="O296" i="2"/>
  <c r="P296" i="2"/>
  <c r="Q296" i="2"/>
  <c r="R296" i="2"/>
  <c r="S296" i="2"/>
  <c r="T296" i="2"/>
  <c r="U296" i="2"/>
  <c r="X296" i="2" s="1"/>
  <c r="V296" i="2"/>
  <c r="W296" i="2"/>
  <c r="N297" i="2"/>
  <c r="O297" i="2"/>
  <c r="P297" i="2"/>
  <c r="Q297" i="2"/>
  <c r="R297" i="2"/>
  <c r="S297" i="2"/>
  <c r="T297" i="2"/>
  <c r="U297" i="2"/>
  <c r="V297" i="2"/>
  <c r="W297" i="2"/>
  <c r="N298" i="2"/>
  <c r="X298" i="2" s="1"/>
  <c r="O298" i="2"/>
  <c r="P298" i="2"/>
  <c r="Q298" i="2"/>
  <c r="R298" i="2"/>
  <c r="S298" i="2"/>
  <c r="T298" i="2"/>
  <c r="U298" i="2"/>
  <c r="V298" i="2"/>
  <c r="W298" i="2"/>
  <c r="N299" i="2"/>
  <c r="O299" i="2"/>
  <c r="P299" i="2"/>
  <c r="Q299" i="2"/>
  <c r="R299" i="2"/>
  <c r="S299" i="2"/>
  <c r="T299" i="2"/>
  <c r="U299" i="2"/>
  <c r="V299" i="2"/>
  <c r="W299" i="2"/>
  <c r="N300" i="2"/>
  <c r="O300" i="2"/>
  <c r="P300" i="2"/>
  <c r="Q300" i="2"/>
  <c r="R300" i="2"/>
  <c r="S300" i="2"/>
  <c r="T300" i="2"/>
  <c r="U300" i="2"/>
  <c r="V300" i="2"/>
  <c r="W300" i="2"/>
  <c r="N301" i="2"/>
  <c r="X301" i="2" s="1"/>
  <c r="O301" i="2"/>
  <c r="P301" i="2"/>
  <c r="Q301" i="2"/>
  <c r="R301" i="2"/>
  <c r="S301" i="2"/>
  <c r="T301" i="2"/>
  <c r="U301" i="2"/>
  <c r="V301" i="2"/>
  <c r="W301" i="2"/>
  <c r="N302" i="2"/>
  <c r="O302" i="2"/>
  <c r="P302" i="2"/>
  <c r="Q302" i="2"/>
  <c r="R302" i="2"/>
  <c r="S302" i="2"/>
  <c r="T302" i="2"/>
  <c r="U302" i="2"/>
  <c r="V302" i="2"/>
  <c r="W302" i="2"/>
  <c r="N303" i="2"/>
  <c r="O303" i="2"/>
  <c r="P303" i="2"/>
  <c r="Q303" i="2"/>
  <c r="R303" i="2"/>
  <c r="S303" i="2"/>
  <c r="T303" i="2"/>
  <c r="U303" i="2"/>
  <c r="V303" i="2"/>
  <c r="W303" i="2"/>
  <c r="N304" i="2"/>
  <c r="X304" i="2" s="1"/>
  <c r="O304" i="2"/>
  <c r="P304" i="2"/>
  <c r="Q304" i="2"/>
  <c r="R304" i="2"/>
  <c r="S304" i="2"/>
  <c r="T304" i="2"/>
  <c r="U304" i="2"/>
  <c r="V304" i="2"/>
  <c r="W304" i="2"/>
  <c r="N305" i="2"/>
  <c r="O305" i="2"/>
  <c r="P305" i="2"/>
  <c r="Q305" i="2"/>
  <c r="R305" i="2"/>
  <c r="S305" i="2"/>
  <c r="T305" i="2"/>
  <c r="U305" i="2"/>
  <c r="V305" i="2"/>
  <c r="W305" i="2"/>
  <c r="N306" i="2"/>
  <c r="O306" i="2"/>
  <c r="P306" i="2"/>
  <c r="Q306" i="2"/>
  <c r="R306" i="2"/>
  <c r="S306" i="2"/>
  <c r="T306" i="2"/>
  <c r="U306" i="2"/>
  <c r="V306" i="2"/>
  <c r="W306" i="2"/>
  <c r="N307" i="2"/>
  <c r="X307" i="2" s="1"/>
  <c r="O307" i="2"/>
  <c r="P307" i="2"/>
  <c r="Q307" i="2"/>
  <c r="R307" i="2"/>
  <c r="S307" i="2"/>
  <c r="T307" i="2"/>
  <c r="U307" i="2"/>
  <c r="V307" i="2"/>
  <c r="W307" i="2"/>
  <c r="N308" i="2"/>
  <c r="O308" i="2"/>
  <c r="P308" i="2"/>
  <c r="Q308" i="2"/>
  <c r="R308" i="2"/>
  <c r="S308" i="2"/>
  <c r="T308" i="2"/>
  <c r="U308" i="2"/>
  <c r="X308" i="2" s="1"/>
  <c r="V308" i="2"/>
  <c r="W308" i="2"/>
  <c r="N309" i="2"/>
  <c r="O309" i="2"/>
  <c r="P309" i="2"/>
  <c r="Q309" i="2"/>
  <c r="R309" i="2"/>
  <c r="S309" i="2"/>
  <c r="T309" i="2"/>
  <c r="U309" i="2"/>
  <c r="V309" i="2"/>
  <c r="W309" i="2"/>
  <c r="N310" i="2"/>
  <c r="X310" i="2" s="1"/>
  <c r="O310" i="2"/>
  <c r="P310" i="2"/>
  <c r="Q310" i="2"/>
  <c r="R310" i="2"/>
  <c r="S310" i="2"/>
  <c r="T310" i="2"/>
  <c r="U310" i="2"/>
  <c r="V310" i="2"/>
  <c r="W310" i="2"/>
  <c r="N311" i="2"/>
  <c r="O311" i="2"/>
  <c r="P311" i="2"/>
  <c r="Q311" i="2"/>
  <c r="R311" i="2"/>
  <c r="S311" i="2"/>
  <c r="T311" i="2"/>
  <c r="U311" i="2"/>
  <c r="V311" i="2"/>
  <c r="W311" i="2"/>
  <c r="N312" i="2"/>
  <c r="O312" i="2"/>
  <c r="P312" i="2"/>
  <c r="Q312" i="2"/>
  <c r="R312" i="2"/>
  <c r="S312" i="2"/>
  <c r="T312" i="2"/>
  <c r="U312" i="2"/>
  <c r="V312" i="2"/>
  <c r="W312" i="2"/>
  <c r="N313" i="2"/>
  <c r="X313" i="2" s="1"/>
  <c r="O313" i="2"/>
  <c r="P313" i="2"/>
  <c r="Q313" i="2"/>
  <c r="R313" i="2"/>
  <c r="S313" i="2"/>
  <c r="T313" i="2"/>
  <c r="U313" i="2"/>
  <c r="V313" i="2"/>
  <c r="W313" i="2"/>
  <c r="N314" i="2"/>
  <c r="O314" i="2"/>
  <c r="P314" i="2"/>
  <c r="Q314" i="2"/>
  <c r="R314" i="2"/>
  <c r="S314" i="2"/>
  <c r="T314" i="2"/>
  <c r="U314" i="2"/>
  <c r="V314" i="2"/>
  <c r="W314" i="2"/>
  <c r="N315" i="2"/>
  <c r="O315" i="2"/>
  <c r="P315" i="2"/>
  <c r="Q315" i="2"/>
  <c r="R315" i="2"/>
  <c r="S315" i="2"/>
  <c r="T315" i="2"/>
  <c r="U315" i="2"/>
  <c r="V315" i="2"/>
  <c r="W315" i="2"/>
  <c r="N316" i="2"/>
  <c r="X316" i="2" s="1"/>
  <c r="O316" i="2"/>
  <c r="P316" i="2"/>
  <c r="Q316" i="2"/>
  <c r="R316" i="2"/>
  <c r="S316" i="2"/>
  <c r="T316" i="2"/>
  <c r="U316" i="2"/>
  <c r="V316" i="2"/>
  <c r="W316" i="2"/>
  <c r="N317" i="2"/>
  <c r="O317" i="2"/>
  <c r="P317" i="2"/>
  <c r="Q317" i="2"/>
  <c r="R317" i="2"/>
  <c r="S317" i="2"/>
  <c r="T317" i="2"/>
  <c r="U317" i="2"/>
  <c r="V317" i="2"/>
  <c r="W317" i="2"/>
  <c r="N318" i="2"/>
  <c r="O318" i="2"/>
  <c r="P318" i="2"/>
  <c r="Q318" i="2"/>
  <c r="R318" i="2"/>
  <c r="S318" i="2"/>
  <c r="T318" i="2"/>
  <c r="U318" i="2"/>
  <c r="V318" i="2"/>
  <c r="W318" i="2"/>
  <c r="N319" i="2"/>
  <c r="X319" i="2" s="1"/>
  <c r="O319" i="2"/>
  <c r="P319" i="2"/>
  <c r="Q319" i="2"/>
  <c r="R319" i="2"/>
  <c r="S319" i="2"/>
  <c r="T319" i="2"/>
  <c r="U319" i="2"/>
  <c r="V319" i="2"/>
  <c r="W319" i="2"/>
  <c r="N320" i="2"/>
  <c r="O320" i="2"/>
  <c r="P320" i="2"/>
  <c r="Q320" i="2"/>
  <c r="R320" i="2"/>
  <c r="S320" i="2"/>
  <c r="T320" i="2"/>
  <c r="U320" i="2"/>
  <c r="X320" i="2" s="1"/>
  <c r="V320" i="2"/>
  <c r="W320" i="2"/>
  <c r="N321" i="2"/>
  <c r="O321" i="2"/>
  <c r="P321" i="2"/>
  <c r="Q321" i="2"/>
  <c r="R321" i="2"/>
  <c r="S321" i="2"/>
  <c r="T321" i="2"/>
  <c r="U321" i="2"/>
  <c r="V321" i="2"/>
  <c r="W321" i="2"/>
  <c r="N322" i="2"/>
  <c r="X322" i="2" s="1"/>
  <c r="O322" i="2"/>
  <c r="P322" i="2"/>
  <c r="Q322" i="2"/>
  <c r="R322" i="2"/>
  <c r="S322" i="2"/>
  <c r="T322" i="2"/>
  <c r="U322" i="2"/>
  <c r="V322" i="2"/>
  <c r="W322" i="2"/>
  <c r="N323" i="2"/>
  <c r="O323" i="2"/>
  <c r="P323" i="2"/>
  <c r="Q323" i="2"/>
  <c r="R323" i="2"/>
  <c r="S323" i="2"/>
  <c r="T323" i="2"/>
  <c r="U323" i="2"/>
  <c r="V323" i="2"/>
  <c r="W323" i="2"/>
  <c r="N324" i="2"/>
  <c r="O324" i="2"/>
  <c r="P324" i="2"/>
  <c r="Q324" i="2"/>
  <c r="R324" i="2"/>
  <c r="S324" i="2"/>
  <c r="T324" i="2"/>
  <c r="U324" i="2"/>
  <c r="V324" i="2"/>
  <c r="W324" i="2"/>
  <c r="N325" i="2"/>
  <c r="X325" i="2" s="1"/>
  <c r="O325" i="2"/>
  <c r="P325" i="2"/>
  <c r="Q325" i="2"/>
  <c r="R325" i="2"/>
  <c r="S325" i="2"/>
  <c r="T325" i="2"/>
  <c r="U325" i="2"/>
  <c r="V325" i="2"/>
  <c r="W325" i="2"/>
  <c r="N326" i="2"/>
  <c r="O326" i="2"/>
  <c r="P326" i="2"/>
  <c r="Q326" i="2"/>
  <c r="R326" i="2"/>
  <c r="S326" i="2"/>
  <c r="T326" i="2"/>
  <c r="U326" i="2"/>
  <c r="V326" i="2"/>
  <c r="W326" i="2"/>
  <c r="N327" i="2"/>
  <c r="O327" i="2"/>
  <c r="P327" i="2"/>
  <c r="Q327" i="2"/>
  <c r="R327" i="2"/>
  <c r="S327" i="2"/>
  <c r="T327" i="2"/>
  <c r="U327" i="2"/>
  <c r="V327" i="2"/>
  <c r="W327" i="2"/>
  <c r="N328" i="2"/>
  <c r="X328" i="2" s="1"/>
  <c r="O328" i="2"/>
  <c r="P328" i="2"/>
  <c r="Q328" i="2"/>
  <c r="R328" i="2"/>
  <c r="S328" i="2"/>
  <c r="T328" i="2"/>
  <c r="U328" i="2"/>
  <c r="V328" i="2"/>
  <c r="W328" i="2"/>
  <c r="N329" i="2"/>
  <c r="O329" i="2"/>
  <c r="P329" i="2"/>
  <c r="Q329" i="2"/>
  <c r="R329" i="2"/>
  <c r="S329" i="2"/>
  <c r="T329" i="2"/>
  <c r="U329" i="2"/>
  <c r="V329" i="2"/>
  <c r="W329" i="2"/>
  <c r="N330" i="2"/>
  <c r="O330" i="2"/>
  <c r="P330" i="2"/>
  <c r="Q330" i="2"/>
  <c r="R330" i="2"/>
  <c r="S330" i="2"/>
  <c r="T330" i="2"/>
  <c r="U330" i="2"/>
  <c r="V330" i="2"/>
  <c r="W330" i="2"/>
  <c r="N331" i="2"/>
  <c r="X331" i="2" s="1"/>
  <c r="O331" i="2"/>
  <c r="P331" i="2"/>
  <c r="Q331" i="2"/>
  <c r="R331" i="2"/>
  <c r="S331" i="2"/>
  <c r="T331" i="2"/>
  <c r="U331" i="2"/>
  <c r="V331" i="2"/>
  <c r="W331" i="2"/>
  <c r="N332" i="2"/>
  <c r="O332" i="2"/>
  <c r="P332" i="2"/>
  <c r="Q332" i="2"/>
  <c r="R332" i="2"/>
  <c r="S332" i="2"/>
  <c r="T332" i="2"/>
  <c r="U332" i="2"/>
  <c r="X332" i="2" s="1"/>
  <c r="V332" i="2"/>
  <c r="W332" i="2"/>
  <c r="N333" i="2"/>
  <c r="O333" i="2"/>
  <c r="P333" i="2"/>
  <c r="Q333" i="2"/>
  <c r="R333" i="2"/>
  <c r="S333" i="2"/>
  <c r="T333" i="2"/>
  <c r="U333" i="2"/>
  <c r="V333" i="2"/>
  <c r="W333" i="2"/>
  <c r="N334" i="2"/>
  <c r="X334" i="2" s="1"/>
  <c r="O334" i="2"/>
  <c r="P334" i="2"/>
  <c r="Q334" i="2"/>
  <c r="R334" i="2"/>
  <c r="S334" i="2"/>
  <c r="T334" i="2"/>
  <c r="U334" i="2"/>
  <c r="V334" i="2"/>
  <c r="W334" i="2"/>
  <c r="N335" i="2"/>
  <c r="O335" i="2"/>
  <c r="P335" i="2"/>
  <c r="Q335" i="2"/>
  <c r="R335" i="2"/>
  <c r="S335" i="2"/>
  <c r="T335" i="2"/>
  <c r="U335" i="2"/>
  <c r="V335" i="2"/>
  <c r="W335" i="2"/>
  <c r="N336" i="2"/>
  <c r="O336" i="2"/>
  <c r="P336" i="2"/>
  <c r="Q336" i="2"/>
  <c r="R336" i="2"/>
  <c r="S336" i="2"/>
  <c r="T336" i="2"/>
  <c r="U336" i="2"/>
  <c r="V336" i="2"/>
  <c r="W336" i="2"/>
  <c r="N337" i="2"/>
  <c r="X337" i="2" s="1"/>
  <c r="O337" i="2"/>
  <c r="P337" i="2"/>
  <c r="Q337" i="2"/>
  <c r="R337" i="2"/>
  <c r="S337" i="2"/>
  <c r="T337" i="2"/>
  <c r="U337" i="2"/>
  <c r="V337" i="2"/>
  <c r="W337" i="2"/>
  <c r="N338" i="2"/>
  <c r="O338" i="2"/>
  <c r="P338" i="2"/>
  <c r="Q338" i="2"/>
  <c r="R338" i="2"/>
  <c r="S338" i="2"/>
  <c r="T338" i="2"/>
  <c r="U338" i="2"/>
  <c r="V338" i="2"/>
  <c r="W338" i="2"/>
  <c r="N339" i="2"/>
  <c r="O339" i="2"/>
  <c r="P339" i="2"/>
  <c r="Q339" i="2"/>
  <c r="R339" i="2"/>
  <c r="S339" i="2"/>
  <c r="T339" i="2"/>
  <c r="U339" i="2"/>
  <c r="V339" i="2"/>
  <c r="W339" i="2"/>
  <c r="N340" i="2"/>
  <c r="X340" i="2" s="1"/>
  <c r="O340" i="2"/>
  <c r="P340" i="2"/>
  <c r="Q340" i="2"/>
  <c r="R340" i="2"/>
  <c r="S340" i="2"/>
  <c r="T340" i="2"/>
  <c r="U340" i="2"/>
  <c r="V340" i="2"/>
  <c r="W340" i="2"/>
  <c r="N341" i="2"/>
  <c r="O341" i="2"/>
  <c r="P341" i="2"/>
  <c r="Q341" i="2"/>
  <c r="R341" i="2"/>
  <c r="S341" i="2"/>
  <c r="T341" i="2"/>
  <c r="U341" i="2"/>
  <c r="V341" i="2"/>
  <c r="W341" i="2"/>
  <c r="N342" i="2"/>
  <c r="O342" i="2"/>
  <c r="P342" i="2"/>
  <c r="Q342" i="2"/>
  <c r="R342" i="2"/>
  <c r="S342" i="2"/>
  <c r="T342" i="2"/>
  <c r="U342" i="2"/>
  <c r="V342" i="2"/>
  <c r="W342" i="2"/>
  <c r="N343" i="2"/>
  <c r="X343" i="2" s="1"/>
  <c r="O343" i="2"/>
  <c r="P343" i="2"/>
  <c r="Q343" i="2"/>
  <c r="R343" i="2"/>
  <c r="S343" i="2"/>
  <c r="T343" i="2"/>
  <c r="U343" i="2"/>
  <c r="V343" i="2"/>
  <c r="W343" i="2"/>
  <c r="N344" i="2"/>
  <c r="O344" i="2"/>
  <c r="P344" i="2"/>
  <c r="Q344" i="2"/>
  <c r="R344" i="2"/>
  <c r="S344" i="2"/>
  <c r="T344" i="2"/>
  <c r="U344" i="2"/>
  <c r="X344" i="2" s="1"/>
  <c r="V344" i="2"/>
  <c r="W344" i="2"/>
  <c r="N345" i="2"/>
  <c r="O345" i="2"/>
  <c r="P345" i="2"/>
  <c r="Q345" i="2"/>
  <c r="R345" i="2"/>
  <c r="S345" i="2"/>
  <c r="T345" i="2"/>
  <c r="U345" i="2"/>
  <c r="V345" i="2"/>
  <c r="W345" i="2"/>
  <c r="N346" i="2"/>
  <c r="X346" i="2" s="1"/>
  <c r="O346" i="2"/>
  <c r="P346" i="2"/>
  <c r="Q346" i="2"/>
  <c r="R346" i="2"/>
  <c r="S346" i="2"/>
  <c r="T346" i="2"/>
  <c r="U346" i="2"/>
  <c r="V346" i="2"/>
  <c r="W346" i="2"/>
  <c r="N347" i="2"/>
  <c r="O347" i="2"/>
  <c r="P347" i="2"/>
  <c r="Q347" i="2"/>
  <c r="R347" i="2"/>
  <c r="S347" i="2"/>
  <c r="T347" i="2"/>
  <c r="U347" i="2"/>
  <c r="V347" i="2"/>
  <c r="W347" i="2"/>
  <c r="N348" i="2"/>
  <c r="O348" i="2"/>
  <c r="P348" i="2"/>
  <c r="Q348" i="2"/>
  <c r="R348" i="2"/>
  <c r="S348" i="2"/>
  <c r="T348" i="2"/>
  <c r="U348" i="2"/>
  <c r="V348" i="2"/>
  <c r="W348" i="2"/>
  <c r="N349" i="2"/>
  <c r="X349" i="2" s="1"/>
  <c r="O349" i="2"/>
  <c r="P349" i="2"/>
  <c r="Q349" i="2"/>
  <c r="R349" i="2"/>
  <c r="S349" i="2"/>
  <c r="T349" i="2"/>
  <c r="U349" i="2"/>
  <c r="V349" i="2"/>
  <c r="W349" i="2"/>
  <c r="N350" i="2"/>
  <c r="O350" i="2"/>
  <c r="P350" i="2"/>
  <c r="Q350" i="2"/>
  <c r="R350" i="2"/>
  <c r="S350" i="2"/>
  <c r="T350" i="2"/>
  <c r="U350" i="2"/>
  <c r="V350" i="2"/>
  <c r="W350" i="2"/>
  <c r="N351" i="2"/>
  <c r="O351" i="2"/>
  <c r="P351" i="2"/>
  <c r="Q351" i="2"/>
  <c r="R351" i="2"/>
  <c r="S351" i="2"/>
  <c r="T351" i="2"/>
  <c r="U351" i="2"/>
  <c r="V351" i="2"/>
  <c r="W351" i="2"/>
  <c r="N352" i="2"/>
  <c r="X352" i="2" s="1"/>
  <c r="O352" i="2"/>
  <c r="P352" i="2"/>
  <c r="Q352" i="2"/>
  <c r="R352" i="2"/>
  <c r="S352" i="2"/>
  <c r="T352" i="2"/>
  <c r="U352" i="2"/>
  <c r="V352" i="2"/>
  <c r="W352" i="2"/>
  <c r="N353" i="2"/>
  <c r="O353" i="2"/>
  <c r="P353" i="2"/>
  <c r="Q353" i="2"/>
  <c r="R353" i="2"/>
  <c r="S353" i="2"/>
  <c r="T353" i="2"/>
  <c r="U353" i="2"/>
  <c r="V353" i="2"/>
  <c r="W353" i="2"/>
  <c r="N354" i="2"/>
  <c r="O354" i="2"/>
  <c r="P354" i="2"/>
  <c r="Q354" i="2"/>
  <c r="R354" i="2"/>
  <c r="S354" i="2"/>
  <c r="T354" i="2"/>
  <c r="U354" i="2"/>
  <c r="V354" i="2"/>
  <c r="W354" i="2"/>
  <c r="N355" i="2"/>
  <c r="X355" i="2" s="1"/>
  <c r="O355" i="2"/>
  <c r="P355" i="2"/>
  <c r="Q355" i="2"/>
  <c r="R355" i="2"/>
  <c r="S355" i="2"/>
  <c r="T355" i="2"/>
  <c r="U355" i="2"/>
  <c r="V355" i="2"/>
  <c r="W355" i="2"/>
  <c r="N356" i="2"/>
  <c r="O356" i="2"/>
  <c r="P356" i="2"/>
  <c r="Q356" i="2"/>
  <c r="R356" i="2"/>
  <c r="S356" i="2"/>
  <c r="T356" i="2"/>
  <c r="U356" i="2"/>
  <c r="X356" i="2" s="1"/>
  <c r="V356" i="2"/>
  <c r="W356" i="2"/>
  <c r="N357" i="2"/>
  <c r="O357" i="2"/>
  <c r="P357" i="2"/>
  <c r="Q357" i="2"/>
  <c r="R357" i="2"/>
  <c r="S357" i="2"/>
  <c r="T357" i="2"/>
  <c r="U357" i="2"/>
  <c r="V357" i="2"/>
  <c r="W357" i="2"/>
  <c r="N358" i="2"/>
  <c r="X358" i="2" s="1"/>
  <c r="O358" i="2"/>
  <c r="P358" i="2"/>
  <c r="Q358" i="2"/>
  <c r="R358" i="2"/>
  <c r="S358" i="2"/>
  <c r="T358" i="2"/>
  <c r="U358" i="2"/>
  <c r="V358" i="2"/>
  <c r="W358" i="2"/>
  <c r="N359" i="2"/>
  <c r="O359" i="2"/>
  <c r="P359" i="2"/>
  <c r="Q359" i="2"/>
  <c r="R359" i="2"/>
  <c r="S359" i="2"/>
  <c r="T359" i="2"/>
  <c r="U359" i="2"/>
  <c r="V359" i="2"/>
  <c r="W359" i="2"/>
  <c r="N360" i="2"/>
  <c r="O360" i="2"/>
  <c r="P360" i="2"/>
  <c r="Q360" i="2"/>
  <c r="R360" i="2"/>
  <c r="S360" i="2"/>
  <c r="T360" i="2"/>
  <c r="U360" i="2"/>
  <c r="V360" i="2"/>
  <c r="W360" i="2"/>
  <c r="N361" i="2"/>
  <c r="X361" i="2" s="1"/>
  <c r="O361" i="2"/>
  <c r="P361" i="2"/>
  <c r="Q361" i="2"/>
  <c r="R361" i="2"/>
  <c r="S361" i="2"/>
  <c r="T361" i="2"/>
  <c r="U361" i="2"/>
  <c r="V361" i="2"/>
  <c r="W361" i="2"/>
  <c r="N362" i="2"/>
  <c r="O362" i="2"/>
  <c r="P362" i="2"/>
  <c r="Q362" i="2"/>
  <c r="R362" i="2"/>
  <c r="S362" i="2"/>
  <c r="T362" i="2"/>
  <c r="U362" i="2"/>
  <c r="V362" i="2"/>
  <c r="W362" i="2"/>
  <c r="N363" i="2"/>
  <c r="O363" i="2"/>
  <c r="P363" i="2"/>
  <c r="Q363" i="2"/>
  <c r="R363" i="2"/>
  <c r="S363" i="2"/>
  <c r="T363" i="2"/>
  <c r="U363" i="2"/>
  <c r="V363" i="2"/>
  <c r="W363" i="2"/>
  <c r="N364" i="2"/>
  <c r="X364" i="2" s="1"/>
  <c r="O364" i="2"/>
  <c r="P364" i="2"/>
  <c r="Q364" i="2"/>
  <c r="R364" i="2"/>
  <c r="S364" i="2"/>
  <c r="T364" i="2"/>
  <c r="U364" i="2"/>
  <c r="V364" i="2"/>
  <c r="W364" i="2"/>
  <c r="N365" i="2"/>
  <c r="O365" i="2"/>
  <c r="P365" i="2"/>
  <c r="Q365" i="2"/>
  <c r="R365" i="2"/>
  <c r="S365" i="2"/>
  <c r="T365" i="2"/>
  <c r="U365" i="2"/>
  <c r="V365" i="2"/>
  <c r="W365" i="2"/>
  <c r="N366" i="2"/>
  <c r="O366" i="2"/>
  <c r="P366" i="2"/>
  <c r="Q366" i="2"/>
  <c r="R366" i="2"/>
  <c r="S366" i="2"/>
  <c r="T366" i="2"/>
  <c r="U366" i="2"/>
  <c r="V366" i="2"/>
  <c r="W366" i="2"/>
  <c r="N367" i="2"/>
  <c r="X367" i="2" s="1"/>
  <c r="O367" i="2"/>
  <c r="P367" i="2"/>
  <c r="Q367" i="2"/>
  <c r="R367" i="2"/>
  <c r="S367" i="2"/>
  <c r="T367" i="2"/>
  <c r="U367" i="2"/>
  <c r="V367" i="2"/>
  <c r="W367" i="2"/>
  <c r="N368" i="2"/>
  <c r="O368" i="2"/>
  <c r="P368" i="2"/>
  <c r="Q368" i="2"/>
  <c r="R368" i="2"/>
  <c r="S368" i="2"/>
  <c r="T368" i="2"/>
  <c r="U368" i="2"/>
  <c r="X368" i="2" s="1"/>
  <c r="V368" i="2"/>
  <c r="W368" i="2"/>
  <c r="N369" i="2"/>
  <c r="O369" i="2"/>
  <c r="P369" i="2"/>
  <c r="Q369" i="2"/>
  <c r="R369" i="2"/>
  <c r="S369" i="2"/>
  <c r="T369" i="2"/>
  <c r="U369" i="2"/>
  <c r="V369" i="2"/>
  <c r="W369" i="2"/>
  <c r="N370" i="2"/>
  <c r="X370" i="2" s="1"/>
  <c r="O370" i="2"/>
  <c r="P370" i="2"/>
  <c r="Q370" i="2"/>
  <c r="R370" i="2"/>
  <c r="S370" i="2"/>
  <c r="T370" i="2"/>
  <c r="U370" i="2"/>
  <c r="V370" i="2"/>
  <c r="W370" i="2"/>
  <c r="N371" i="2"/>
  <c r="O371" i="2"/>
  <c r="P371" i="2"/>
  <c r="Q371" i="2"/>
  <c r="R371" i="2"/>
  <c r="S371" i="2"/>
  <c r="T371" i="2"/>
  <c r="U371" i="2"/>
  <c r="V371" i="2"/>
  <c r="W371" i="2"/>
  <c r="N372" i="2"/>
  <c r="O372" i="2"/>
  <c r="P372" i="2"/>
  <c r="Q372" i="2"/>
  <c r="R372" i="2"/>
  <c r="S372" i="2"/>
  <c r="T372" i="2"/>
  <c r="U372" i="2"/>
  <c r="V372" i="2"/>
  <c r="W372" i="2"/>
  <c r="N373" i="2"/>
  <c r="X373" i="2" s="1"/>
  <c r="O373" i="2"/>
  <c r="P373" i="2"/>
  <c r="Q373" i="2"/>
  <c r="R373" i="2"/>
  <c r="S373" i="2"/>
  <c r="T373" i="2"/>
  <c r="U373" i="2"/>
  <c r="V373" i="2"/>
  <c r="W373" i="2"/>
  <c r="N374" i="2"/>
  <c r="O374" i="2"/>
  <c r="P374" i="2"/>
  <c r="Q374" i="2"/>
  <c r="R374" i="2"/>
  <c r="S374" i="2"/>
  <c r="T374" i="2"/>
  <c r="U374" i="2"/>
  <c r="V374" i="2"/>
  <c r="W374" i="2"/>
  <c r="N375" i="2"/>
  <c r="O375" i="2"/>
  <c r="P375" i="2"/>
  <c r="Q375" i="2"/>
  <c r="R375" i="2"/>
  <c r="S375" i="2"/>
  <c r="T375" i="2"/>
  <c r="U375" i="2"/>
  <c r="V375" i="2"/>
  <c r="W375" i="2"/>
  <c r="N376" i="2"/>
  <c r="X376" i="2" s="1"/>
  <c r="O376" i="2"/>
  <c r="P376" i="2"/>
  <c r="Q376" i="2"/>
  <c r="R376" i="2"/>
  <c r="S376" i="2"/>
  <c r="T376" i="2"/>
  <c r="U376" i="2"/>
  <c r="V376" i="2"/>
  <c r="W376" i="2"/>
  <c r="N377" i="2"/>
  <c r="O377" i="2"/>
  <c r="P377" i="2"/>
  <c r="Q377" i="2"/>
  <c r="R377" i="2"/>
  <c r="S377" i="2"/>
  <c r="T377" i="2"/>
  <c r="U377" i="2"/>
  <c r="V377" i="2"/>
  <c r="W377" i="2"/>
  <c r="N378" i="2"/>
  <c r="O378" i="2"/>
  <c r="P378" i="2"/>
  <c r="Q378" i="2"/>
  <c r="R378" i="2"/>
  <c r="S378" i="2"/>
  <c r="T378" i="2"/>
  <c r="U378" i="2"/>
  <c r="V378" i="2"/>
  <c r="W378" i="2"/>
  <c r="N379" i="2"/>
  <c r="X379" i="2" s="1"/>
  <c r="O379" i="2"/>
  <c r="P379" i="2"/>
  <c r="Q379" i="2"/>
  <c r="R379" i="2"/>
  <c r="S379" i="2"/>
  <c r="T379" i="2"/>
  <c r="U379" i="2"/>
  <c r="V379" i="2"/>
  <c r="W379" i="2"/>
  <c r="N380" i="2"/>
  <c r="O380" i="2"/>
  <c r="P380" i="2"/>
  <c r="Q380" i="2"/>
  <c r="R380" i="2"/>
  <c r="S380" i="2"/>
  <c r="T380" i="2"/>
  <c r="U380" i="2"/>
  <c r="X380" i="2" s="1"/>
  <c r="V380" i="2"/>
  <c r="W380" i="2"/>
  <c r="N381" i="2"/>
  <c r="O381" i="2"/>
  <c r="P381" i="2"/>
  <c r="Q381" i="2"/>
  <c r="R381" i="2"/>
  <c r="S381" i="2"/>
  <c r="T381" i="2"/>
  <c r="U381" i="2"/>
  <c r="V381" i="2"/>
  <c r="W381" i="2"/>
  <c r="N382" i="2"/>
  <c r="X382" i="2" s="1"/>
  <c r="O382" i="2"/>
  <c r="P382" i="2"/>
  <c r="Q382" i="2"/>
  <c r="R382" i="2"/>
  <c r="S382" i="2"/>
  <c r="T382" i="2"/>
  <c r="U382" i="2"/>
  <c r="V382" i="2"/>
  <c r="W382" i="2"/>
  <c r="N383" i="2"/>
  <c r="O383" i="2"/>
  <c r="P383" i="2"/>
  <c r="Q383" i="2"/>
  <c r="R383" i="2"/>
  <c r="S383" i="2"/>
  <c r="T383" i="2"/>
  <c r="U383" i="2"/>
  <c r="V383" i="2"/>
  <c r="W383" i="2"/>
  <c r="N384" i="2"/>
  <c r="O384" i="2"/>
  <c r="P384" i="2"/>
  <c r="Q384" i="2"/>
  <c r="R384" i="2"/>
  <c r="S384" i="2"/>
  <c r="T384" i="2"/>
  <c r="U384" i="2"/>
  <c r="V384" i="2"/>
  <c r="W384" i="2"/>
  <c r="N385" i="2"/>
  <c r="X385" i="2" s="1"/>
  <c r="O385" i="2"/>
  <c r="P385" i="2"/>
  <c r="Q385" i="2"/>
  <c r="R385" i="2"/>
  <c r="S385" i="2"/>
  <c r="T385" i="2"/>
  <c r="U385" i="2"/>
  <c r="V385" i="2"/>
  <c r="W385" i="2"/>
  <c r="N386" i="2"/>
  <c r="O386" i="2"/>
  <c r="P386" i="2"/>
  <c r="Q386" i="2"/>
  <c r="R386" i="2"/>
  <c r="S386" i="2"/>
  <c r="T386" i="2"/>
  <c r="U386" i="2"/>
  <c r="V386" i="2"/>
  <c r="W386" i="2"/>
  <c r="N387" i="2"/>
  <c r="O387" i="2"/>
  <c r="P387" i="2"/>
  <c r="Q387" i="2"/>
  <c r="R387" i="2"/>
  <c r="S387" i="2"/>
  <c r="T387" i="2"/>
  <c r="U387" i="2"/>
  <c r="V387" i="2"/>
  <c r="W387" i="2"/>
  <c r="N388" i="2"/>
  <c r="X388" i="2" s="1"/>
  <c r="O388" i="2"/>
  <c r="P388" i="2"/>
  <c r="Q388" i="2"/>
  <c r="R388" i="2"/>
  <c r="S388" i="2"/>
  <c r="T388" i="2"/>
  <c r="U388" i="2"/>
  <c r="V388" i="2"/>
  <c r="W388" i="2"/>
  <c r="N389" i="2"/>
  <c r="O389" i="2"/>
  <c r="P389" i="2"/>
  <c r="Q389" i="2"/>
  <c r="R389" i="2"/>
  <c r="S389" i="2"/>
  <c r="T389" i="2"/>
  <c r="U389" i="2"/>
  <c r="V389" i="2"/>
  <c r="W389" i="2"/>
  <c r="N390" i="2"/>
  <c r="O390" i="2"/>
  <c r="P390" i="2"/>
  <c r="Q390" i="2"/>
  <c r="R390" i="2"/>
  <c r="S390" i="2"/>
  <c r="T390" i="2"/>
  <c r="U390" i="2"/>
  <c r="V390" i="2"/>
  <c r="W390" i="2"/>
  <c r="N391" i="2"/>
  <c r="X391" i="2" s="1"/>
  <c r="O391" i="2"/>
  <c r="P391" i="2"/>
  <c r="Q391" i="2"/>
  <c r="R391" i="2"/>
  <c r="S391" i="2"/>
  <c r="T391" i="2"/>
  <c r="U391" i="2"/>
  <c r="V391" i="2"/>
  <c r="W391" i="2"/>
  <c r="N392" i="2"/>
  <c r="O392" i="2"/>
  <c r="P392" i="2"/>
  <c r="Q392" i="2"/>
  <c r="R392" i="2"/>
  <c r="S392" i="2"/>
  <c r="T392" i="2"/>
  <c r="U392" i="2"/>
  <c r="X392" i="2" s="1"/>
  <c r="V392" i="2"/>
  <c r="W392" i="2"/>
  <c r="N393" i="2"/>
  <c r="O393" i="2"/>
  <c r="P393" i="2"/>
  <c r="Q393" i="2"/>
  <c r="R393" i="2"/>
  <c r="S393" i="2"/>
  <c r="T393" i="2"/>
  <c r="U393" i="2"/>
  <c r="V393" i="2"/>
  <c r="W393" i="2"/>
  <c r="N394" i="2"/>
  <c r="X394" i="2" s="1"/>
  <c r="O394" i="2"/>
  <c r="P394" i="2"/>
  <c r="Q394" i="2"/>
  <c r="R394" i="2"/>
  <c r="S394" i="2"/>
  <c r="T394" i="2"/>
  <c r="U394" i="2"/>
  <c r="V394" i="2"/>
  <c r="W394" i="2"/>
  <c r="N395" i="2"/>
  <c r="O395" i="2"/>
  <c r="P395" i="2"/>
  <c r="Q395" i="2"/>
  <c r="R395" i="2"/>
  <c r="S395" i="2"/>
  <c r="T395" i="2"/>
  <c r="U395" i="2"/>
  <c r="V395" i="2"/>
  <c r="W395" i="2"/>
  <c r="N396" i="2"/>
  <c r="O396" i="2"/>
  <c r="P396" i="2"/>
  <c r="Q396" i="2"/>
  <c r="R396" i="2"/>
  <c r="S396" i="2"/>
  <c r="T396" i="2"/>
  <c r="U396" i="2"/>
  <c r="V396" i="2"/>
  <c r="W396" i="2"/>
  <c r="N397" i="2"/>
  <c r="X397" i="2" s="1"/>
  <c r="O397" i="2"/>
  <c r="P397" i="2"/>
  <c r="Q397" i="2"/>
  <c r="R397" i="2"/>
  <c r="S397" i="2"/>
  <c r="T397" i="2"/>
  <c r="U397" i="2"/>
  <c r="V397" i="2"/>
  <c r="W397" i="2"/>
  <c r="N398" i="2"/>
  <c r="O398" i="2"/>
  <c r="P398" i="2"/>
  <c r="Q398" i="2"/>
  <c r="R398" i="2"/>
  <c r="S398" i="2"/>
  <c r="T398" i="2"/>
  <c r="U398" i="2"/>
  <c r="V398" i="2"/>
  <c r="W398" i="2"/>
  <c r="N399" i="2"/>
  <c r="O399" i="2"/>
  <c r="P399" i="2"/>
  <c r="Q399" i="2"/>
  <c r="R399" i="2"/>
  <c r="S399" i="2"/>
  <c r="T399" i="2"/>
  <c r="U399" i="2"/>
  <c r="V399" i="2"/>
  <c r="W399" i="2"/>
  <c r="N400" i="2"/>
  <c r="X400" i="2" s="1"/>
  <c r="O400" i="2"/>
  <c r="P400" i="2"/>
  <c r="Q400" i="2"/>
  <c r="R400" i="2"/>
  <c r="S400" i="2"/>
  <c r="T400" i="2"/>
  <c r="U400" i="2"/>
  <c r="V400" i="2"/>
  <c r="W400" i="2"/>
  <c r="N401" i="2"/>
  <c r="O401" i="2"/>
  <c r="P401" i="2"/>
  <c r="Q401" i="2"/>
  <c r="R401" i="2"/>
  <c r="S401" i="2"/>
  <c r="T401" i="2"/>
  <c r="U401" i="2"/>
  <c r="V401" i="2"/>
  <c r="W401" i="2"/>
  <c r="N402" i="2"/>
  <c r="O402" i="2"/>
  <c r="P402" i="2"/>
  <c r="Q402" i="2"/>
  <c r="R402" i="2"/>
  <c r="S402" i="2"/>
  <c r="T402" i="2"/>
  <c r="U402" i="2"/>
  <c r="V402" i="2"/>
  <c r="W402" i="2"/>
  <c r="N403" i="2"/>
  <c r="X403" i="2" s="1"/>
  <c r="O403" i="2"/>
  <c r="P403" i="2"/>
  <c r="Q403" i="2"/>
  <c r="R403" i="2"/>
  <c r="S403" i="2"/>
  <c r="T403" i="2"/>
  <c r="U403" i="2"/>
  <c r="V403" i="2"/>
  <c r="W403" i="2"/>
  <c r="N404" i="2"/>
  <c r="O404" i="2"/>
  <c r="P404" i="2"/>
  <c r="Q404" i="2"/>
  <c r="R404" i="2"/>
  <c r="S404" i="2"/>
  <c r="T404" i="2"/>
  <c r="U404" i="2"/>
  <c r="X404" i="2" s="1"/>
  <c r="V404" i="2"/>
  <c r="W404" i="2"/>
  <c r="N405" i="2"/>
  <c r="O405" i="2"/>
  <c r="P405" i="2"/>
  <c r="Q405" i="2"/>
  <c r="R405" i="2"/>
  <c r="S405" i="2"/>
  <c r="T405" i="2"/>
  <c r="U405" i="2"/>
  <c r="V405" i="2"/>
  <c r="W405" i="2"/>
  <c r="N406" i="2"/>
  <c r="X406" i="2" s="1"/>
  <c r="O406" i="2"/>
  <c r="P406" i="2"/>
  <c r="Q406" i="2"/>
  <c r="R406" i="2"/>
  <c r="S406" i="2"/>
  <c r="T406" i="2"/>
  <c r="U406" i="2"/>
  <c r="V406" i="2"/>
  <c r="W406" i="2"/>
  <c r="N407" i="2"/>
  <c r="O407" i="2"/>
  <c r="P407" i="2"/>
  <c r="Q407" i="2"/>
  <c r="R407" i="2"/>
  <c r="S407" i="2"/>
  <c r="T407" i="2"/>
  <c r="U407" i="2"/>
  <c r="V407" i="2"/>
  <c r="W407" i="2"/>
  <c r="N408" i="2"/>
  <c r="O408" i="2"/>
  <c r="P408" i="2"/>
  <c r="Q408" i="2"/>
  <c r="R408" i="2"/>
  <c r="S408" i="2"/>
  <c r="T408" i="2"/>
  <c r="U408" i="2"/>
  <c r="V408" i="2"/>
  <c r="W408" i="2"/>
  <c r="N409" i="2"/>
  <c r="X409" i="2" s="1"/>
  <c r="O409" i="2"/>
  <c r="P409" i="2"/>
  <c r="Q409" i="2"/>
  <c r="R409" i="2"/>
  <c r="S409" i="2"/>
  <c r="T409" i="2"/>
  <c r="U409" i="2"/>
  <c r="V409" i="2"/>
  <c r="W409" i="2"/>
  <c r="N410" i="2"/>
  <c r="O410" i="2"/>
  <c r="P410" i="2"/>
  <c r="Q410" i="2"/>
  <c r="R410" i="2"/>
  <c r="S410" i="2"/>
  <c r="T410" i="2"/>
  <c r="U410" i="2"/>
  <c r="V410" i="2"/>
  <c r="W410" i="2"/>
  <c r="N411" i="2"/>
  <c r="O411" i="2"/>
  <c r="P411" i="2"/>
  <c r="Q411" i="2"/>
  <c r="R411" i="2"/>
  <c r="S411" i="2"/>
  <c r="T411" i="2"/>
  <c r="U411" i="2"/>
  <c r="V411" i="2"/>
  <c r="W411" i="2"/>
  <c r="N412" i="2"/>
  <c r="X412" i="2" s="1"/>
  <c r="O412" i="2"/>
  <c r="P412" i="2"/>
  <c r="Q412" i="2"/>
  <c r="R412" i="2"/>
  <c r="S412" i="2"/>
  <c r="T412" i="2"/>
  <c r="U412" i="2"/>
  <c r="V412" i="2"/>
  <c r="W412" i="2"/>
  <c r="N413" i="2"/>
  <c r="O413" i="2"/>
  <c r="P413" i="2"/>
  <c r="Q413" i="2"/>
  <c r="R413" i="2"/>
  <c r="S413" i="2"/>
  <c r="T413" i="2"/>
  <c r="U413" i="2"/>
  <c r="V413" i="2"/>
  <c r="W413" i="2"/>
  <c r="N414" i="2"/>
  <c r="O414" i="2"/>
  <c r="P414" i="2"/>
  <c r="Q414" i="2"/>
  <c r="R414" i="2"/>
  <c r="S414" i="2"/>
  <c r="T414" i="2"/>
  <c r="U414" i="2"/>
  <c r="V414" i="2"/>
  <c r="W414" i="2"/>
  <c r="N415" i="2"/>
  <c r="X415" i="2" s="1"/>
  <c r="O415" i="2"/>
  <c r="P415" i="2"/>
  <c r="Q415" i="2"/>
  <c r="R415" i="2"/>
  <c r="S415" i="2"/>
  <c r="T415" i="2"/>
  <c r="U415" i="2"/>
  <c r="V415" i="2"/>
  <c r="W415" i="2"/>
  <c r="N416" i="2"/>
  <c r="O416" i="2"/>
  <c r="P416" i="2"/>
  <c r="Q416" i="2"/>
  <c r="R416" i="2"/>
  <c r="S416" i="2"/>
  <c r="T416" i="2"/>
  <c r="U416" i="2"/>
  <c r="X416" i="2" s="1"/>
  <c r="V416" i="2"/>
  <c r="W416" i="2"/>
  <c r="N417" i="2"/>
  <c r="O417" i="2"/>
  <c r="P417" i="2"/>
  <c r="Q417" i="2"/>
  <c r="R417" i="2"/>
  <c r="S417" i="2"/>
  <c r="T417" i="2"/>
  <c r="U417" i="2"/>
  <c r="V417" i="2"/>
  <c r="W417" i="2"/>
  <c r="N418" i="2"/>
  <c r="X418" i="2" s="1"/>
  <c r="O418" i="2"/>
  <c r="P418" i="2"/>
  <c r="Q418" i="2"/>
  <c r="R418" i="2"/>
  <c r="S418" i="2"/>
  <c r="T418" i="2"/>
  <c r="U418" i="2"/>
  <c r="V418" i="2"/>
  <c r="W418" i="2"/>
  <c r="N419" i="2"/>
  <c r="O419" i="2"/>
  <c r="P419" i="2"/>
  <c r="Q419" i="2"/>
  <c r="R419" i="2"/>
  <c r="S419" i="2"/>
  <c r="T419" i="2"/>
  <c r="U419" i="2"/>
  <c r="V419" i="2"/>
  <c r="W419" i="2"/>
  <c r="N420" i="2"/>
  <c r="O420" i="2"/>
  <c r="P420" i="2"/>
  <c r="Q420" i="2"/>
  <c r="R420" i="2"/>
  <c r="S420" i="2"/>
  <c r="T420" i="2"/>
  <c r="U420" i="2"/>
  <c r="V420" i="2"/>
  <c r="W420" i="2"/>
  <c r="N421" i="2"/>
  <c r="X421" i="2" s="1"/>
  <c r="O421" i="2"/>
  <c r="P421" i="2"/>
  <c r="Q421" i="2"/>
  <c r="R421" i="2"/>
  <c r="S421" i="2"/>
  <c r="T421" i="2"/>
  <c r="U421" i="2"/>
  <c r="V421" i="2"/>
  <c r="W421" i="2"/>
  <c r="N422" i="2"/>
  <c r="O422" i="2"/>
  <c r="P422" i="2"/>
  <c r="Q422" i="2"/>
  <c r="R422" i="2"/>
  <c r="S422" i="2"/>
  <c r="T422" i="2"/>
  <c r="U422" i="2"/>
  <c r="V422" i="2"/>
  <c r="W422" i="2"/>
  <c r="N423" i="2"/>
  <c r="O423" i="2"/>
  <c r="P423" i="2"/>
  <c r="Q423" i="2"/>
  <c r="R423" i="2"/>
  <c r="S423" i="2"/>
  <c r="T423" i="2"/>
  <c r="U423" i="2"/>
  <c r="V423" i="2"/>
  <c r="W423" i="2"/>
  <c r="N424" i="2"/>
  <c r="X424" i="2" s="1"/>
  <c r="O424" i="2"/>
  <c r="P424" i="2"/>
  <c r="Q424" i="2"/>
  <c r="R424" i="2"/>
  <c r="S424" i="2"/>
  <c r="T424" i="2"/>
  <c r="U424" i="2"/>
  <c r="V424" i="2"/>
  <c r="W424" i="2"/>
  <c r="N425" i="2"/>
  <c r="O425" i="2"/>
  <c r="P425" i="2"/>
  <c r="Q425" i="2"/>
  <c r="R425" i="2"/>
  <c r="S425" i="2"/>
  <c r="T425" i="2"/>
  <c r="U425" i="2"/>
  <c r="V425" i="2"/>
  <c r="W425" i="2"/>
  <c r="N426" i="2"/>
  <c r="O426" i="2"/>
  <c r="P426" i="2"/>
  <c r="Q426" i="2"/>
  <c r="R426" i="2"/>
  <c r="S426" i="2"/>
  <c r="T426" i="2"/>
  <c r="U426" i="2"/>
  <c r="V426" i="2"/>
  <c r="W426" i="2"/>
  <c r="N427" i="2"/>
  <c r="X427" i="2" s="1"/>
  <c r="O427" i="2"/>
  <c r="P427" i="2"/>
  <c r="Q427" i="2"/>
  <c r="R427" i="2"/>
  <c r="S427" i="2"/>
  <c r="T427" i="2"/>
  <c r="U427" i="2"/>
  <c r="V427" i="2"/>
  <c r="W427" i="2"/>
  <c r="N428" i="2"/>
  <c r="O428" i="2"/>
  <c r="P428" i="2"/>
  <c r="Q428" i="2"/>
  <c r="R428" i="2"/>
  <c r="S428" i="2"/>
  <c r="T428" i="2"/>
  <c r="U428" i="2"/>
  <c r="X428" i="2" s="1"/>
  <c r="V428" i="2"/>
  <c r="W428" i="2"/>
  <c r="N429" i="2"/>
  <c r="O429" i="2"/>
  <c r="P429" i="2"/>
  <c r="Q429" i="2"/>
  <c r="R429" i="2"/>
  <c r="S429" i="2"/>
  <c r="T429" i="2"/>
  <c r="U429" i="2"/>
  <c r="V429" i="2"/>
  <c r="W429" i="2"/>
  <c r="N430" i="2"/>
  <c r="X430" i="2" s="1"/>
  <c r="O430" i="2"/>
  <c r="P430" i="2"/>
  <c r="Q430" i="2"/>
  <c r="R430" i="2"/>
  <c r="S430" i="2"/>
  <c r="T430" i="2"/>
  <c r="U430" i="2"/>
  <c r="V430" i="2"/>
  <c r="W430" i="2"/>
  <c r="N431" i="2"/>
  <c r="O431" i="2"/>
  <c r="P431" i="2"/>
  <c r="Q431" i="2"/>
  <c r="R431" i="2"/>
  <c r="S431" i="2"/>
  <c r="T431" i="2"/>
  <c r="U431" i="2"/>
  <c r="V431" i="2"/>
  <c r="W431" i="2"/>
  <c r="N432" i="2"/>
  <c r="O432" i="2"/>
  <c r="P432" i="2"/>
  <c r="Q432" i="2"/>
  <c r="R432" i="2"/>
  <c r="S432" i="2"/>
  <c r="T432" i="2"/>
  <c r="U432" i="2"/>
  <c r="V432" i="2"/>
  <c r="W432" i="2"/>
  <c r="N433" i="2"/>
  <c r="X433" i="2" s="1"/>
  <c r="O433" i="2"/>
  <c r="P433" i="2"/>
  <c r="Q433" i="2"/>
  <c r="R433" i="2"/>
  <c r="S433" i="2"/>
  <c r="T433" i="2"/>
  <c r="U433" i="2"/>
  <c r="V433" i="2"/>
  <c r="W433" i="2"/>
  <c r="N434" i="2"/>
  <c r="O434" i="2"/>
  <c r="P434" i="2"/>
  <c r="Q434" i="2"/>
  <c r="R434" i="2"/>
  <c r="S434" i="2"/>
  <c r="T434" i="2"/>
  <c r="U434" i="2"/>
  <c r="V434" i="2"/>
  <c r="W434" i="2"/>
  <c r="N435" i="2"/>
  <c r="O435" i="2"/>
  <c r="P435" i="2"/>
  <c r="Q435" i="2"/>
  <c r="R435" i="2"/>
  <c r="S435" i="2"/>
  <c r="T435" i="2"/>
  <c r="U435" i="2"/>
  <c r="V435" i="2"/>
  <c r="W435" i="2"/>
  <c r="N436" i="2"/>
  <c r="X436" i="2" s="1"/>
  <c r="O436" i="2"/>
  <c r="P436" i="2"/>
  <c r="Q436" i="2"/>
  <c r="R436" i="2"/>
  <c r="S436" i="2"/>
  <c r="T436" i="2"/>
  <c r="U436" i="2"/>
  <c r="V436" i="2"/>
  <c r="W436" i="2"/>
  <c r="N437" i="2"/>
  <c r="O437" i="2"/>
  <c r="P437" i="2"/>
  <c r="Q437" i="2"/>
  <c r="R437" i="2"/>
  <c r="S437" i="2"/>
  <c r="T437" i="2"/>
  <c r="U437" i="2"/>
  <c r="V437" i="2"/>
  <c r="W437" i="2"/>
  <c r="N438" i="2"/>
  <c r="O438" i="2"/>
  <c r="P438" i="2"/>
  <c r="Q438" i="2"/>
  <c r="R438" i="2"/>
  <c r="S438" i="2"/>
  <c r="T438" i="2"/>
  <c r="U438" i="2"/>
  <c r="V438" i="2"/>
  <c r="W438" i="2"/>
  <c r="N439" i="2"/>
  <c r="X439" i="2" s="1"/>
  <c r="O439" i="2"/>
  <c r="P439" i="2"/>
  <c r="Q439" i="2"/>
  <c r="R439" i="2"/>
  <c r="S439" i="2"/>
  <c r="T439" i="2"/>
  <c r="U439" i="2"/>
  <c r="V439" i="2"/>
  <c r="W439" i="2"/>
  <c r="N440" i="2"/>
  <c r="O440" i="2"/>
  <c r="P440" i="2"/>
  <c r="Q440" i="2"/>
  <c r="R440" i="2"/>
  <c r="S440" i="2"/>
  <c r="T440" i="2"/>
  <c r="U440" i="2"/>
  <c r="X440" i="2" s="1"/>
  <c r="V440" i="2"/>
  <c r="W440" i="2"/>
  <c r="N441" i="2"/>
  <c r="O441" i="2"/>
  <c r="P441" i="2"/>
  <c r="Q441" i="2"/>
  <c r="R441" i="2"/>
  <c r="S441" i="2"/>
  <c r="T441" i="2"/>
  <c r="U441" i="2"/>
  <c r="V441" i="2"/>
  <c r="W441" i="2"/>
  <c r="N442" i="2"/>
  <c r="X442" i="2" s="1"/>
  <c r="O442" i="2"/>
  <c r="P442" i="2"/>
  <c r="Q442" i="2"/>
  <c r="R442" i="2"/>
  <c r="S442" i="2"/>
  <c r="T442" i="2"/>
  <c r="U442" i="2"/>
  <c r="V442" i="2"/>
  <c r="W442" i="2"/>
  <c r="N443" i="2"/>
  <c r="O443" i="2"/>
  <c r="P443" i="2"/>
  <c r="Q443" i="2"/>
  <c r="R443" i="2"/>
  <c r="S443" i="2"/>
  <c r="T443" i="2"/>
  <c r="U443" i="2"/>
  <c r="V443" i="2"/>
  <c r="W443" i="2"/>
  <c r="N444" i="2"/>
  <c r="O444" i="2"/>
  <c r="P444" i="2"/>
  <c r="Q444" i="2"/>
  <c r="R444" i="2"/>
  <c r="S444" i="2"/>
  <c r="T444" i="2"/>
  <c r="U444" i="2"/>
  <c r="V444" i="2"/>
  <c r="W444" i="2"/>
  <c r="N445" i="2"/>
  <c r="X445" i="2" s="1"/>
  <c r="O445" i="2"/>
  <c r="P445" i="2"/>
  <c r="Q445" i="2"/>
  <c r="R445" i="2"/>
  <c r="S445" i="2"/>
  <c r="T445" i="2"/>
  <c r="U445" i="2"/>
  <c r="V445" i="2"/>
  <c r="W445" i="2"/>
  <c r="N446" i="2"/>
  <c r="O446" i="2"/>
  <c r="P446" i="2"/>
  <c r="Q446" i="2"/>
  <c r="R446" i="2"/>
  <c r="S446" i="2"/>
  <c r="T446" i="2"/>
  <c r="U446" i="2"/>
  <c r="V446" i="2"/>
  <c r="W446" i="2"/>
  <c r="N447" i="2"/>
  <c r="O447" i="2"/>
  <c r="P447" i="2"/>
  <c r="Q447" i="2"/>
  <c r="R447" i="2"/>
  <c r="S447" i="2"/>
  <c r="T447" i="2"/>
  <c r="U447" i="2"/>
  <c r="V447" i="2"/>
  <c r="W447" i="2"/>
  <c r="N448" i="2"/>
  <c r="X448" i="2" s="1"/>
  <c r="O448" i="2"/>
  <c r="P448" i="2"/>
  <c r="Q448" i="2"/>
  <c r="R448" i="2"/>
  <c r="S448" i="2"/>
  <c r="T448" i="2"/>
  <c r="U448" i="2"/>
  <c r="V448" i="2"/>
  <c r="W448" i="2"/>
  <c r="N449" i="2"/>
  <c r="O449" i="2"/>
  <c r="P449" i="2"/>
  <c r="Q449" i="2"/>
  <c r="R449" i="2"/>
  <c r="S449" i="2"/>
  <c r="T449" i="2"/>
  <c r="U449" i="2"/>
  <c r="V449" i="2"/>
  <c r="W449" i="2"/>
  <c r="N450" i="2"/>
  <c r="O450" i="2"/>
  <c r="P450" i="2"/>
  <c r="Q450" i="2"/>
  <c r="R450" i="2"/>
  <c r="S450" i="2"/>
  <c r="T450" i="2"/>
  <c r="U450" i="2"/>
  <c r="V450" i="2"/>
  <c r="W450" i="2"/>
  <c r="N451" i="2"/>
  <c r="X451" i="2" s="1"/>
  <c r="O451" i="2"/>
  <c r="P451" i="2"/>
  <c r="Q451" i="2"/>
  <c r="R451" i="2"/>
  <c r="S451" i="2"/>
  <c r="T451" i="2"/>
  <c r="U451" i="2"/>
  <c r="V451" i="2"/>
  <c r="W451" i="2"/>
  <c r="N452" i="2"/>
  <c r="O452" i="2"/>
  <c r="P452" i="2"/>
  <c r="Q452" i="2"/>
  <c r="R452" i="2"/>
  <c r="S452" i="2"/>
  <c r="T452" i="2"/>
  <c r="U452" i="2"/>
  <c r="X452" i="2" s="1"/>
  <c r="V452" i="2"/>
  <c r="W452" i="2"/>
  <c r="N453" i="2"/>
  <c r="O453" i="2"/>
  <c r="P453" i="2"/>
  <c r="Q453" i="2"/>
  <c r="R453" i="2"/>
  <c r="S453" i="2"/>
  <c r="T453" i="2"/>
  <c r="U453" i="2"/>
  <c r="V453" i="2"/>
  <c r="W453" i="2"/>
  <c r="N454" i="2"/>
  <c r="X454" i="2" s="1"/>
  <c r="O454" i="2"/>
  <c r="P454" i="2"/>
  <c r="Q454" i="2"/>
  <c r="R454" i="2"/>
  <c r="S454" i="2"/>
  <c r="T454" i="2"/>
  <c r="U454" i="2"/>
  <c r="V454" i="2"/>
  <c r="W454" i="2"/>
  <c r="N455" i="2"/>
  <c r="O455" i="2"/>
  <c r="P455" i="2"/>
  <c r="Q455" i="2"/>
  <c r="R455" i="2"/>
  <c r="S455" i="2"/>
  <c r="T455" i="2"/>
  <c r="U455" i="2"/>
  <c r="V455" i="2"/>
  <c r="W455" i="2"/>
  <c r="N456" i="2"/>
  <c r="O456" i="2"/>
  <c r="P456" i="2"/>
  <c r="Q456" i="2"/>
  <c r="R456" i="2"/>
  <c r="S456" i="2"/>
  <c r="T456" i="2"/>
  <c r="U456" i="2"/>
  <c r="V456" i="2"/>
  <c r="W456" i="2"/>
  <c r="N457" i="2"/>
  <c r="X457" i="2" s="1"/>
  <c r="O457" i="2"/>
  <c r="P457" i="2"/>
  <c r="Q457" i="2"/>
  <c r="R457" i="2"/>
  <c r="S457" i="2"/>
  <c r="T457" i="2"/>
  <c r="U457" i="2"/>
  <c r="V457" i="2"/>
  <c r="W457" i="2"/>
  <c r="N458" i="2"/>
  <c r="O458" i="2"/>
  <c r="P458" i="2"/>
  <c r="Q458" i="2"/>
  <c r="R458" i="2"/>
  <c r="S458" i="2"/>
  <c r="T458" i="2"/>
  <c r="U458" i="2"/>
  <c r="V458" i="2"/>
  <c r="W458" i="2"/>
  <c r="N459" i="2"/>
  <c r="O459" i="2"/>
  <c r="P459" i="2"/>
  <c r="Q459" i="2"/>
  <c r="R459" i="2"/>
  <c r="S459" i="2"/>
  <c r="T459" i="2"/>
  <c r="U459" i="2"/>
  <c r="V459" i="2"/>
  <c r="W459" i="2"/>
  <c r="N460" i="2"/>
  <c r="X460" i="2" s="1"/>
  <c r="O460" i="2"/>
  <c r="P460" i="2"/>
  <c r="Q460" i="2"/>
  <c r="R460" i="2"/>
  <c r="S460" i="2"/>
  <c r="T460" i="2"/>
  <c r="U460" i="2"/>
  <c r="V460" i="2"/>
  <c r="W460" i="2"/>
  <c r="N461" i="2"/>
  <c r="O461" i="2"/>
  <c r="P461" i="2"/>
  <c r="Q461" i="2"/>
  <c r="R461" i="2"/>
  <c r="S461" i="2"/>
  <c r="T461" i="2"/>
  <c r="U461" i="2"/>
  <c r="V461" i="2"/>
  <c r="W461" i="2"/>
  <c r="N462" i="2"/>
  <c r="O462" i="2"/>
  <c r="P462" i="2"/>
  <c r="Q462" i="2"/>
  <c r="R462" i="2"/>
  <c r="S462" i="2"/>
  <c r="T462" i="2"/>
  <c r="U462" i="2"/>
  <c r="V462" i="2"/>
  <c r="W462" i="2"/>
  <c r="N463" i="2"/>
  <c r="X463" i="2" s="1"/>
  <c r="O463" i="2"/>
  <c r="P463" i="2"/>
  <c r="Q463" i="2"/>
  <c r="R463" i="2"/>
  <c r="S463" i="2"/>
  <c r="T463" i="2"/>
  <c r="U463" i="2"/>
  <c r="V463" i="2"/>
  <c r="W463" i="2"/>
  <c r="N464" i="2"/>
  <c r="O464" i="2"/>
  <c r="P464" i="2"/>
  <c r="Q464" i="2"/>
  <c r="R464" i="2"/>
  <c r="S464" i="2"/>
  <c r="T464" i="2"/>
  <c r="U464" i="2"/>
  <c r="X464" i="2" s="1"/>
  <c r="V464" i="2"/>
  <c r="W464" i="2"/>
  <c r="N465" i="2"/>
  <c r="O465" i="2"/>
  <c r="P465" i="2"/>
  <c r="Q465" i="2"/>
  <c r="R465" i="2"/>
  <c r="S465" i="2"/>
  <c r="T465" i="2"/>
  <c r="U465" i="2"/>
  <c r="V465" i="2"/>
  <c r="W465" i="2"/>
  <c r="N466" i="2"/>
  <c r="X466" i="2" s="1"/>
  <c r="O466" i="2"/>
  <c r="P466" i="2"/>
  <c r="Q466" i="2"/>
  <c r="R466" i="2"/>
  <c r="S466" i="2"/>
  <c r="T466" i="2"/>
  <c r="U466" i="2"/>
  <c r="V466" i="2"/>
  <c r="W466" i="2"/>
  <c r="N467" i="2"/>
  <c r="O467" i="2"/>
  <c r="P467" i="2"/>
  <c r="Q467" i="2"/>
  <c r="R467" i="2"/>
  <c r="S467" i="2"/>
  <c r="T467" i="2"/>
  <c r="U467" i="2"/>
  <c r="V467" i="2"/>
  <c r="W467" i="2"/>
  <c r="N468" i="2"/>
  <c r="O468" i="2"/>
  <c r="P468" i="2"/>
  <c r="Q468" i="2"/>
  <c r="R468" i="2"/>
  <c r="S468" i="2"/>
  <c r="T468" i="2"/>
  <c r="U468" i="2"/>
  <c r="V468" i="2"/>
  <c r="W468" i="2"/>
  <c r="N469" i="2"/>
  <c r="X469" i="2" s="1"/>
  <c r="O469" i="2"/>
  <c r="P469" i="2"/>
  <c r="Q469" i="2"/>
  <c r="R469" i="2"/>
  <c r="S469" i="2"/>
  <c r="T469" i="2"/>
  <c r="U469" i="2"/>
  <c r="V469" i="2"/>
  <c r="W469" i="2"/>
  <c r="N470" i="2"/>
  <c r="O470" i="2"/>
  <c r="P470" i="2"/>
  <c r="Q470" i="2"/>
  <c r="R470" i="2"/>
  <c r="S470" i="2"/>
  <c r="T470" i="2"/>
  <c r="U470" i="2"/>
  <c r="V470" i="2"/>
  <c r="W470" i="2"/>
  <c r="N471" i="2"/>
  <c r="O471" i="2"/>
  <c r="P471" i="2"/>
  <c r="Q471" i="2"/>
  <c r="R471" i="2"/>
  <c r="S471" i="2"/>
  <c r="T471" i="2"/>
  <c r="U471" i="2"/>
  <c r="V471" i="2"/>
  <c r="W471" i="2"/>
  <c r="N472" i="2"/>
  <c r="X472" i="2" s="1"/>
  <c r="O472" i="2"/>
  <c r="P472" i="2"/>
  <c r="Q472" i="2"/>
  <c r="R472" i="2"/>
  <c r="S472" i="2"/>
  <c r="T472" i="2"/>
  <c r="U472" i="2"/>
  <c r="V472" i="2"/>
  <c r="W472" i="2"/>
  <c r="N473" i="2"/>
  <c r="O473" i="2"/>
  <c r="P473" i="2"/>
  <c r="Q473" i="2"/>
  <c r="R473" i="2"/>
  <c r="S473" i="2"/>
  <c r="T473" i="2"/>
  <c r="U473" i="2"/>
  <c r="V473" i="2"/>
  <c r="W473" i="2"/>
  <c r="N474" i="2"/>
  <c r="O474" i="2"/>
  <c r="P474" i="2"/>
  <c r="Q474" i="2"/>
  <c r="R474" i="2"/>
  <c r="S474" i="2"/>
  <c r="T474" i="2"/>
  <c r="U474" i="2"/>
  <c r="V474" i="2"/>
  <c r="W474" i="2"/>
  <c r="N475" i="2"/>
  <c r="X475" i="2" s="1"/>
  <c r="O475" i="2"/>
  <c r="P475" i="2"/>
  <c r="Q475" i="2"/>
  <c r="R475" i="2"/>
  <c r="S475" i="2"/>
  <c r="T475" i="2"/>
  <c r="U475" i="2"/>
  <c r="V475" i="2"/>
  <c r="W475" i="2"/>
  <c r="N476" i="2"/>
  <c r="O476" i="2"/>
  <c r="P476" i="2"/>
  <c r="Q476" i="2"/>
  <c r="R476" i="2"/>
  <c r="S476" i="2"/>
  <c r="T476" i="2"/>
  <c r="U476" i="2"/>
  <c r="X476" i="2" s="1"/>
  <c r="V476" i="2"/>
  <c r="W476" i="2"/>
  <c r="N477" i="2"/>
  <c r="O477" i="2"/>
  <c r="P477" i="2"/>
  <c r="Q477" i="2"/>
  <c r="R477" i="2"/>
  <c r="S477" i="2"/>
  <c r="T477" i="2"/>
  <c r="U477" i="2"/>
  <c r="V477" i="2"/>
  <c r="W477" i="2"/>
  <c r="N478" i="2"/>
  <c r="X478" i="2" s="1"/>
  <c r="O478" i="2"/>
  <c r="P478" i="2"/>
  <c r="Q478" i="2"/>
  <c r="R478" i="2"/>
  <c r="S478" i="2"/>
  <c r="T478" i="2"/>
  <c r="U478" i="2"/>
  <c r="V478" i="2"/>
  <c r="W478" i="2"/>
  <c r="N479" i="2"/>
  <c r="O479" i="2"/>
  <c r="P479" i="2"/>
  <c r="Q479" i="2"/>
  <c r="R479" i="2"/>
  <c r="S479" i="2"/>
  <c r="T479" i="2"/>
  <c r="U479" i="2"/>
  <c r="V479" i="2"/>
  <c r="W479" i="2"/>
  <c r="N480" i="2"/>
  <c r="O480" i="2"/>
  <c r="P480" i="2"/>
  <c r="Q480" i="2"/>
  <c r="R480" i="2"/>
  <c r="S480" i="2"/>
  <c r="T480" i="2"/>
  <c r="U480" i="2"/>
  <c r="V480" i="2"/>
  <c r="W480" i="2"/>
  <c r="N481" i="2"/>
  <c r="X481" i="2" s="1"/>
  <c r="O481" i="2"/>
  <c r="P481" i="2"/>
  <c r="Q481" i="2"/>
  <c r="R481" i="2"/>
  <c r="S481" i="2"/>
  <c r="T481" i="2"/>
  <c r="U481" i="2"/>
  <c r="V481" i="2"/>
  <c r="W481" i="2"/>
  <c r="N482" i="2"/>
  <c r="O482" i="2"/>
  <c r="P482" i="2"/>
  <c r="Q482" i="2"/>
  <c r="R482" i="2"/>
  <c r="S482" i="2"/>
  <c r="T482" i="2"/>
  <c r="U482" i="2"/>
  <c r="V482" i="2"/>
  <c r="W482" i="2"/>
  <c r="N483" i="2"/>
  <c r="O483" i="2"/>
  <c r="P483" i="2"/>
  <c r="Q483" i="2"/>
  <c r="R483" i="2"/>
  <c r="S483" i="2"/>
  <c r="T483" i="2"/>
  <c r="U483" i="2"/>
  <c r="V483" i="2"/>
  <c r="W483" i="2"/>
  <c r="N484" i="2"/>
  <c r="X484" i="2" s="1"/>
  <c r="O484" i="2"/>
  <c r="P484" i="2"/>
  <c r="Q484" i="2"/>
  <c r="R484" i="2"/>
  <c r="S484" i="2"/>
  <c r="T484" i="2"/>
  <c r="U484" i="2"/>
  <c r="V484" i="2"/>
  <c r="W484" i="2"/>
  <c r="N485" i="2"/>
  <c r="O485" i="2"/>
  <c r="P485" i="2"/>
  <c r="Q485" i="2"/>
  <c r="R485" i="2"/>
  <c r="S485" i="2"/>
  <c r="T485" i="2"/>
  <c r="U485" i="2"/>
  <c r="V485" i="2"/>
  <c r="W485" i="2"/>
  <c r="N486" i="2"/>
  <c r="O486" i="2"/>
  <c r="P486" i="2"/>
  <c r="Q486" i="2"/>
  <c r="R486" i="2"/>
  <c r="S486" i="2"/>
  <c r="T486" i="2"/>
  <c r="U486" i="2"/>
  <c r="V486" i="2"/>
  <c r="W486" i="2"/>
  <c r="N487" i="2"/>
  <c r="X487" i="2" s="1"/>
  <c r="O487" i="2"/>
  <c r="P487" i="2"/>
  <c r="Q487" i="2"/>
  <c r="R487" i="2"/>
  <c r="S487" i="2"/>
  <c r="T487" i="2"/>
  <c r="U487" i="2"/>
  <c r="V487" i="2"/>
  <c r="W487" i="2"/>
  <c r="N488" i="2"/>
  <c r="O488" i="2"/>
  <c r="P488" i="2"/>
  <c r="Q488" i="2"/>
  <c r="R488" i="2"/>
  <c r="S488" i="2"/>
  <c r="T488" i="2"/>
  <c r="U488" i="2"/>
  <c r="X488" i="2" s="1"/>
  <c r="V488" i="2"/>
  <c r="W488" i="2"/>
  <c r="N489" i="2"/>
  <c r="O489" i="2"/>
  <c r="P489" i="2"/>
  <c r="Q489" i="2"/>
  <c r="R489" i="2"/>
  <c r="S489" i="2"/>
  <c r="T489" i="2"/>
  <c r="U489" i="2"/>
  <c r="V489" i="2"/>
  <c r="W489" i="2"/>
  <c r="N490" i="2"/>
  <c r="X490" i="2" s="1"/>
  <c r="O490" i="2"/>
  <c r="P490" i="2"/>
  <c r="Q490" i="2"/>
  <c r="R490" i="2"/>
  <c r="S490" i="2"/>
  <c r="T490" i="2"/>
  <c r="U490" i="2"/>
  <c r="V490" i="2"/>
  <c r="W490" i="2"/>
  <c r="N491" i="2"/>
  <c r="O491" i="2"/>
  <c r="P491" i="2"/>
  <c r="Q491" i="2"/>
  <c r="R491" i="2"/>
  <c r="S491" i="2"/>
  <c r="T491" i="2"/>
  <c r="U491" i="2"/>
  <c r="V491" i="2"/>
  <c r="W491" i="2"/>
  <c r="N492" i="2"/>
  <c r="O492" i="2"/>
  <c r="P492" i="2"/>
  <c r="Q492" i="2"/>
  <c r="R492" i="2"/>
  <c r="S492" i="2"/>
  <c r="T492" i="2"/>
  <c r="U492" i="2"/>
  <c r="V492" i="2"/>
  <c r="W492" i="2"/>
  <c r="N493" i="2"/>
  <c r="X493" i="2" s="1"/>
  <c r="O493" i="2"/>
  <c r="P493" i="2"/>
  <c r="Q493" i="2"/>
  <c r="R493" i="2"/>
  <c r="S493" i="2"/>
  <c r="T493" i="2"/>
  <c r="U493" i="2"/>
  <c r="V493" i="2"/>
  <c r="W493" i="2"/>
  <c r="N494" i="2"/>
  <c r="O494" i="2"/>
  <c r="P494" i="2"/>
  <c r="Q494" i="2"/>
  <c r="R494" i="2"/>
  <c r="S494" i="2"/>
  <c r="T494" i="2"/>
  <c r="U494" i="2"/>
  <c r="V494" i="2"/>
  <c r="W494" i="2"/>
  <c r="N495" i="2"/>
  <c r="O495" i="2"/>
  <c r="P495" i="2"/>
  <c r="Q495" i="2"/>
  <c r="R495" i="2"/>
  <c r="S495" i="2"/>
  <c r="T495" i="2"/>
  <c r="U495" i="2"/>
  <c r="V495" i="2"/>
  <c r="W495" i="2"/>
  <c r="N496" i="2"/>
  <c r="X496" i="2" s="1"/>
  <c r="O496" i="2"/>
  <c r="P496" i="2"/>
  <c r="Q496" i="2"/>
  <c r="R496" i="2"/>
  <c r="S496" i="2"/>
  <c r="T496" i="2"/>
  <c r="U496" i="2"/>
  <c r="V496" i="2"/>
  <c r="W496" i="2"/>
  <c r="N497" i="2"/>
  <c r="O497" i="2"/>
  <c r="P497" i="2"/>
  <c r="Q497" i="2"/>
  <c r="R497" i="2"/>
  <c r="S497" i="2"/>
  <c r="T497" i="2"/>
  <c r="U497" i="2"/>
  <c r="V497" i="2"/>
  <c r="W497" i="2"/>
  <c r="N498" i="2"/>
  <c r="O498" i="2"/>
  <c r="P498" i="2"/>
  <c r="Q498" i="2"/>
  <c r="R498" i="2"/>
  <c r="S498" i="2"/>
  <c r="T498" i="2"/>
  <c r="U498" i="2"/>
  <c r="V498" i="2"/>
  <c r="W498" i="2"/>
  <c r="N499" i="2"/>
  <c r="X499" i="2" s="1"/>
  <c r="O499" i="2"/>
  <c r="P499" i="2"/>
  <c r="Q499" i="2"/>
  <c r="R499" i="2"/>
  <c r="S499" i="2"/>
  <c r="T499" i="2"/>
  <c r="U499" i="2"/>
  <c r="V499" i="2"/>
  <c r="W499" i="2"/>
  <c r="N500" i="2"/>
  <c r="O500" i="2"/>
  <c r="P500" i="2"/>
  <c r="Q500" i="2"/>
  <c r="R500" i="2"/>
  <c r="S500" i="2"/>
  <c r="T500" i="2"/>
  <c r="U500" i="2"/>
  <c r="X500" i="2" s="1"/>
  <c r="V500" i="2"/>
  <c r="W500" i="2"/>
  <c r="N501" i="2"/>
  <c r="O501" i="2"/>
  <c r="P501" i="2"/>
  <c r="Q501" i="2"/>
  <c r="R501" i="2"/>
  <c r="S501" i="2"/>
  <c r="T501" i="2"/>
  <c r="U501" i="2"/>
  <c r="V501" i="2"/>
  <c r="W501" i="2"/>
  <c r="N502" i="2"/>
  <c r="X502" i="2" s="1"/>
  <c r="O502" i="2"/>
  <c r="P502" i="2"/>
  <c r="Q502" i="2"/>
  <c r="R502" i="2"/>
  <c r="S502" i="2"/>
  <c r="T502" i="2"/>
  <c r="U502" i="2"/>
  <c r="V502" i="2"/>
  <c r="W502" i="2"/>
  <c r="N503" i="2"/>
  <c r="O503" i="2"/>
  <c r="P503" i="2"/>
  <c r="Q503" i="2"/>
  <c r="R503" i="2"/>
  <c r="S503" i="2"/>
  <c r="T503" i="2"/>
  <c r="U503" i="2"/>
  <c r="V503" i="2"/>
  <c r="W503" i="2"/>
  <c r="N504" i="2"/>
  <c r="O504" i="2"/>
  <c r="P504" i="2"/>
  <c r="Q504" i="2"/>
  <c r="R504" i="2"/>
  <c r="S504" i="2"/>
  <c r="T504" i="2"/>
  <c r="U504" i="2"/>
  <c r="V504" i="2"/>
  <c r="W504" i="2"/>
  <c r="N505" i="2"/>
  <c r="X505" i="2" s="1"/>
  <c r="O505" i="2"/>
  <c r="P505" i="2"/>
  <c r="Q505" i="2"/>
  <c r="R505" i="2"/>
  <c r="S505" i="2"/>
  <c r="T505" i="2"/>
  <c r="U505" i="2"/>
  <c r="V505" i="2"/>
  <c r="W505" i="2"/>
  <c r="N506" i="2"/>
  <c r="O506" i="2"/>
  <c r="P506" i="2"/>
  <c r="Q506" i="2"/>
  <c r="R506" i="2"/>
  <c r="S506" i="2"/>
  <c r="T506" i="2"/>
  <c r="U506" i="2"/>
  <c r="V506" i="2"/>
  <c r="W506" i="2"/>
  <c r="N507" i="2"/>
  <c r="O507" i="2"/>
  <c r="P507" i="2"/>
  <c r="Q507" i="2"/>
  <c r="R507" i="2"/>
  <c r="S507" i="2"/>
  <c r="T507" i="2"/>
  <c r="U507" i="2"/>
  <c r="V507" i="2"/>
  <c r="W507" i="2"/>
  <c r="N508" i="2"/>
  <c r="X508" i="2" s="1"/>
  <c r="O508" i="2"/>
  <c r="P508" i="2"/>
  <c r="Q508" i="2"/>
  <c r="R508" i="2"/>
  <c r="S508" i="2"/>
  <c r="T508" i="2"/>
  <c r="U508" i="2"/>
  <c r="V508" i="2"/>
  <c r="W508" i="2"/>
  <c r="N509" i="2"/>
  <c r="O509" i="2"/>
  <c r="P509" i="2"/>
  <c r="Q509" i="2"/>
  <c r="R509" i="2"/>
  <c r="S509" i="2"/>
  <c r="T509" i="2"/>
  <c r="U509" i="2"/>
  <c r="V509" i="2"/>
  <c r="W509" i="2"/>
  <c r="N510" i="2"/>
  <c r="O510" i="2"/>
  <c r="P510" i="2"/>
  <c r="Q510" i="2"/>
  <c r="R510" i="2"/>
  <c r="S510" i="2"/>
  <c r="T510" i="2"/>
  <c r="U510" i="2"/>
  <c r="V510" i="2"/>
  <c r="W510" i="2"/>
  <c r="N511" i="2"/>
  <c r="X511" i="2" s="1"/>
  <c r="O511" i="2"/>
  <c r="P511" i="2"/>
  <c r="Q511" i="2"/>
  <c r="R511" i="2"/>
  <c r="S511" i="2"/>
  <c r="T511" i="2"/>
  <c r="U511" i="2"/>
  <c r="V511" i="2"/>
  <c r="W511" i="2"/>
  <c r="N512" i="2"/>
  <c r="O512" i="2"/>
  <c r="P512" i="2"/>
  <c r="Q512" i="2"/>
  <c r="R512" i="2"/>
  <c r="S512" i="2"/>
  <c r="T512" i="2"/>
  <c r="U512" i="2"/>
  <c r="X512" i="2" s="1"/>
  <c r="V512" i="2"/>
  <c r="W512" i="2"/>
  <c r="N513" i="2"/>
  <c r="O513" i="2"/>
  <c r="P513" i="2"/>
  <c r="Q513" i="2"/>
  <c r="R513" i="2"/>
  <c r="S513" i="2"/>
  <c r="T513" i="2"/>
  <c r="U513" i="2"/>
  <c r="V513" i="2"/>
  <c r="W513" i="2"/>
  <c r="N514" i="2"/>
  <c r="X514" i="2" s="1"/>
  <c r="O514" i="2"/>
  <c r="P514" i="2"/>
  <c r="Q514" i="2"/>
  <c r="R514" i="2"/>
  <c r="S514" i="2"/>
  <c r="T514" i="2"/>
  <c r="U514" i="2"/>
  <c r="V514" i="2"/>
  <c r="W514" i="2"/>
  <c r="N515" i="2"/>
  <c r="O515" i="2"/>
  <c r="P515" i="2"/>
  <c r="Q515" i="2"/>
  <c r="R515" i="2"/>
  <c r="S515" i="2"/>
  <c r="T515" i="2"/>
  <c r="U515" i="2"/>
  <c r="V515" i="2"/>
  <c r="W515" i="2"/>
  <c r="N516" i="2"/>
  <c r="O516" i="2"/>
  <c r="P516" i="2"/>
  <c r="Q516" i="2"/>
  <c r="R516" i="2"/>
  <c r="S516" i="2"/>
  <c r="T516" i="2"/>
  <c r="U516" i="2"/>
  <c r="V516" i="2"/>
  <c r="W516" i="2"/>
  <c r="N517" i="2"/>
  <c r="X517" i="2" s="1"/>
  <c r="O517" i="2"/>
  <c r="P517" i="2"/>
  <c r="Q517" i="2"/>
  <c r="R517" i="2"/>
  <c r="S517" i="2"/>
  <c r="T517" i="2"/>
  <c r="U517" i="2"/>
  <c r="V517" i="2"/>
  <c r="W517" i="2"/>
  <c r="N518" i="2"/>
  <c r="O518" i="2"/>
  <c r="P518" i="2"/>
  <c r="Q518" i="2"/>
  <c r="R518" i="2"/>
  <c r="S518" i="2"/>
  <c r="T518" i="2"/>
  <c r="U518" i="2"/>
  <c r="V518" i="2"/>
  <c r="W518" i="2"/>
  <c r="N519" i="2"/>
  <c r="O519" i="2"/>
  <c r="P519" i="2"/>
  <c r="Q519" i="2"/>
  <c r="R519" i="2"/>
  <c r="S519" i="2"/>
  <c r="T519" i="2"/>
  <c r="U519" i="2"/>
  <c r="V519" i="2"/>
  <c r="W519" i="2"/>
  <c r="N520" i="2"/>
  <c r="X520" i="2" s="1"/>
  <c r="O520" i="2"/>
  <c r="P520" i="2"/>
  <c r="Q520" i="2"/>
  <c r="R520" i="2"/>
  <c r="S520" i="2"/>
  <c r="T520" i="2"/>
  <c r="U520" i="2"/>
  <c r="V520" i="2"/>
  <c r="W520" i="2"/>
  <c r="N521" i="2"/>
  <c r="O521" i="2"/>
  <c r="P521" i="2"/>
  <c r="Q521" i="2"/>
  <c r="R521" i="2"/>
  <c r="S521" i="2"/>
  <c r="T521" i="2"/>
  <c r="U521" i="2"/>
  <c r="V521" i="2"/>
  <c r="W521" i="2"/>
  <c r="N522" i="2"/>
  <c r="O522" i="2"/>
  <c r="P522" i="2"/>
  <c r="Q522" i="2"/>
  <c r="R522" i="2"/>
  <c r="S522" i="2"/>
  <c r="T522" i="2"/>
  <c r="U522" i="2"/>
  <c r="V522" i="2"/>
  <c r="W522" i="2"/>
  <c r="N523" i="2"/>
  <c r="X523" i="2" s="1"/>
  <c r="O523" i="2"/>
  <c r="P523" i="2"/>
  <c r="Q523" i="2"/>
  <c r="R523" i="2"/>
  <c r="S523" i="2"/>
  <c r="T523" i="2"/>
  <c r="U523" i="2"/>
  <c r="V523" i="2"/>
  <c r="W523" i="2"/>
  <c r="N524" i="2"/>
  <c r="O524" i="2"/>
  <c r="P524" i="2"/>
  <c r="Q524" i="2"/>
  <c r="R524" i="2"/>
  <c r="S524" i="2"/>
  <c r="T524" i="2"/>
  <c r="U524" i="2"/>
  <c r="X524" i="2" s="1"/>
  <c r="V524" i="2"/>
  <c r="W524" i="2"/>
  <c r="N525" i="2"/>
  <c r="O525" i="2"/>
  <c r="P525" i="2"/>
  <c r="Q525" i="2"/>
  <c r="R525" i="2"/>
  <c r="S525" i="2"/>
  <c r="T525" i="2"/>
  <c r="U525" i="2"/>
  <c r="V525" i="2"/>
  <c r="W525" i="2"/>
  <c r="N526" i="2"/>
  <c r="X526" i="2" s="1"/>
  <c r="O526" i="2"/>
  <c r="P526" i="2"/>
  <c r="Q526" i="2"/>
  <c r="R526" i="2"/>
  <c r="S526" i="2"/>
  <c r="T526" i="2"/>
  <c r="U526" i="2"/>
  <c r="V526" i="2"/>
  <c r="W526" i="2"/>
  <c r="N527" i="2"/>
  <c r="O527" i="2"/>
  <c r="P527" i="2"/>
  <c r="Q527" i="2"/>
  <c r="R527" i="2"/>
  <c r="S527" i="2"/>
  <c r="T527" i="2"/>
  <c r="U527" i="2"/>
  <c r="V527" i="2"/>
  <c r="W527" i="2"/>
  <c r="N528" i="2"/>
  <c r="O528" i="2"/>
  <c r="P528" i="2"/>
  <c r="Q528" i="2"/>
  <c r="R528" i="2"/>
  <c r="S528" i="2"/>
  <c r="T528" i="2"/>
  <c r="U528" i="2"/>
  <c r="V528" i="2"/>
  <c r="W528" i="2"/>
  <c r="N529" i="2"/>
  <c r="X529" i="2" s="1"/>
  <c r="O529" i="2"/>
  <c r="P529" i="2"/>
  <c r="Q529" i="2"/>
  <c r="R529" i="2"/>
  <c r="S529" i="2"/>
  <c r="T529" i="2"/>
  <c r="U529" i="2"/>
  <c r="V529" i="2"/>
  <c r="W529" i="2"/>
  <c r="N530" i="2"/>
  <c r="O530" i="2"/>
  <c r="P530" i="2"/>
  <c r="Q530" i="2"/>
  <c r="R530" i="2"/>
  <c r="S530" i="2"/>
  <c r="T530" i="2"/>
  <c r="U530" i="2"/>
  <c r="V530" i="2"/>
  <c r="W530" i="2"/>
  <c r="N531" i="2"/>
  <c r="O531" i="2"/>
  <c r="P531" i="2"/>
  <c r="Q531" i="2"/>
  <c r="R531" i="2"/>
  <c r="S531" i="2"/>
  <c r="T531" i="2"/>
  <c r="U531" i="2"/>
  <c r="V531" i="2"/>
  <c r="W531" i="2"/>
  <c r="N532" i="2"/>
  <c r="X532" i="2" s="1"/>
  <c r="O532" i="2"/>
  <c r="P532" i="2"/>
  <c r="Q532" i="2"/>
  <c r="R532" i="2"/>
  <c r="S532" i="2"/>
  <c r="T532" i="2"/>
  <c r="U532" i="2"/>
  <c r="V532" i="2"/>
  <c r="W532" i="2"/>
  <c r="N533" i="2"/>
  <c r="O533" i="2"/>
  <c r="P533" i="2"/>
  <c r="Q533" i="2"/>
  <c r="R533" i="2"/>
  <c r="S533" i="2"/>
  <c r="T533" i="2"/>
  <c r="U533" i="2"/>
  <c r="V533" i="2"/>
  <c r="W533" i="2"/>
  <c r="N534" i="2"/>
  <c r="O534" i="2"/>
  <c r="P534" i="2"/>
  <c r="Q534" i="2"/>
  <c r="R534" i="2"/>
  <c r="S534" i="2"/>
  <c r="T534" i="2"/>
  <c r="U534" i="2"/>
  <c r="V534" i="2"/>
  <c r="W534" i="2"/>
  <c r="N535" i="2"/>
  <c r="X535" i="2" s="1"/>
  <c r="O535" i="2"/>
  <c r="P535" i="2"/>
  <c r="Q535" i="2"/>
  <c r="R535" i="2"/>
  <c r="S535" i="2"/>
  <c r="T535" i="2"/>
  <c r="U535" i="2"/>
  <c r="V535" i="2"/>
  <c r="W535" i="2"/>
  <c r="N536" i="2"/>
  <c r="O536" i="2"/>
  <c r="P536" i="2"/>
  <c r="Q536" i="2"/>
  <c r="R536" i="2"/>
  <c r="S536" i="2"/>
  <c r="T536" i="2"/>
  <c r="U536" i="2"/>
  <c r="X536" i="2" s="1"/>
  <c r="V536" i="2"/>
  <c r="W536" i="2"/>
  <c r="N537" i="2"/>
  <c r="O537" i="2"/>
  <c r="P537" i="2"/>
  <c r="Q537" i="2"/>
  <c r="R537" i="2"/>
  <c r="S537" i="2"/>
  <c r="T537" i="2"/>
  <c r="U537" i="2"/>
  <c r="V537" i="2"/>
  <c r="W537" i="2"/>
  <c r="N538" i="2"/>
  <c r="X538" i="2" s="1"/>
  <c r="O538" i="2"/>
  <c r="P538" i="2"/>
  <c r="Q538" i="2"/>
  <c r="R538" i="2"/>
  <c r="S538" i="2"/>
  <c r="T538" i="2"/>
  <c r="U538" i="2"/>
  <c r="V538" i="2"/>
  <c r="W538" i="2"/>
  <c r="N539" i="2"/>
  <c r="O539" i="2"/>
  <c r="P539" i="2"/>
  <c r="Q539" i="2"/>
  <c r="R539" i="2"/>
  <c r="S539" i="2"/>
  <c r="T539" i="2"/>
  <c r="U539" i="2"/>
  <c r="V539" i="2"/>
  <c r="W539" i="2"/>
  <c r="N540" i="2"/>
  <c r="O540" i="2"/>
  <c r="P540" i="2"/>
  <c r="Q540" i="2"/>
  <c r="R540" i="2"/>
  <c r="S540" i="2"/>
  <c r="T540" i="2"/>
  <c r="U540" i="2"/>
  <c r="V540" i="2"/>
  <c r="W540" i="2"/>
  <c r="N541" i="2"/>
  <c r="X541" i="2" s="1"/>
  <c r="O541" i="2"/>
  <c r="P541" i="2"/>
  <c r="Q541" i="2"/>
  <c r="R541" i="2"/>
  <c r="S541" i="2"/>
  <c r="T541" i="2"/>
  <c r="U541" i="2"/>
  <c r="V541" i="2"/>
  <c r="W541" i="2"/>
  <c r="N542" i="2"/>
  <c r="O542" i="2"/>
  <c r="P542" i="2"/>
  <c r="Q542" i="2"/>
  <c r="R542" i="2"/>
  <c r="S542" i="2"/>
  <c r="T542" i="2"/>
  <c r="U542" i="2"/>
  <c r="V542" i="2"/>
  <c r="W542" i="2"/>
  <c r="N543" i="2"/>
  <c r="O543" i="2"/>
  <c r="P543" i="2"/>
  <c r="Q543" i="2"/>
  <c r="R543" i="2"/>
  <c r="S543" i="2"/>
  <c r="T543" i="2"/>
  <c r="U543" i="2"/>
  <c r="V543" i="2"/>
  <c r="W543" i="2"/>
  <c r="N544" i="2"/>
  <c r="X544" i="2" s="1"/>
  <c r="O544" i="2"/>
  <c r="P544" i="2"/>
  <c r="Q544" i="2"/>
  <c r="R544" i="2"/>
  <c r="S544" i="2"/>
  <c r="T544" i="2"/>
  <c r="U544" i="2"/>
  <c r="V544" i="2"/>
  <c r="W544" i="2"/>
  <c r="N545" i="2"/>
  <c r="O545" i="2"/>
  <c r="P545" i="2"/>
  <c r="Q545" i="2"/>
  <c r="R545" i="2"/>
  <c r="S545" i="2"/>
  <c r="T545" i="2"/>
  <c r="U545" i="2"/>
  <c r="V545" i="2"/>
  <c r="W545" i="2"/>
  <c r="N546" i="2"/>
  <c r="O546" i="2"/>
  <c r="P546" i="2"/>
  <c r="Q546" i="2"/>
  <c r="R546" i="2"/>
  <c r="S546" i="2"/>
  <c r="T546" i="2"/>
  <c r="U546" i="2"/>
  <c r="V546" i="2"/>
  <c r="W546" i="2"/>
  <c r="N547" i="2"/>
  <c r="X547" i="2" s="1"/>
  <c r="O547" i="2"/>
  <c r="P547" i="2"/>
  <c r="Q547" i="2"/>
  <c r="R547" i="2"/>
  <c r="S547" i="2"/>
  <c r="T547" i="2"/>
  <c r="U547" i="2"/>
  <c r="V547" i="2"/>
  <c r="W547" i="2"/>
  <c r="N548" i="2"/>
  <c r="O548" i="2"/>
  <c r="P548" i="2"/>
  <c r="Q548" i="2"/>
  <c r="R548" i="2"/>
  <c r="S548" i="2"/>
  <c r="T548" i="2"/>
  <c r="U548" i="2"/>
  <c r="X548" i="2" s="1"/>
  <c r="V548" i="2"/>
  <c r="W548" i="2"/>
  <c r="N549" i="2"/>
  <c r="O549" i="2"/>
  <c r="P549" i="2"/>
  <c r="Q549" i="2"/>
  <c r="R549" i="2"/>
  <c r="S549" i="2"/>
  <c r="T549" i="2"/>
  <c r="U549" i="2"/>
  <c r="V549" i="2"/>
  <c r="W549" i="2"/>
  <c r="N550" i="2"/>
  <c r="X550" i="2" s="1"/>
  <c r="O550" i="2"/>
  <c r="P550" i="2"/>
  <c r="Q550" i="2"/>
  <c r="R550" i="2"/>
  <c r="S550" i="2"/>
  <c r="T550" i="2"/>
  <c r="U550" i="2"/>
  <c r="V550" i="2"/>
  <c r="W550" i="2"/>
  <c r="N551" i="2"/>
  <c r="O551" i="2"/>
  <c r="P551" i="2"/>
  <c r="Q551" i="2"/>
  <c r="R551" i="2"/>
  <c r="S551" i="2"/>
  <c r="T551" i="2"/>
  <c r="U551" i="2"/>
  <c r="V551" i="2"/>
  <c r="W551" i="2"/>
  <c r="N552" i="2"/>
  <c r="O552" i="2"/>
  <c r="P552" i="2"/>
  <c r="Q552" i="2"/>
  <c r="R552" i="2"/>
  <c r="S552" i="2"/>
  <c r="T552" i="2"/>
  <c r="U552" i="2"/>
  <c r="V552" i="2"/>
  <c r="W552" i="2"/>
  <c r="N553" i="2"/>
  <c r="X553" i="2" s="1"/>
  <c r="O553" i="2"/>
  <c r="P553" i="2"/>
  <c r="Q553" i="2"/>
  <c r="R553" i="2"/>
  <c r="S553" i="2"/>
  <c r="T553" i="2"/>
  <c r="U553" i="2"/>
  <c r="V553" i="2"/>
  <c r="W553" i="2"/>
  <c r="N554" i="2"/>
  <c r="O554" i="2"/>
  <c r="P554" i="2"/>
  <c r="Q554" i="2"/>
  <c r="R554" i="2"/>
  <c r="S554" i="2"/>
  <c r="T554" i="2"/>
  <c r="U554" i="2"/>
  <c r="V554" i="2"/>
  <c r="W554" i="2"/>
  <c r="N555" i="2"/>
  <c r="O555" i="2"/>
  <c r="P555" i="2"/>
  <c r="Q555" i="2"/>
  <c r="R555" i="2"/>
  <c r="S555" i="2"/>
  <c r="T555" i="2"/>
  <c r="U555" i="2"/>
  <c r="V555" i="2"/>
  <c r="W555" i="2"/>
  <c r="N556" i="2"/>
  <c r="X556" i="2" s="1"/>
  <c r="O556" i="2"/>
  <c r="P556" i="2"/>
  <c r="Q556" i="2"/>
  <c r="R556" i="2"/>
  <c r="S556" i="2"/>
  <c r="T556" i="2"/>
  <c r="U556" i="2"/>
  <c r="V556" i="2"/>
  <c r="W556" i="2"/>
  <c r="N557" i="2"/>
  <c r="O557" i="2"/>
  <c r="P557" i="2"/>
  <c r="Q557" i="2"/>
  <c r="R557" i="2"/>
  <c r="S557" i="2"/>
  <c r="T557" i="2"/>
  <c r="U557" i="2"/>
  <c r="V557" i="2"/>
  <c r="W557" i="2"/>
  <c r="N558" i="2"/>
  <c r="O558" i="2"/>
  <c r="P558" i="2"/>
  <c r="Q558" i="2"/>
  <c r="R558" i="2"/>
  <c r="S558" i="2"/>
  <c r="T558" i="2"/>
  <c r="U558" i="2"/>
  <c r="V558" i="2"/>
  <c r="W558" i="2"/>
  <c r="N559" i="2"/>
  <c r="X559" i="2" s="1"/>
  <c r="O559" i="2"/>
  <c r="P559" i="2"/>
  <c r="Q559" i="2"/>
  <c r="R559" i="2"/>
  <c r="S559" i="2"/>
  <c r="T559" i="2"/>
  <c r="U559" i="2"/>
  <c r="V559" i="2"/>
  <c r="W559" i="2"/>
  <c r="N560" i="2"/>
  <c r="O560" i="2"/>
  <c r="P560" i="2"/>
  <c r="Q560" i="2"/>
  <c r="R560" i="2"/>
  <c r="S560" i="2"/>
  <c r="T560" i="2"/>
  <c r="U560" i="2"/>
  <c r="X560" i="2" s="1"/>
  <c r="V560" i="2"/>
  <c r="W560" i="2"/>
  <c r="N561" i="2"/>
  <c r="O561" i="2"/>
  <c r="P561" i="2"/>
  <c r="Q561" i="2"/>
  <c r="R561" i="2"/>
  <c r="S561" i="2"/>
  <c r="T561" i="2"/>
  <c r="U561" i="2"/>
  <c r="V561" i="2"/>
  <c r="W561" i="2"/>
  <c r="N562" i="2"/>
  <c r="X562" i="2" s="1"/>
  <c r="O562" i="2"/>
  <c r="P562" i="2"/>
  <c r="Q562" i="2"/>
  <c r="R562" i="2"/>
  <c r="S562" i="2"/>
  <c r="T562" i="2"/>
  <c r="U562" i="2"/>
  <c r="V562" i="2"/>
  <c r="W562" i="2"/>
  <c r="N563" i="2"/>
  <c r="O563" i="2"/>
  <c r="P563" i="2"/>
  <c r="Q563" i="2"/>
  <c r="R563" i="2"/>
  <c r="S563" i="2"/>
  <c r="T563" i="2"/>
  <c r="U563" i="2"/>
  <c r="V563" i="2"/>
  <c r="W563" i="2"/>
  <c r="N564" i="2"/>
  <c r="O564" i="2"/>
  <c r="P564" i="2"/>
  <c r="Q564" i="2"/>
  <c r="R564" i="2"/>
  <c r="S564" i="2"/>
  <c r="T564" i="2"/>
  <c r="U564" i="2"/>
  <c r="V564" i="2"/>
  <c r="W564" i="2"/>
  <c r="N565" i="2"/>
  <c r="X565" i="2" s="1"/>
  <c r="O565" i="2"/>
  <c r="P565" i="2"/>
  <c r="Q565" i="2"/>
  <c r="R565" i="2"/>
  <c r="S565" i="2"/>
  <c r="T565" i="2"/>
  <c r="U565" i="2"/>
  <c r="V565" i="2"/>
  <c r="W565" i="2"/>
  <c r="N566" i="2"/>
  <c r="O566" i="2"/>
  <c r="P566" i="2"/>
  <c r="Q566" i="2"/>
  <c r="R566" i="2"/>
  <c r="S566" i="2"/>
  <c r="T566" i="2"/>
  <c r="U566" i="2"/>
  <c r="V566" i="2"/>
  <c r="W566" i="2"/>
  <c r="N567" i="2"/>
  <c r="O567" i="2"/>
  <c r="P567" i="2"/>
  <c r="Q567" i="2"/>
  <c r="R567" i="2"/>
  <c r="S567" i="2"/>
  <c r="T567" i="2"/>
  <c r="U567" i="2"/>
  <c r="V567" i="2"/>
  <c r="W567" i="2"/>
  <c r="N568" i="2"/>
  <c r="X568" i="2" s="1"/>
  <c r="O568" i="2"/>
  <c r="P568" i="2"/>
  <c r="Q568" i="2"/>
  <c r="R568" i="2"/>
  <c r="S568" i="2"/>
  <c r="T568" i="2"/>
  <c r="U568" i="2"/>
  <c r="V568" i="2"/>
  <c r="W568" i="2"/>
  <c r="N569" i="2"/>
  <c r="O569" i="2"/>
  <c r="P569" i="2"/>
  <c r="Q569" i="2"/>
  <c r="R569" i="2"/>
  <c r="S569" i="2"/>
  <c r="T569" i="2"/>
  <c r="U569" i="2"/>
  <c r="V569" i="2"/>
  <c r="W569" i="2"/>
  <c r="N570" i="2"/>
  <c r="O570" i="2"/>
  <c r="P570" i="2"/>
  <c r="Q570" i="2"/>
  <c r="R570" i="2"/>
  <c r="S570" i="2"/>
  <c r="T570" i="2"/>
  <c r="U570" i="2"/>
  <c r="V570" i="2"/>
  <c r="W570" i="2"/>
  <c r="N571" i="2"/>
  <c r="X571" i="2" s="1"/>
  <c r="O571" i="2"/>
  <c r="P571" i="2"/>
  <c r="Q571" i="2"/>
  <c r="R571" i="2"/>
  <c r="S571" i="2"/>
  <c r="T571" i="2"/>
  <c r="U571" i="2"/>
  <c r="V571" i="2"/>
  <c r="W571" i="2"/>
  <c r="N572" i="2"/>
  <c r="O572" i="2"/>
  <c r="P572" i="2"/>
  <c r="Q572" i="2"/>
  <c r="R572" i="2"/>
  <c r="S572" i="2"/>
  <c r="T572" i="2"/>
  <c r="U572" i="2"/>
  <c r="X572" i="2" s="1"/>
  <c r="V572" i="2"/>
  <c r="W572" i="2"/>
  <c r="N573" i="2"/>
  <c r="O573" i="2"/>
  <c r="P573" i="2"/>
  <c r="Q573" i="2"/>
  <c r="R573" i="2"/>
  <c r="S573" i="2"/>
  <c r="T573" i="2"/>
  <c r="U573" i="2"/>
  <c r="V573" i="2"/>
  <c r="W573" i="2"/>
  <c r="N574" i="2"/>
  <c r="X574" i="2" s="1"/>
  <c r="O574" i="2"/>
  <c r="P574" i="2"/>
  <c r="Q574" i="2"/>
  <c r="R574" i="2"/>
  <c r="S574" i="2"/>
  <c r="T574" i="2"/>
  <c r="U574" i="2"/>
  <c r="V574" i="2"/>
  <c r="W574" i="2"/>
  <c r="N575" i="2"/>
  <c r="O575" i="2"/>
  <c r="P575" i="2"/>
  <c r="Q575" i="2"/>
  <c r="R575" i="2"/>
  <c r="S575" i="2"/>
  <c r="T575" i="2"/>
  <c r="U575" i="2"/>
  <c r="V575" i="2"/>
  <c r="W575" i="2"/>
  <c r="N576" i="2"/>
  <c r="O576" i="2"/>
  <c r="P576" i="2"/>
  <c r="Q576" i="2"/>
  <c r="R576" i="2"/>
  <c r="S576" i="2"/>
  <c r="T576" i="2"/>
  <c r="U576" i="2"/>
  <c r="V576" i="2"/>
  <c r="W576" i="2"/>
  <c r="N577" i="2"/>
  <c r="X577" i="2" s="1"/>
  <c r="O577" i="2"/>
  <c r="P577" i="2"/>
  <c r="Q577" i="2"/>
  <c r="R577" i="2"/>
  <c r="S577" i="2"/>
  <c r="T577" i="2"/>
  <c r="U577" i="2"/>
  <c r="V577" i="2"/>
  <c r="W577" i="2"/>
  <c r="N578" i="2"/>
  <c r="O578" i="2"/>
  <c r="P578" i="2"/>
  <c r="Q578" i="2"/>
  <c r="R578" i="2"/>
  <c r="S578" i="2"/>
  <c r="T578" i="2"/>
  <c r="U578" i="2"/>
  <c r="V578" i="2"/>
  <c r="W578" i="2"/>
  <c r="N579" i="2"/>
  <c r="O579" i="2"/>
  <c r="P579" i="2"/>
  <c r="Q579" i="2"/>
  <c r="R579" i="2"/>
  <c r="S579" i="2"/>
  <c r="T579" i="2"/>
  <c r="U579" i="2"/>
  <c r="V579" i="2"/>
  <c r="W579" i="2"/>
  <c r="N580" i="2"/>
  <c r="X580" i="2" s="1"/>
  <c r="O580" i="2"/>
  <c r="P580" i="2"/>
  <c r="Q580" i="2"/>
  <c r="R580" i="2"/>
  <c r="S580" i="2"/>
  <c r="T580" i="2"/>
  <c r="U580" i="2"/>
  <c r="V580" i="2"/>
  <c r="W580" i="2"/>
  <c r="N581" i="2"/>
  <c r="O581" i="2"/>
  <c r="P581" i="2"/>
  <c r="Q581" i="2"/>
  <c r="R581" i="2"/>
  <c r="S581" i="2"/>
  <c r="T581" i="2"/>
  <c r="U581" i="2"/>
  <c r="V581" i="2"/>
  <c r="W581" i="2"/>
  <c r="N582" i="2"/>
  <c r="O582" i="2"/>
  <c r="P582" i="2"/>
  <c r="Q582" i="2"/>
  <c r="R582" i="2"/>
  <c r="S582" i="2"/>
  <c r="T582" i="2"/>
  <c r="U582" i="2"/>
  <c r="V582" i="2"/>
  <c r="W582" i="2"/>
  <c r="N583" i="2"/>
  <c r="X583" i="2" s="1"/>
  <c r="O583" i="2"/>
  <c r="P583" i="2"/>
  <c r="Q583" i="2"/>
  <c r="R583" i="2"/>
  <c r="S583" i="2"/>
  <c r="T583" i="2"/>
  <c r="U583" i="2"/>
  <c r="V583" i="2"/>
  <c r="W583" i="2"/>
  <c r="N584" i="2"/>
  <c r="O584" i="2"/>
  <c r="P584" i="2"/>
  <c r="Q584" i="2"/>
  <c r="R584" i="2"/>
  <c r="S584" i="2"/>
  <c r="T584" i="2"/>
  <c r="U584" i="2"/>
  <c r="X584" i="2" s="1"/>
  <c r="V584" i="2"/>
  <c r="W584" i="2"/>
  <c r="N585" i="2"/>
  <c r="O585" i="2"/>
  <c r="P585" i="2"/>
  <c r="Q585" i="2"/>
  <c r="R585" i="2"/>
  <c r="S585" i="2"/>
  <c r="T585" i="2"/>
  <c r="U585" i="2"/>
  <c r="V585" i="2"/>
  <c r="W585" i="2"/>
  <c r="N586" i="2"/>
  <c r="X586" i="2" s="1"/>
  <c r="O586" i="2"/>
  <c r="P586" i="2"/>
  <c r="Q586" i="2"/>
  <c r="R586" i="2"/>
  <c r="S586" i="2"/>
  <c r="T586" i="2"/>
  <c r="U586" i="2"/>
  <c r="V586" i="2"/>
  <c r="W586" i="2"/>
  <c r="N587" i="2"/>
  <c r="O587" i="2"/>
  <c r="P587" i="2"/>
  <c r="Q587" i="2"/>
  <c r="R587" i="2"/>
  <c r="S587" i="2"/>
  <c r="T587" i="2"/>
  <c r="U587" i="2"/>
  <c r="V587" i="2"/>
  <c r="W587" i="2"/>
  <c r="N588" i="2"/>
  <c r="O588" i="2"/>
  <c r="P588" i="2"/>
  <c r="Q588" i="2"/>
  <c r="R588" i="2"/>
  <c r="S588" i="2"/>
  <c r="T588" i="2"/>
  <c r="U588" i="2"/>
  <c r="V588" i="2"/>
  <c r="W588" i="2"/>
  <c r="N589" i="2"/>
  <c r="X589" i="2" s="1"/>
  <c r="O589" i="2"/>
  <c r="P589" i="2"/>
  <c r="Q589" i="2"/>
  <c r="R589" i="2"/>
  <c r="S589" i="2"/>
  <c r="T589" i="2"/>
  <c r="U589" i="2"/>
  <c r="V589" i="2"/>
  <c r="W589" i="2"/>
  <c r="N590" i="2"/>
  <c r="O590" i="2"/>
  <c r="P590" i="2"/>
  <c r="Q590" i="2"/>
  <c r="R590" i="2"/>
  <c r="S590" i="2"/>
  <c r="T590" i="2"/>
  <c r="U590" i="2"/>
  <c r="V590" i="2"/>
  <c r="W590" i="2"/>
  <c r="N591" i="2"/>
  <c r="O591" i="2"/>
  <c r="P591" i="2"/>
  <c r="Q591" i="2"/>
  <c r="R591" i="2"/>
  <c r="S591" i="2"/>
  <c r="T591" i="2"/>
  <c r="U591" i="2"/>
  <c r="V591" i="2"/>
  <c r="W591" i="2"/>
  <c r="N592" i="2"/>
  <c r="X592" i="2" s="1"/>
  <c r="O592" i="2"/>
  <c r="P592" i="2"/>
  <c r="Q592" i="2"/>
  <c r="R592" i="2"/>
  <c r="S592" i="2"/>
  <c r="T592" i="2"/>
  <c r="U592" i="2"/>
  <c r="V592" i="2"/>
  <c r="W592" i="2"/>
  <c r="N593" i="2"/>
  <c r="O593" i="2"/>
  <c r="P593" i="2"/>
  <c r="Q593" i="2"/>
  <c r="R593" i="2"/>
  <c r="S593" i="2"/>
  <c r="T593" i="2"/>
  <c r="U593" i="2"/>
  <c r="V593" i="2"/>
  <c r="W593" i="2"/>
  <c r="N594" i="2"/>
  <c r="O594" i="2"/>
  <c r="P594" i="2"/>
  <c r="Q594" i="2"/>
  <c r="R594" i="2"/>
  <c r="S594" i="2"/>
  <c r="T594" i="2"/>
  <c r="U594" i="2"/>
  <c r="V594" i="2"/>
  <c r="W594" i="2"/>
  <c r="N595" i="2"/>
  <c r="X595" i="2" s="1"/>
  <c r="O595" i="2"/>
  <c r="P595" i="2"/>
  <c r="Q595" i="2"/>
  <c r="R595" i="2"/>
  <c r="S595" i="2"/>
  <c r="T595" i="2"/>
  <c r="U595" i="2"/>
  <c r="V595" i="2"/>
  <c r="W595" i="2"/>
  <c r="N596" i="2"/>
  <c r="O596" i="2"/>
  <c r="P596" i="2"/>
  <c r="Q596" i="2"/>
  <c r="R596" i="2"/>
  <c r="S596" i="2"/>
  <c r="T596" i="2"/>
  <c r="U596" i="2"/>
  <c r="X596" i="2" s="1"/>
  <c r="V596" i="2"/>
  <c r="W596" i="2"/>
  <c r="N597" i="2"/>
  <c r="O597" i="2"/>
  <c r="P597" i="2"/>
  <c r="Q597" i="2"/>
  <c r="R597" i="2"/>
  <c r="S597" i="2"/>
  <c r="T597" i="2"/>
  <c r="U597" i="2"/>
  <c r="V597" i="2"/>
  <c r="W597" i="2"/>
  <c r="N598" i="2"/>
  <c r="X598" i="2" s="1"/>
  <c r="O598" i="2"/>
  <c r="P598" i="2"/>
  <c r="Q598" i="2"/>
  <c r="R598" i="2"/>
  <c r="S598" i="2"/>
  <c r="T598" i="2"/>
  <c r="U598" i="2"/>
  <c r="V598" i="2"/>
  <c r="W598" i="2"/>
  <c r="N599" i="2"/>
  <c r="O599" i="2"/>
  <c r="P599" i="2"/>
  <c r="Q599" i="2"/>
  <c r="R599" i="2"/>
  <c r="S599" i="2"/>
  <c r="T599" i="2"/>
  <c r="U599" i="2"/>
  <c r="V599" i="2"/>
  <c r="W599" i="2"/>
  <c r="N600" i="2"/>
  <c r="O600" i="2"/>
  <c r="P600" i="2"/>
  <c r="Q600" i="2"/>
  <c r="R600" i="2"/>
  <c r="S600" i="2"/>
  <c r="T600" i="2"/>
  <c r="U600" i="2"/>
  <c r="V600" i="2"/>
  <c r="W600" i="2"/>
  <c r="N601" i="2"/>
  <c r="X601" i="2" s="1"/>
  <c r="O601" i="2"/>
  <c r="P601" i="2"/>
  <c r="Q601" i="2"/>
  <c r="R601" i="2"/>
  <c r="S601" i="2"/>
  <c r="T601" i="2"/>
  <c r="U601" i="2"/>
  <c r="V601" i="2"/>
  <c r="W601" i="2"/>
  <c r="N602" i="2"/>
  <c r="O602" i="2"/>
  <c r="P602" i="2"/>
  <c r="Q602" i="2"/>
  <c r="R602" i="2"/>
  <c r="S602" i="2"/>
  <c r="T602" i="2"/>
  <c r="U602" i="2"/>
  <c r="V602" i="2"/>
  <c r="W602" i="2"/>
  <c r="N603" i="2"/>
  <c r="O603" i="2"/>
  <c r="P603" i="2"/>
  <c r="Q603" i="2"/>
  <c r="R603" i="2"/>
  <c r="S603" i="2"/>
  <c r="T603" i="2"/>
  <c r="U603" i="2"/>
  <c r="V603" i="2"/>
  <c r="W603" i="2"/>
  <c r="N604" i="2"/>
  <c r="X604" i="2" s="1"/>
  <c r="O604" i="2"/>
  <c r="P604" i="2"/>
  <c r="Q604" i="2"/>
  <c r="R604" i="2"/>
  <c r="S604" i="2"/>
  <c r="T604" i="2"/>
  <c r="U604" i="2"/>
  <c r="V604" i="2"/>
  <c r="W604" i="2"/>
  <c r="N605" i="2"/>
  <c r="O605" i="2"/>
  <c r="P605" i="2"/>
  <c r="Q605" i="2"/>
  <c r="R605" i="2"/>
  <c r="S605" i="2"/>
  <c r="T605" i="2"/>
  <c r="U605" i="2"/>
  <c r="V605" i="2"/>
  <c r="W605" i="2"/>
  <c r="N606" i="2"/>
  <c r="O606" i="2"/>
  <c r="P606" i="2"/>
  <c r="Q606" i="2"/>
  <c r="R606" i="2"/>
  <c r="S606" i="2"/>
  <c r="T606" i="2"/>
  <c r="U606" i="2"/>
  <c r="V606" i="2"/>
  <c r="W606" i="2"/>
  <c r="N607" i="2"/>
  <c r="X607" i="2" s="1"/>
  <c r="O607" i="2"/>
  <c r="P607" i="2"/>
  <c r="Q607" i="2"/>
  <c r="R607" i="2"/>
  <c r="S607" i="2"/>
  <c r="T607" i="2"/>
  <c r="U607" i="2"/>
  <c r="V607" i="2"/>
  <c r="W607" i="2"/>
  <c r="N608" i="2"/>
  <c r="O608" i="2"/>
  <c r="P608" i="2"/>
  <c r="Q608" i="2"/>
  <c r="R608" i="2"/>
  <c r="S608" i="2"/>
  <c r="T608" i="2"/>
  <c r="U608" i="2"/>
  <c r="X608" i="2" s="1"/>
  <c r="V608" i="2"/>
  <c r="W608" i="2"/>
  <c r="N609" i="2"/>
  <c r="O609" i="2"/>
  <c r="P609" i="2"/>
  <c r="Q609" i="2"/>
  <c r="R609" i="2"/>
  <c r="S609" i="2"/>
  <c r="T609" i="2"/>
  <c r="U609" i="2"/>
  <c r="V609" i="2"/>
  <c r="W609" i="2"/>
  <c r="N610" i="2"/>
  <c r="X610" i="2" s="1"/>
  <c r="O610" i="2"/>
  <c r="P610" i="2"/>
  <c r="Q610" i="2"/>
  <c r="R610" i="2"/>
  <c r="S610" i="2"/>
  <c r="T610" i="2"/>
  <c r="U610" i="2"/>
  <c r="V610" i="2"/>
  <c r="W610" i="2"/>
  <c r="N611" i="2"/>
  <c r="O611" i="2"/>
  <c r="P611" i="2"/>
  <c r="Q611" i="2"/>
  <c r="R611" i="2"/>
  <c r="S611" i="2"/>
  <c r="T611" i="2"/>
  <c r="U611" i="2"/>
  <c r="V611" i="2"/>
  <c r="W611" i="2"/>
  <c r="N612" i="2"/>
  <c r="O612" i="2"/>
  <c r="P612" i="2"/>
  <c r="Q612" i="2"/>
  <c r="R612" i="2"/>
  <c r="S612" i="2"/>
  <c r="T612" i="2"/>
  <c r="U612" i="2"/>
  <c r="V612" i="2"/>
  <c r="W612" i="2"/>
  <c r="N613" i="2"/>
  <c r="X613" i="2" s="1"/>
  <c r="O613" i="2"/>
  <c r="P613" i="2"/>
  <c r="Q613" i="2"/>
  <c r="R613" i="2"/>
  <c r="S613" i="2"/>
  <c r="T613" i="2"/>
  <c r="U613" i="2"/>
  <c r="V613" i="2"/>
  <c r="W613" i="2"/>
  <c r="N614" i="2"/>
  <c r="O614" i="2"/>
  <c r="P614" i="2"/>
  <c r="Q614" i="2"/>
  <c r="R614" i="2"/>
  <c r="S614" i="2"/>
  <c r="T614" i="2"/>
  <c r="U614" i="2"/>
  <c r="V614" i="2"/>
  <c r="W614" i="2"/>
  <c r="N615" i="2"/>
  <c r="O615" i="2"/>
  <c r="P615" i="2"/>
  <c r="Q615" i="2"/>
  <c r="R615" i="2"/>
  <c r="S615" i="2"/>
  <c r="T615" i="2"/>
  <c r="U615" i="2"/>
  <c r="V615" i="2"/>
  <c r="W615" i="2"/>
  <c r="N616" i="2"/>
  <c r="X616" i="2" s="1"/>
  <c r="O616" i="2"/>
  <c r="P616" i="2"/>
  <c r="Q616" i="2"/>
  <c r="R616" i="2"/>
  <c r="S616" i="2"/>
  <c r="T616" i="2"/>
  <c r="U616" i="2"/>
  <c r="V616" i="2"/>
  <c r="W616" i="2"/>
  <c r="N617" i="2"/>
  <c r="O617" i="2"/>
  <c r="P617" i="2"/>
  <c r="Q617" i="2"/>
  <c r="R617" i="2"/>
  <c r="S617" i="2"/>
  <c r="T617" i="2"/>
  <c r="U617" i="2"/>
  <c r="V617" i="2"/>
  <c r="W617" i="2"/>
  <c r="N618" i="2"/>
  <c r="O618" i="2"/>
  <c r="P618" i="2"/>
  <c r="Q618" i="2"/>
  <c r="R618" i="2"/>
  <c r="S618" i="2"/>
  <c r="T618" i="2"/>
  <c r="U618" i="2"/>
  <c r="V618" i="2"/>
  <c r="W618" i="2"/>
  <c r="N619" i="2"/>
  <c r="X619" i="2" s="1"/>
  <c r="O619" i="2"/>
  <c r="P619" i="2"/>
  <c r="Q619" i="2"/>
  <c r="R619" i="2"/>
  <c r="S619" i="2"/>
  <c r="T619" i="2"/>
  <c r="U619" i="2"/>
  <c r="V619" i="2"/>
  <c r="W619" i="2"/>
  <c r="N620" i="2"/>
  <c r="O620" i="2"/>
  <c r="P620" i="2"/>
  <c r="Q620" i="2"/>
  <c r="R620" i="2"/>
  <c r="S620" i="2"/>
  <c r="T620" i="2"/>
  <c r="U620" i="2"/>
  <c r="X620" i="2" s="1"/>
  <c r="V620" i="2"/>
  <c r="W620" i="2"/>
  <c r="N621" i="2"/>
  <c r="O621" i="2"/>
  <c r="P621" i="2"/>
  <c r="Q621" i="2"/>
  <c r="R621" i="2"/>
  <c r="S621" i="2"/>
  <c r="T621" i="2"/>
  <c r="U621" i="2"/>
  <c r="V621" i="2"/>
  <c r="W621" i="2"/>
  <c r="N622" i="2"/>
  <c r="X622" i="2" s="1"/>
  <c r="O622" i="2"/>
  <c r="P622" i="2"/>
  <c r="Q622" i="2"/>
  <c r="R622" i="2"/>
  <c r="S622" i="2"/>
  <c r="T622" i="2"/>
  <c r="U622" i="2"/>
  <c r="V622" i="2"/>
  <c r="W622" i="2"/>
  <c r="N623" i="2"/>
  <c r="O623" i="2"/>
  <c r="P623" i="2"/>
  <c r="Q623" i="2"/>
  <c r="R623" i="2"/>
  <c r="S623" i="2"/>
  <c r="T623" i="2"/>
  <c r="U623" i="2"/>
  <c r="V623" i="2"/>
  <c r="W623" i="2"/>
  <c r="N624" i="2"/>
  <c r="O624" i="2"/>
  <c r="P624" i="2"/>
  <c r="Q624" i="2"/>
  <c r="R624" i="2"/>
  <c r="S624" i="2"/>
  <c r="T624" i="2"/>
  <c r="U624" i="2"/>
  <c r="V624" i="2"/>
  <c r="W624" i="2"/>
  <c r="N625" i="2"/>
  <c r="X625" i="2" s="1"/>
  <c r="O625" i="2"/>
  <c r="P625" i="2"/>
  <c r="Q625" i="2"/>
  <c r="R625" i="2"/>
  <c r="S625" i="2"/>
  <c r="T625" i="2"/>
  <c r="U625" i="2"/>
  <c r="V625" i="2"/>
  <c r="W625" i="2"/>
  <c r="N626" i="2"/>
  <c r="O626" i="2"/>
  <c r="P626" i="2"/>
  <c r="Q626" i="2"/>
  <c r="R626" i="2"/>
  <c r="S626" i="2"/>
  <c r="T626" i="2"/>
  <c r="U626" i="2"/>
  <c r="V626" i="2"/>
  <c r="W626" i="2"/>
  <c r="N627" i="2"/>
  <c r="O627" i="2"/>
  <c r="P627" i="2"/>
  <c r="Q627" i="2"/>
  <c r="R627" i="2"/>
  <c r="S627" i="2"/>
  <c r="T627" i="2"/>
  <c r="U627" i="2"/>
  <c r="V627" i="2"/>
  <c r="W627" i="2"/>
  <c r="N628" i="2"/>
  <c r="X628" i="2" s="1"/>
  <c r="O628" i="2"/>
  <c r="P628" i="2"/>
  <c r="Q628" i="2"/>
  <c r="R628" i="2"/>
  <c r="S628" i="2"/>
  <c r="T628" i="2"/>
  <c r="U628" i="2"/>
  <c r="V628" i="2"/>
  <c r="W628" i="2"/>
  <c r="N629" i="2"/>
  <c r="O629" i="2"/>
  <c r="P629" i="2"/>
  <c r="Q629" i="2"/>
  <c r="R629" i="2"/>
  <c r="S629" i="2"/>
  <c r="T629" i="2"/>
  <c r="U629" i="2"/>
  <c r="V629" i="2"/>
  <c r="W629" i="2"/>
  <c r="N630" i="2"/>
  <c r="O630" i="2"/>
  <c r="P630" i="2"/>
  <c r="Q630" i="2"/>
  <c r="R630" i="2"/>
  <c r="S630" i="2"/>
  <c r="T630" i="2"/>
  <c r="U630" i="2"/>
  <c r="V630" i="2"/>
  <c r="W630" i="2"/>
  <c r="N631" i="2"/>
  <c r="X631" i="2" s="1"/>
  <c r="O631" i="2"/>
  <c r="P631" i="2"/>
  <c r="Q631" i="2"/>
  <c r="R631" i="2"/>
  <c r="S631" i="2"/>
  <c r="T631" i="2"/>
  <c r="U631" i="2"/>
  <c r="V631" i="2"/>
  <c r="W631" i="2"/>
  <c r="N632" i="2"/>
  <c r="O632" i="2"/>
  <c r="P632" i="2"/>
  <c r="Q632" i="2"/>
  <c r="R632" i="2"/>
  <c r="S632" i="2"/>
  <c r="T632" i="2"/>
  <c r="U632" i="2"/>
  <c r="X632" i="2" s="1"/>
  <c r="V632" i="2"/>
  <c r="W632" i="2"/>
  <c r="N633" i="2"/>
  <c r="O633" i="2"/>
  <c r="P633" i="2"/>
  <c r="Q633" i="2"/>
  <c r="R633" i="2"/>
  <c r="S633" i="2"/>
  <c r="T633" i="2"/>
  <c r="U633" i="2"/>
  <c r="V633" i="2"/>
  <c r="W633" i="2"/>
  <c r="N634" i="2"/>
  <c r="X634" i="2" s="1"/>
  <c r="O634" i="2"/>
  <c r="P634" i="2"/>
  <c r="Q634" i="2"/>
  <c r="R634" i="2"/>
  <c r="S634" i="2"/>
  <c r="T634" i="2"/>
  <c r="U634" i="2"/>
  <c r="V634" i="2"/>
  <c r="W634" i="2"/>
  <c r="N635" i="2"/>
  <c r="O635" i="2"/>
  <c r="P635" i="2"/>
  <c r="Q635" i="2"/>
  <c r="R635" i="2"/>
  <c r="S635" i="2"/>
  <c r="T635" i="2"/>
  <c r="U635" i="2"/>
  <c r="V635" i="2"/>
  <c r="W635" i="2"/>
  <c r="N636" i="2"/>
  <c r="O636" i="2"/>
  <c r="P636" i="2"/>
  <c r="Q636" i="2"/>
  <c r="R636" i="2"/>
  <c r="S636" i="2"/>
  <c r="T636" i="2"/>
  <c r="U636" i="2"/>
  <c r="V636" i="2"/>
  <c r="W636" i="2"/>
  <c r="N637" i="2"/>
  <c r="X637" i="2" s="1"/>
  <c r="O637" i="2"/>
  <c r="P637" i="2"/>
  <c r="Q637" i="2"/>
  <c r="R637" i="2"/>
  <c r="S637" i="2"/>
  <c r="T637" i="2"/>
  <c r="U637" i="2"/>
  <c r="V637" i="2"/>
  <c r="W637" i="2"/>
  <c r="N638" i="2"/>
  <c r="O638" i="2"/>
  <c r="P638" i="2"/>
  <c r="Q638" i="2"/>
  <c r="R638" i="2"/>
  <c r="S638" i="2"/>
  <c r="T638" i="2"/>
  <c r="U638" i="2"/>
  <c r="V638" i="2"/>
  <c r="W638" i="2"/>
  <c r="N639" i="2"/>
  <c r="O639" i="2"/>
  <c r="P639" i="2"/>
  <c r="Q639" i="2"/>
  <c r="R639" i="2"/>
  <c r="S639" i="2"/>
  <c r="T639" i="2"/>
  <c r="U639" i="2"/>
  <c r="V639" i="2"/>
  <c r="W639" i="2"/>
  <c r="N640" i="2"/>
  <c r="X640" i="2" s="1"/>
  <c r="O640" i="2"/>
  <c r="P640" i="2"/>
  <c r="Q640" i="2"/>
  <c r="R640" i="2"/>
  <c r="S640" i="2"/>
  <c r="T640" i="2"/>
  <c r="U640" i="2"/>
  <c r="V640" i="2"/>
  <c r="W640" i="2"/>
  <c r="N641" i="2"/>
  <c r="O641" i="2"/>
  <c r="P641" i="2"/>
  <c r="Q641" i="2"/>
  <c r="R641" i="2"/>
  <c r="S641" i="2"/>
  <c r="T641" i="2"/>
  <c r="U641" i="2"/>
  <c r="V641" i="2"/>
  <c r="W641" i="2"/>
  <c r="N642" i="2"/>
  <c r="O642" i="2"/>
  <c r="P642" i="2"/>
  <c r="Q642" i="2"/>
  <c r="R642" i="2"/>
  <c r="S642" i="2"/>
  <c r="T642" i="2"/>
  <c r="U642" i="2"/>
  <c r="V642" i="2"/>
  <c r="W642" i="2"/>
  <c r="N643" i="2"/>
  <c r="X643" i="2" s="1"/>
  <c r="O643" i="2"/>
  <c r="P643" i="2"/>
  <c r="Q643" i="2"/>
  <c r="R643" i="2"/>
  <c r="S643" i="2"/>
  <c r="T643" i="2"/>
  <c r="U643" i="2"/>
  <c r="V643" i="2"/>
  <c r="W643" i="2"/>
  <c r="N644" i="2"/>
  <c r="O644" i="2"/>
  <c r="P644" i="2"/>
  <c r="Q644" i="2"/>
  <c r="R644" i="2"/>
  <c r="S644" i="2"/>
  <c r="T644" i="2"/>
  <c r="U644" i="2"/>
  <c r="X644" i="2" s="1"/>
  <c r="V644" i="2"/>
  <c r="W644" i="2"/>
  <c r="N645" i="2"/>
  <c r="O645" i="2"/>
  <c r="P645" i="2"/>
  <c r="Q645" i="2"/>
  <c r="R645" i="2"/>
  <c r="S645" i="2"/>
  <c r="T645" i="2"/>
  <c r="U645" i="2"/>
  <c r="V645" i="2"/>
  <c r="W645" i="2"/>
  <c r="N646" i="2"/>
  <c r="X646" i="2" s="1"/>
  <c r="O646" i="2"/>
  <c r="P646" i="2"/>
  <c r="Q646" i="2"/>
  <c r="R646" i="2"/>
  <c r="S646" i="2"/>
  <c r="T646" i="2"/>
  <c r="U646" i="2"/>
  <c r="V646" i="2"/>
  <c r="W646" i="2"/>
  <c r="N647" i="2"/>
  <c r="O647" i="2"/>
  <c r="P647" i="2"/>
  <c r="Q647" i="2"/>
  <c r="R647" i="2"/>
  <c r="S647" i="2"/>
  <c r="T647" i="2"/>
  <c r="U647" i="2"/>
  <c r="V647" i="2"/>
  <c r="W647" i="2"/>
  <c r="N648" i="2"/>
  <c r="O648" i="2"/>
  <c r="P648" i="2"/>
  <c r="Q648" i="2"/>
  <c r="R648" i="2"/>
  <c r="S648" i="2"/>
  <c r="T648" i="2"/>
  <c r="U648" i="2"/>
  <c r="V648" i="2"/>
  <c r="W648" i="2"/>
  <c r="N649" i="2"/>
  <c r="X649" i="2" s="1"/>
  <c r="O649" i="2"/>
  <c r="P649" i="2"/>
  <c r="Q649" i="2"/>
  <c r="R649" i="2"/>
  <c r="S649" i="2"/>
  <c r="T649" i="2"/>
  <c r="U649" i="2"/>
  <c r="V649" i="2"/>
  <c r="W649" i="2"/>
  <c r="N650" i="2"/>
  <c r="O650" i="2"/>
  <c r="P650" i="2"/>
  <c r="Q650" i="2"/>
  <c r="R650" i="2"/>
  <c r="S650" i="2"/>
  <c r="T650" i="2"/>
  <c r="U650" i="2"/>
  <c r="V650" i="2"/>
  <c r="W650" i="2"/>
  <c r="N651" i="2"/>
  <c r="O651" i="2"/>
  <c r="P651" i="2"/>
  <c r="Q651" i="2"/>
  <c r="R651" i="2"/>
  <c r="S651" i="2"/>
  <c r="T651" i="2"/>
  <c r="U651" i="2"/>
  <c r="V651" i="2"/>
  <c r="W651" i="2"/>
  <c r="N652" i="2"/>
  <c r="X652" i="2" s="1"/>
  <c r="O652" i="2"/>
  <c r="P652" i="2"/>
  <c r="Q652" i="2"/>
  <c r="R652" i="2"/>
  <c r="S652" i="2"/>
  <c r="T652" i="2"/>
  <c r="U652" i="2"/>
  <c r="V652" i="2"/>
  <c r="W652" i="2"/>
  <c r="N653" i="2"/>
  <c r="O653" i="2"/>
  <c r="P653" i="2"/>
  <c r="Q653" i="2"/>
  <c r="R653" i="2"/>
  <c r="S653" i="2"/>
  <c r="T653" i="2"/>
  <c r="U653" i="2"/>
  <c r="V653" i="2"/>
  <c r="W653" i="2"/>
  <c r="N654" i="2"/>
  <c r="O654" i="2"/>
  <c r="P654" i="2"/>
  <c r="Q654" i="2"/>
  <c r="R654" i="2"/>
  <c r="S654" i="2"/>
  <c r="T654" i="2"/>
  <c r="U654" i="2"/>
  <c r="V654" i="2"/>
  <c r="W654" i="2"/>
  <c r="N655" i="2"/>
  <c r="X655" i="2" s="1"/>
  <c r="O655" i="2"/>
  <c r="P655" i="2"/>
  <c r="Q655" i="2"/>
  <c r="R655" i="2"/>
  <c r="S655" i="2"/>
  <c r="T655" i="2"/>
  <c r="U655" i="2"/>
  <c r="V655" i="2"/>
  <c r="W655" i="2"/>
  <c r="N656" i="2"/>
  <c r="O656" i="2"/>
  <c r="P656" i="2"/>
  <c r="Q656" i="2"/>
  <c r="R656" i="2"/>
  <c r="S656" i="2"/>
  <c r="T656" i="2"/>
  <c r="U656" i="2"/>
  <c r="X656" i="2" s="1"/>
  <c r="V656" i="2"/>
  <c r="W656" i="2"/>
  <c r="N657" i="2"/>
  <c r="O657" i="2"/>
  <c r="P657" i="2"/>
  <c r="Q657" i="2"/>
  <c r="R657" i="2"/>
  <c r="S657" i="2"/>
  <c r="T657" i="2"/>
  <c r="U657" i="2"/>
  <c r="V657" i="2"/>
  <c r="W657" i="2"/>
  <c r="N658" i="2"/>
  <c r="X658" i="2" s="1"/>
  <c r="O658" i="2"/>
  <c r="P658" i="2"/>
  <c r="Q658" i="2"/>
  <c r="R658" i="2"/>
  <c r="S658" i="2"/>
  <c r="T658" i="2"/>
  <c r="U658" i="2"/>
  <c r="V658" i="2"/>
  <c r="W658" i="2"/>
  <c r="N659" i="2"/>
  <c r="O659" i="2"/>
  <c r="P659" i="2"/>
  <c r="Q659" i="2"/>
  <c r="R659" i="2"/>
  <c r="S659" i="2"/>
  <c r="T659" i="2"/>
  <c r="U659" i="2"/>
  <c r="V659" i="2"/>
  <c r="W659" i="2"/>
  <c r="N660" i="2"/>
  <c r="O660" i="2"/>
  <c r="P660" i="2"/>
  <c r="Q660" i="2"/>
  <c r="R660" i="2"/>
  <c r="S660" i="2"/>
  <c r="T660" i="2"/>
  <c r="U660" i="2"/>
  <c r="V660" i="2"/>
  <c r="W660" i="2"/>
  <c r="N661" i="2"/>
  <c r="X661" i="2" s="1"/>
  <c r="O661" i="2"/>
  <c r="P661" i="2"/>
  <c r="Q661" i="2"/>
  <c r="R661" i="2"/>
  <c r="S661" i="2"/>
  <c r="T661" i="2"/>
  <c r="U661" i="2"/>
  <c r="V661" i="2"/>
  <c r="W661" i="2"/>
  <c r="N662" i="2"/>
  <c r="O662" i="2"/>
  <c r="P662" i="2"/>
  <c r="Q662" i="2"/>
  <c r="R662" i="2"/>
  <c r="S662" i="2"/>
  <c r="T662" i="2"/>
  <c r="U662" i="2"/>
  <c r="V662" i="2"/>
  <c r="W662" i="2"/>
  <c r="N663" i="2"/>
  <c r="O663" i="2"/>
  <c r="P663" i="2"/>
  <c r="Q663" i="2"/>
  <c r="R663" i="2"/>
  <c r="S663" i="2"/>
  <c r="T663" i="2"/>
  <c r="U663" i="2"/>
  <c r="V663" i="2"/>
  <c r="W663" i="2"/>
  <c r="N664" i="2"/>
  <c r="X664" i="2" s="1"/>
  <c r="O664" i="2"/>
  <c r="P664" i="2"/>
  <c r="Q664" i="2"/>
  <c r="R664" i="2"/>
  <c r="S664" i="2"/>
  <c r="T664" i="2"/>
  <c r="U664" i="2"/>
  <c r="V664" i="2"/>
  <c r="W664" i="2"/>
  <c r="N665" i="2"/>
  <c r="O665" i="2"/>
  <c r="P665" i="2"/>
  <c r="Q665" i="2"/>
  <c r="R665" i="2"/>
  <c r="S665" i="2"/>
  <c r="T665" i="2"/>
  <c r="U665" i="2"/>
  <c r="V665" i="2"/>
  <c r="W665" i="2"/>
  <c r="N666" i="2"/>
  <c r="O666" i="2"/>
  <c r="P666" i="2"/>
  <c r="Q666" i="2"/>
  <c r="R666" i="2"/>
  <c r="S666" i="2"/>
  <c r="T666" i="2"/>
  <c r="U666" i="2"/>
  <c r="V666" i="2"/>
  <c r="W666" i="2"/>
  <c r="N667" i="2"/>
  <c r="X667" i="2" s="1"/>
  <c r="O667" i="2"/>
  <c r="P667" i="2"/>
  <c r="Q667" i="2"/>
  <c r="R667" i="2"/>
  <c r="S667" i="2"/>
  <c r="T667" i="2"/>
  <c r="U667" i="2"/>
  <c r="V667" i="2"/>
  <c r="W667" i="2"/>
  <c r="N668" i="2"/>
  <c r="O668" i="2"/>
  <c r="P668" i="2"/>
  <c r="Q668" i="2"/>
  <c r="R668" i="2"/>
  <c r="S668" i="2"/>
  <c r="T668" i="2"/>
  <c r="U668" i="2"/>
  <c r="X668" i="2" s="1"/>
  <c r="V668" i="2"/>
  <c r="W668" i="2"/>
  <c r="N669" i="2"/>
  <c r="O669" i="2"/>
  <c r="P669" i="2"/>
  <c r="Q669" i="2"/>
  <c r="R669" i="2"/>
  <c r="S669" i="2"/>
  <c r="T669" i="2"/>
  <c r="U669" i="2"/>
  <c r="V669" i="2"/>
  <c r="W669" i="2"/>
  <c r="N670" i="2"/>
  <c r="X670" i="2" s="1"/>
  <c r="O670" i="2"/>
  <c r="P670" i="2"/>
  <c r="Q670" i="2"/>
  <c r="R670" i="2"/>
  <c r="S670" i="2"/>
  <c r="T670" i="2"/>
  <c r="U670" i="2"/>
  <c r="V670" i="2"/>
  <c r="W670" i="2"/>
  <c r="N671" i="2"/>
  <c r="O671" i="2"/>
  <c r="P671" i="2"/>
  <c r="Q671" i="2"/>
  <c r="R671" i="2"/>
  <c r="S671" i="2"/>
  <c r="T671" i="2"/>
  <c r="U671" i="2"/>
  <c r="V671" i="2"/>
  <c r="W671" i="2"/>
  <c r="N672" i="2"/>
  <c r="O672" i="2"/>
  <c r="P672" i="2"/>
  <c r="Q672" i="2"/>
  <c r="R672" i="2"/>
  <c r="S672" i="2"/>
  <c r="T672" i="2"/>
  <c r="U672" i="2"/>
  <c r="V672" i="2"/>
  <c r="W672" i="2"/>
  <c r="N673" i="2"/>
  <c r="X673" i="2" s="1"/>
  <c r="O673" i="2"/>
  <c r="P673" i="2"/>
  <c r="Q673" i="2"/>
  <c r="R673" i="2"/>
  <c r="S673" i="2"/>
  <c r="T673" i="2"/>
  <c r="U673" i="2"/>
  <c r="V673" i="2"/>
  <c r="W673" i="2"/>
  <c r="N674" i="2"/>
  <c r="O674" i="2"/>
  <c r="P674" i="2"/>
  <c r="Q674" i="2"/>
  <c r="R674" i="2"/>
  <c r="S674" i="2"/>
  <c r="T674" i="2"/>
  <c r="U674" i="2"/>
  <c r="V674" i="2"/>
  <c r="W674" i="2"/>
  <c r="N675" i="2"/>
  <c r="O675" i="2"/>
  <c r="P675" i="2"/>
  <c r="Q675" i="2"/>
  <c r="R675" i="2"/>
  <c r="S675" i="2"/>
  <c r="T675" i="2"/>
  <c r="U675" i="2"/>
  <c r="V675" i="2"/>
  <c r="W675" i="2"/>
  <c r="N676" i="2"/>
  <c r="X676" i="2" s="1"/>
  <c r="O676" i="2"/>
  <c r="P676" i="2"/>
  <c r="Q676" i="2"/>
  <c r="R676" i="2"/>
  <c r="S676" i="2"/>
  <c r="T676" i="2"/>
  <c r="U676" i="2"/>
  <c r="V676" i="2"/>
  <c r="W676" i="2"/>
  <c r="N677" i="2"/>
  <c r="O677" i="2"/>
  <c r="P677" i="2"/>
  <c r="Q677" i="2"/>
  <c r="R677" i="2"/>
  <c r="S677" i="2"/>
  <c r="T677" i="2"/>
  <c r="U677" i="2"/>
  <c r="V677" i="2"/>
  <c r="W677" i="2"/>
  <c r="N678" i="2"/>
  <c r="O678" i="2"/>
  <c r="P678" i="2"/>
  <c r="Q678" i="2"/>
  <c r="R678" i="2"/>
  <c r="S678" i="2"/>
  <c r="T678" i="2"/>
  <c r="U678" i="2"/>
  <c r="V678" i="2"/>
  <c r="W678" i="2"/>
  <c r="N679" i="2"/>
  <c r="X679" i="2" s="1"/>
  <c r="O679" i="2"/>
  <c r="P679" i="2"/>
  <c r="Q679" i="2"/>
  <c r="R679" i="2"/>
  <c r="S679" i="2"/>
  <c r="T679" i="2"/>
  <c r="U679" i="2"/>
  <c r="V679" i="2"/>
  <c r="W679" i="2"/>
  <c r="N680" i="2"/>
  <c r="O680" i="2"/>
  <c r="P680" i="2"/>
  <c r="Q680" i="2"/>
  <c r="R680" i="2"/>
  <c r="S680" i="2"/>
  <c r="T680" i="2"/>
  <c r="U680" i="2"/>
  <c r="X680" i="2" s="1"/>
  <c r="V680" i="2"/>
  <c r="W680" i="2"/>
  <c r="N681" i="2"/>
  <c r="O681" i="2"/>
  <c r="P681" i="2"/>
  <c r="Q681" i="2"/>
  <c r="R681" i="2"/>
  <c r="S681" i="2"/>
  <c r="T681" i="2"/>
  <c r="U681" i="2"/>
  <c r="V681" i="2"/>
  <c r="W681" i="2"/>
  <c r="N682" i="2"/>
  <c r="X682" i="2" s="1"/>
  <c r="O682" i="2"/>
  <c r="P682" i="2"/>
  <c r="Q682" i="2"/>
  <c r="R682" i="2"/>
  <c r="S682" i="2"/>
  <c r="T682" i="2"/>
  <c r="U682" i="2"/>
  <c r="V682" i="2"/>
  <c r="W682" i="2"/>
  <c r="N683" i="2"/>
  <c r="O683" i="2"/>
  <c r="P683" i="2"/>
  <c r="Q683" i="2"/>
  <c r="R683" i="2"/>
  <c r="S683" i="2"/>
  <c r="T683" i="2"/>
  <c r="U683" i="2"/>
  <c r="V683" i="2"/>
  <c r="W683" i="2"/>
  <c r="N684" i="2"/>
  <c r="O684" i="2"/>
  <c r="P684" i="2"/>
  <c r="Q684" i="2"/>
  <c r="R684" i="2"/>
  <c r="S684" i="2"/>
  <c r="T684" i="2"/>
  <c r="U684" i="2"/>
  <c r="V684" i="2"/>
  <c r="W684" i="2"/>
  <c r="N685" i="2"/>
  <c r="X685" i="2" s="1"/>
  <c r="O685" i="2"/>
  <c r="P685" i="2"/>
  <c r="Q685" i="2"/>
  <c r="R685" i="2"/>
  <c r="S685" i="2"/>
  <c r="T685" i="2"/>
  <c r="U685" i="2"/>
  <c r="V685" i="2"/>
  <c r="W685" i="2"/>
  <c r="N686" i="2"/>
  <c r="O686" i="2"/>
  <c r="P686" i="2"/>
  <c r="Q686" i="2"/>
  <c r="R686" i="2"/>
  <c r="S686" i="2"/>
  <c r="T686" i="2"/>
  <c r="U686" i="2"/>
  <c r="V686" i="2"/>
  <c r="W686" i="2"/>
  <c r="N687" i="2"/>
  <c r="O687" i="2"/>
  <c r="P687" i="2"/>
  <c r="Q687" i="2"/>
  <c r="R687" i="2"/>
  <c r="S687" i="2"/>
  <c r="T687" i="2"/>
  <c r="U687" i="2"/>
  <c r="V687" i="2"/>
  <c r="W687" i="2"/>
  <c r="N688" i="2"/>
  <c r="X688" i="2" s="1"/>
  <c r="O688" i="2"/>
  <c r="P688" i="2"/>
  <c r="Q688" i="2"/>
  <c r="R688" i="2"/>
  <c r="S688" i="2"/>
  <c r="T688" i="2"/>
  <c r="U688" i="2"/>
  <c r="V688" i="2"/>
  <c r="W688" i="2"/>
  <c r="N689" i="2"/>
  <c r="O689" i="2"/>
  <c r="P689" i="2"/>
  <c r="Q689" i="2"/>
  <c r="R689" i="2"/>
  <c r="S689" i="2"/>
  <c r="T689" i="2"/>
  <c r="U689" i="2"/>
  <c r="V689" i="2"/>
  <c r="W689" i="2"/>
  <c r="N690" i="2"/>
  <c r="O690" i="2"/>
  <c r="P690" i="2"/>
  <c r="Q690" i="2"/>
  <c r="R690" i="2"/>
  <c r="S690" i="2"/>
  <c r="T690" i="2"/>
  <c r="U690" i="2"/>
  <c r="V690" i="2"/>
  <c r="W690" i="2"/>
  <c r="N691" i="2"/>
  <c r="X691" i="2" s="1"/>
  <c r="O691" i="2"/>
  <c r="P691" i="2"/>
  <c r="Q691" i="2"/>
  <c r="R691" i="2"/>
  <c r="S691" i="2"/>
  <c r="T691" i="2"/>
  <c r="U691" i="2"/>
  <c r="V691" i="2"/>
  <c r="W691" i="2"/>
  <c r="N692" i="2"/>
  <c r="O692" i="2"/>
  <c r="P692" i="2"/>
  <c r="Q692" i="2"/>
  <c r="R692" i="2"/>
  <c r="S692" i="2"/>
  <c r="T692" i="2"/>
  <c r="U692" i="2"/>
  <c r="X692" i="2" s="1"/>
  <c r="V692" i="2"/>
  <c r="W692" i="2"/>
  <c r="N693" i="2"/>
  <c r="O693" i="2"/>
  <c r="P693" i="2"/>
  <c r="Q693" i="2"/>
  <c r="R693" i="2"/>
  <c r="S693" i="2"/>
  <c r="T693" i="2"/>
  <c r="U693" i="2"/>
  <c r="V693" i="2"/>
  <c r="W693" i="2"/>
  <c r="N694" i="2"/>
  <c r="X694" i="2" s="1"/>
  <c r="O694" i="2"/>
  <c r="P694" i="2"/>
  <c r="Q694" i="2"/>
  <c r="R694" i="2"/>
  <c r="S694" i="2"/>
  <c r="T694" i="2"/>
  <c r="U694" i="2"/>
  <c r="V694" i="2"/>
  <c r="W694" i="2"/>
  <c r="N695" i="2"/>
  <c r="O695" i="2"/>
  <c r="P695" i="2"/>
  <c r="Q695" i="2"/>
  <c r="R695" i="2"/>
  <c r="S695" i="2"/>
  <c r="T695" i="2"/>
  <c r="U695" i="2"/>
  <c r="V695" i="2"/>
  <c r="W695" i="2"/>
  <c r="N696" i="2"/>
  <c r="O696" i="2"/>
  <c r="P696" i="2"/>
  <c r="Q696" i="2"/>
  <c r="R696" i="2"/>
  <c r="S696" i="2"/>
  <c r="T696" i="2"/>
  <c r="U696" i="2"/>
  <c r="V696" i="2"/>
  <c r="W696" i="2"/>
  <c r="N697" i="2"/>
  <c r="X697" i="2" s="1"/>
  <c r="O697" i="2"/>
  <c r="P697" i="2"/>
  <c r="Q697" i="2"/>
  <c r="R697" i="2"/>
  <c r="S697" i="2"/>
  <c r="T697" i="2"/>
  <c r="U697" i="2"/>
  <c r="V697" i="2"/>
  <c r="W697" i="2"/>
  <c r="N698" i="2"/>
  <c r="O698" i="2"/>
  <c r="P698" i="2"/>
  <c r="Q698" i="2"/>
  <c r="R698" i="2"/>
  <c r="S698" i="2"/>
  <c r="T698" i="2"/>
  <c r="U698" i="2"/>
  <c r="V698" i="2"/>
  <c r="W698" i="2"/>
  <c r="N699" i="2"/>
  <c r="O699" i="2"/>
  <c r="P699" i="2"/>
  <c r="Q699" i="2"/>
  <c r="R699" i="2"/>
  <c r="S699" i="2"/>
  <c r="T699" i="2"/>
  <c r="U699" i="2"/>
  <c r="V699" i="2"/>
  <c r="W699" i="2"/>
  <c r="N700" i="2"/>
  <c r="X700" i="2" s="1"/>
  <c r="O700" i="2"/>
  <c r="P700" i="2"/>
  <c r="Q700" i="2"/>
  <c r="R700" i="2"/>
  <c r="S700" i="2"/>
  <c r="T700" i="2"/>
  <c r="U700" i="2"/>
  <c r="V700" i="2"/>
  <c r="W700" i="2"/>
  <c r="N701" i="2"/>
  <c r="O701" i="2"/>
  <c r="P701" i="2"/>
  <c r="Q701" i="2"/>
  <c r="R701" i="2"/>
  <c r="S701" i="2"/>
  <c r="T701" i="2"/>
  <c r="U701" i="2"/>
  <c r="V701" i="2"/>
  <c r="W701" i="2"/>
  <c r="N702" i="2"/>
  <c r="O702" i="2"/>
  <c r="P702" i="2"/>
  <c r="Q702" i="2"/>
  <c r="R702" i="2"/>
  <c r="S702" i="2"/>
  <c r="T702" i="2"/>
  <c r="U702" i="2"/>
  <c r="V702" i="2"/>
  <c r="W702" i="2"/>
  <c r="N703" i="2"/>
  <c r="X703" i="2" s="1"/>
  <c r="O703" i="2"/>
  <c r="P703" i="2"/>
  <c r="Q703" i="2"/>
  <c r="R703" i="2"/>
  <c r="S703" i="2"/>
  <c r="T703" i="2"/>
  <c r="U703" i="2"/>
  <c r="V703" i="2"/>
  <c r="W703" i="2"/>
  <c r="N704" i="2"/>
  <c r="O704" i="2"/>
  <c r="P704" i="2"/>
  <c r="Q704" i="2"/>
  <c r="R704" i="2"/>
  <c r="S704" i="2"/>
  <c r="T704" i="2"/>
  <c r="U704" i="2"/>
  <c r="X704" i="2" s="1"/>
  <c r="V704" i="2"/>
  <c r="W704" i="2"/>
  <c r="N705" i="2"/>
  <c r="O705" i="2"/>
  <c r="P705" i="2"/>
  <c r="Q705" i="2"/>
  <c r="R705" i="2"/>
  <c r="S705" i="2"/>
  <c r="T705" i="2"/>
  <c r="U705" i="2"/>
  <c r="V705" i="2"/>
  <c r="W705" i="2"/>
  <c r="N706" i="2"/>
  <c r="X706" i="2" s="1"/>
  <c r="O706" i="2"/>
  <c r="P706" i="2"/>
  <c r="Q706" i="2"/>
  <c r="R706" i="2"/>
  <c r="S706" i="2"/>
  <c r="T706" i="2"/>
  <c r="U706" i="2"/>
  <c r="V706" i="2"/>
  <c r="W706" i="2"/>
  <c r="N707" i="2"/>
  <c r="O707" i="2"/>
  <c r="P707" i="2"/>
  <c r="Q707" i="2"/>
  <c r="R707" i="2"/>
  <c r="S707" i="2"/>
  <c r="T707" i="2"/>
  <c r="U707" i="2"/>
  <c r="V707" i="2"/>
  <c r="W707" i="2"/>
  <c r="N708" i="2"/>
  <c r="O708" i="2"/>
  <c r="P708" i="2"/>
  <c r="Q708" i="2"/>
  <c r="R708" i="2"/>
  <c r="S708" i="2"/>
  <c r="T708" i="2"/>
  <c r="U708" i="2"/>
  <c r="V708" i="2"/>
  <c r="W708" i="2"/>
  <c r="N709" i="2"/>
  <c r="X709" i="2" s="1"/>
  <c r="O709" i="2"/>
  <c r="P709" i="2"/>
  <c r="Q709" i="2"/>
  <c r="R709" i="2"/>
  <c r="S709" i="2"/>
  <c r="T709" i="2"/>
  <c r="U709" i="2"/>
  <c r="V709" i="2"/>
  <c r="W709" i="2"/>
  <c r="N710" i="2"/>
  <c r="O710" i="2"/>
  <c r="P710" i="2"/>
  <c r="Q710" i="2"/>
  <c r="R710" i="2"/>
  <c r="S710" i="2"/>
  <c r="T710" i="2"/>
  <c r="U710" i="2"/>
  <c r="V710" i="2"/>
  <c r="W710" i="2"/>
  <c r="N711" i="2"/>
  <c r="O711" i="2"/>
  <c r="P711" i="2"/>
  <c r="Q711" i="2"/>
  <c r="R711" i="2"/>
  <c r="S711" i="2"/>
  <c r="T711" i="2"/>
  <c r="U711" i="2"/>
  <c r="V711" i="2"/>
  <c r="W711" i="2"/>
  <c r="N712" i="2"/>
  <c r="X712" i="2" s="1"/>
  <c r="O712" i="2"/>
  <c r="P712" i="2"/>
  <c r="Q712" i="2"/>
  <c r="R712" i="2"/>
  <c r="S712" i="2"/>
  <c r="T712" i="2"/>
  <c r="U712" i="2"/>
  <c r="V712" i="2"/>
  <c r="W712" i="2"/>
  <c r="N713" i="2"/>
  <c r="O713" i="2"/>
  <c r="P713" i="2"/>
  <c r="Q713" i="2"/>
  <c r="R713" i="2"/>
  <c r="S713" i="2"/>
  <c r="T713" i="2"/>
  <c r="U713" i="2"/>
  <c r="V713" i="2"/>
  <c r="W713" i="2"/>
  <c r="N714" i="2"/>
  <c r="O714" i="2"/>
  <c r="P714" i="2"/>
  <c r="Q714" i="2"/>
  <c r="R714" i="2"/>
  <c r="S714" i="2"/>
  <c r="T714" i="2"/>
  <c r="U714" i="2"/>
  <c r="V714" i="2"/>
  <c r="W714" i="2"/>
  <c r="N715" i="2"/>
  <c r="X715" i="2" s="1"/>
  <c r="O715" i="2"/>
  <c r="P715" i="2"/>
  <c r="Q715" i="2"/>
  <c r="R715" i="2"/>
  <c r="S715" i="2"/>
  <c r="T715" i="2"/>
  <c r="U715" i="2"/>
  <c r="V715" i="2"/>
  <c r="W715" i="2"/>
  <c r="N716" i="2"/>
  <c r="O716" i="2"/>
  <c r="P716" i="2"/>
  <c r="Q716" i="2"/>
  <c r="R716" i="2"/>
  <c r="S716" i="2"/>
  <c r="T716" i="2"/>
  <c r="U716" i="2"/>
  <c r="X716" i="2" s="1"/>
  <c r="V716" i="2"/>
  <c r="W716" i="2"/>
  <c r="N717" i="2"/>
  <c r="O717" i="2"/>
  <c r="P717" i="2"/>
  <c r="Q717" i="2"/>
  <c r="R717" i="2"/>
  <c r="S717" i="2"/>
  <c r="T717" i="2"/>
  <c r="U717" i="2"/>
  <c r="V717" i="2"/>
  <c r="W717" i="2"/>
  <c r="N718" i="2"/>
  <c r="X718" i="2" s="1"/>
  <c r="O718" i="2"/>
  <c r="P718" i="2"/>
  <c r="Q718" i="2"/>
  <c r="R718" i="2"/>
  <c r="S718" i="2"/>
  <c r="T718" i="2"/>
  <c r="U718" i="2"/>
  <c r="V718" i="2"/>
  <c r="W718" i="2"/>
  <c r="N719" i="2"/>
  <c r="O719" i="2"/>
  <c r="P719" i="2"/>
  <c r="Q719" i="2"/>
  <c r="R719" i="2"/>
  <c r="S719" i="2"/>
  <c r="T719" i="2"/>
  <c r="U719" i="2"/>
  <c r="V719" i="2"/>
  <c r="W719" i="2"/>
  <c r="N720" i="2"/>
  <c r="O720" i="2"/>
  <c r="P720" i="2"/>
  <c r="Q720" i="2"/>
  <c r="R720" i="2"/>
  <c r="S720" i="2"/>
  <c r="T720" i="2"/>
  <c r="U720" i="2"/>
  <c r="V720" i="2"/>
  <c r="W720" i="2"/>
  <c r="N721" i="2"/>
  <c r="X721" i="2" s="1"/>
  <c r="O721" i="2"/>
  <c r="P721" i="2"/>
  <c r="Q721" i="2"/>
  <c r="R721" i="2"/>
  <c r="S721" i="2"/>
  <c r="T721" i="2"/>
  <c r="U721" i="2"/>
  <c r="V721" i="2"/>
  <c r="W721" i="2"/>
  <c r="N722" i="2"/>
  <c r="O722" i="2"/>
  <c r="P722" i="2"/>
  <c r="Q722" i="2"/>
  <c r="R722" i="2"/>
  <c r="S722" i="2"/>
  <c r="T722" i="2"/>
  <c r="U722" i="2"/>
  <c r="V722" i="2"/>
  <c r="W722" i="2"/>
  <c r="N723" i="2"/>
  <c r="O723" i="2"/>
  <c r="P723" i="2"/>
  <c r="Q723" i="2"/>
  <c r="R723" i="2"/>
  <c r="S723" i="2"/>
  <c r="T723" i="2"/>
  <c r="U723" i="2"/>
  <c r="V723" i="2"/>
  <c r="W723" i="2"/>
  <c r="N724" i="2"/>
  <c r="X724" i="2" s="1"/>
  <c r="O724" i="2"/>
  <c r="P724" i="2"/>
  <c r="Q724" i="2"/>
  <c r="R724" i="2"/>
  <c r="S724" i="2"/>
  <c r="T724" i="2"/>
  <c r="U724" i="2"/>
  <c r="V724" i="2"/>
  <c r="W724" i="2"/>
  <c r="N725" i="2"/>
  <c r="O725" i="2"/>
  <c r="P725" i="2"/>
  <c r="Q725" i="2"/>
  <c r="R725" i="2"/>
  <c r="S725" i="2"/>
  <c r="T725" i="2"/>
  <c r="U725" i="2"/>
  <c r="V725" i="2"/>
  <c r="W725" i="2"/>
  <c r="N726" i="2"/>
  <c r="O726" i="2"/>
  <c r="P726" i="2"/>
  <c r="Q726" i="2"/>
  <c r="R726" i="2"/>
  <c r="S726" i="2"/>
  <c r="T726" i="2"/>
  <c r="U726" i="2"/>
  <c r="V726" i="2"/>
  <c r="W726" i="2"/>
  <c r="N727" i="2"/>
  <c r="X727" i="2" s="1"/>
  <c r="O727" i="2"/>
  <c r="P727" i="2"/>
  <c r="Q727" i="2"/>
  <c r="R727" i="2"/>
  <c r="S727" i="2"/>
  <c r="T727" i="2"/>
  <c r="U727" i="2"/>
  <c r="V727" i="2"/>
  <c r="W727" i="2"/>
  <c r="N728" i="2"/>
  <c r="O728" i="2"/>
  <c r="P728" i="2"/>
  <c r="Q728" i="2"/>
  <c r="R728" i="2"/>
  <c r="S728" i="2"/>
  <c r="T728" i="2"/>
  <c r="U728" i="2"/>
  <c r="X728" i="2" s="1"/>
  <c r="V728" i="2"/>
  <c r="W728" i="2"/>
  <c r="N729" i="2"/>
  <c r="O729" i="2"/>
  <c r="P729" i="2"/>
  <c r="Q729" i="2"/>
  <c r="R729" i="2"/>
  <c r="S729" i="2"/>
  <c r="T729" i="2"/>
  <c r="U729" i="2"/>
  <c r="V729" i="2"/>
  <c r="W729" i="2"/>
  <c r="N730" i="2"/>
  <c r="X730" i="2" s="1"/>
  <c r="O730" i="2"/>
  <c r="P730" i="2"/>
  <c r="Q730" i="2"/>
  <c r="R730" i="2"/>
  <c r="S730" i="2"/>
  <c r="T730" i="2"/>
  <c r="U730" i="2"/>
  <c r="V730" i="2"/>
  <c r="W730" i="2"/>
  <c r="N731" i="2"/>
  <c r="O731" i="2"/>
  <c r="P731" i="2"/>
  <c r="Q731" i="2"/>
  <c r="R731" i="2"/>
  <c r="S731" i="2"/>
  <c r="T731" i="2"/>
  <c r="U731" i="2"/>
  <c r="V731" i="2"/>
  <c r="W731" i="2"/>
  <c r="N732" i="2"/>
  <c r="O732" i="2"/>
  <c r="P732" i="2"/>
  <c r="Q732" i="2"/>
  <c r="R732" i="2"/>
  <c r="S732" i="2"/>
  <c r="T732" i="2"/>
  <c r="U732" i="2"/>
  <c r="V732" i="2"/>
  <c r="W732" i="2"/>
  <c r="N733" i="2"/>
  <c r="X733" i="2" s="1"/>
  <c r="O733" i="2"/>
  <c r="P733" i="2"/>
  <c r="Q733" i="2"/>
  <c r="R733" i="2"/>
  <c r="S733" i="2"/>
  <c r="T733" i="2"/>
  <c r="U733" i="2"/>
  <c r="V733" i="2"/>
  <c r="W733" i="2"/>
  <c r="N734" i="2"/>
  <c r="O734" i="2"/>
  <c r="P734" i="2"/>
  <c r="Q734" i="2"/>
  <c r="R734" i="2"/>
  <c r="S734" i="2"/>
  <c r="T734" i="2"/>
  <c r="U734" i="2"/>
  <c r="V734" i="2"/>
  <c r="W734" i="2"/>
  <c r="N735" i="2"/>
  <c r="O735" i="2"/>
  <c r="P735" i="2"/>
  <c r="Q735" i="2"/>
  <c r="R735" i="2"/>
  <c r="S735" i="2"/>
  <c r="T735" i="2"/>
  <c r="U735" i="2"/>
  <c r="V735" i="2"/>
  <c r="W735" i="2"/>
  <c r="N736" i="2"/>
  <c r="X736" i="2" s="1"/>
  <c r="O736" i="2"/>
  <c r="P736" i="2"/>
  <c r="Q736" i="2"/>
  <c r="R736" i="2"/>
  <c r="S736" i="2"/>
  <c r="T736" i="2"/>
  <c r="U736" i="2"/>
  <c r="V736" i="2"/>
  <c r="W736" i="2"/>
  <c r="N737" i="2"/>
  <c r="O737" i="2"/>
  <c r="P737" i="2"/>
  <c r="Q737" i="2"/>
  <c r="R737" i="2"/>
  <c r="S737" i="2"/>
  <c r="T737" i="2"/>
  <c r="U737" i="2"/>
  <c r="V737" i="2"/>
  <c r="W737" i="2"/>
  <c r="N738" i="2"/>
  <c r="O738" i="2"/>
  <c r="P738" i="2"/>
  <c r="Q738" i="2"/>
  <c r="R738" i="2"/>
  <c r="S738" i="2"/>
  <c r="T738" i="2"/>
  <c r="U738" i="2"/>
  <c r="V738" i="2"/>
  <c r="W738" i="2"/>
  <c r="N739" i="2"/>
  <c r="X739" i="2" s="1"/>
  <c r="O739" i="2"/>
  <c r="P739" i="2"/>
  <c r="Q739" i="2"/>
  <c r="R739" i="2"/>
  <c r="S739" i="2"/>
  <c r="T739" i="2"/>
  <c r="U739" i="2"/>
  <c r="V739" i="2"/>
  <c r="W739" i="2"/>
  <c r="N740" i="2"/>
  <c r="O740" i="2"/>
  <c r="P740" i="2"/>
  <c r="Q740" i="2"/>
  <c r="R740" i="2"/>
  <c r="S740" i="2"/>
  <c r="T740" i="2"/>
  <c r="U740" i="2"/>
  <c r="X740" i="2" s="1"/>
  <c r="V740" i="2"/>
  <c r="W740" i="2"/>
  <c r="N741" i="2"/>
  <c r="O741" i="2"/>
  <c r="P741" i="2"/>
  <c r="Q741" i="2"/>
  <c r="R741" i="2"/>
  <c r="S741" i="2"/>
  <c r="T741" i="2"/>
  <c r="U741" i="2"/>
  <c r="V741" i="2"/>
  <c r="W741" i="2"/>
  <c r="N742" i="2"/>
  <c r="X742" i="2" s="1"/>
  <c r="O742" i="2"/>
  <c r="P742" i="2"/>
  <c r="Q742" i="2"/>
  <c r="R742" i="2"/>
  <c r="S742" i="2"/>
  <c r="T742" i="2"/>
  <c r="U742" i="2"/>
  <c r="V742" i="2"/>
  <c r="W742" i="2"/>
  <c r="N743" i="2"/>
  <c r="O743" i="2"/>
  <c r="P743" i="2"/>
  <c r="Q743" i="2"/>
  <c r="R743" i="2"/>
  <c r="S743" i="2"/>
  <c r="T743" i="2"/>
  <c r="U743" i="2"/>
  <c r="V743" i="2"/>
  <c r="W743" i="2"/>
  <c r="N744" i="2"/>
  <c r="O744" i="2"/>
  <c r="P744" i="2"/>
  <c r="Q744" i="2"/>
  <c r="R744" i="2"/>
  <c r="S744" i="2"/>
  <c r="T744" i="2"/>
  <c r="U744" i="2"/>
  <c r="V744" i="2"/>
  <c r="W744" i="2"/>
  <c r="N745" i="2"/>
  <c r="X745" i="2" s="1"/>
  <c r="O745" i="2"/>
  <c r="P745" i="2"/>
  <c r="Q745" i="2"/>
  <c r="R745" i="2"/>
  <c r="S745" i="2"/>
  <c r="T745" i="2"/>
  <c r="U745" i="2"/>
  <c r="V745" i="2"/>
  <c r="W745" i="2"/>
  <c r="N746" i="2"/>
  <c r="O746" i="2"/>
  <c r="P746" i="2"/>
  <c r="Q746" i="2"/>
  <c r="R746" i="2"/>
  <c r="S746" i="2"/>
  <c r="T746" i="2"/>
  <c r="U746" i="2"/>
  <c r="V746" i="2"/>
  <c r="W746" i="2"/>
  <c r="N747" i="2"/>
  <c r="O747" i="2"/>
  <c r="P747" i="2"/>
  <c r="Q747" i="2"/>
  <c r="R747" i="2"/>
  <c r="S747" i="2"/>
  <c r="T747" i="2"/>
  <c r="U747" i="2"/>
  <c r="V747" i="2"/>
  <c r="W747" i="2"/>
  <c r="N748" i="2"/>
  <c r="X748" i="2" s="1"/>
  <c r="O748" i="2"/>
  <c r="P748" i="2"/>
  <c r="Q748" i="2"/>
  <c r="R748" i="2"/>
  <c r="S748" i="2"/>
  <c r="T748" i="2"/>
  <c r="U748" i="2"/>
  <c r="V748" i="2"/>
  <c r="W748" i="2"/>
  <c r="N749" i="2"/>
  <c r="O749" i="2"/>
  <c r="P749" i="2"/>
  <c r="Q749" i="2"/>
  <c r="R749" i="2"/>
  <c r="S749" i="2"/>
  <c r="T749" i="2"/>
  <c r="U749" i="2"/>
  <c r="V749" i="2"/>
  <c r="W749" i="2"/>
  <c r="N750" i="2"/>
  <c r="O750" i="2"/>
  <c r="P750" i="2"/>
  <c r="Q750" i="2"/>
  <c r="R750" i="2"/>
  <c r="S750" i="2"/>
  <c r="T750" i="2"/>
  <c r="U750" i="2"/>
  <c r="V750" i="2"/>
  <c r="W750" i="2"/>
  <c r="N751" i="2"/>
  <c r="X751" i="2" s="1"/>
  <c r="O751" i="2"/>
  <c r="P751" i="2"/>
  <c r="Q751" i="2"/>
  <c r="R751" i="2"/>
  <c r="S751" i="2"/>
  <c r="T751" i="2"/>
  <c r="U751" i="2"/>
  <c r="V751" i="2"/>
  <c r="W751" i="2"/>
  <c r="N752" i="2"/>
  <c r="O752" i="2"/>
  <c r="P752" i="2"/>
  <c r="Q752" i="2"/>
  <c r="R752" i="2"/>
  <c r="S752" i="2"/>
  <c r="T752" i="2"/>
  <c r="U752" i="2"/>
  <c r="X752" i="2" s="1"/>
  <c r="V752" i="2"/>
  <c r="W752" i="2"/>
  <c r="N753" i="2"/>
  <c r="O753" i="2"/>
  <c r="P753" i="2"/>
  <c r="Q753" i="2"/>
  <c r="R753" i="2"/>
  <c r="S753" i="2"/>
  <c r="T753" i="2"/>
  <c r="U753" i="2"/>
  <c r="V753" i="2"/>
  <c r="W753" i="2"/>
  <c r="N754" i="2"/>
  <c r="X754" i="2" s="1"/>
  <c r="O754" i="2"/>
  <c r="P754" i="2"/>
  <c r="Q754" i="2"/>
  <c r="R754" i="2"/>
  <c r="S754" i="2"/>
  <c r="T754" i="2"/>
  <c r="U754" i="2"/>
  <c r="V754" i="2"/>
  <c r="W754" i="2"/>
  <c r="N755" i="2"/>
  <c r="O755" i="2"/>
  <c r="P755" i="2"/>
  <c r="Q755" i="2"/>
  <c r="R755" i="2"/>
  <c r="S755" i="2"/>
  <c r="T755" i="2"/>
  <c r="U755" i="2"/>
  <c r="V755" i="2"/>
  <c r="W755" i="2"/>
  <c r="N756" i="2"/>
  <c r="O756" i="2"/>
  <c r="P756" i="2"/>
  <c r="Q756" i="2"/>
  <c r="R756" i="2"/>
  <c r="S756" i="2"/>
  <c r="T756" i="2"/>
  <c r="U756" i="2"/>
  <c r="V756" i="2"/>
  <c r="W756" i="2"/>
  <c r="N757" i="2"/>
  <c r="X757" i="2" s="1"/>
  <c r="O757" i="2"/>
  <c r="P757" i="2"/>
  <c r="Q757" i="2"/>
  <c r="R757" i="2"/>
  <c r="S757" i="2"/>
  <c r="T757" i="2"/>
  <c r="U757" i="2"/>
  <c r="V757" i="2"/>
  <c r="W757" i="2"/>
  <c r="N758" i="2"/>
  <c r="O758" i="2"/>
  <c r="P758" i="2"/>
  <c r="Q758" i="2"/>
  <c r="R758" i="2"/>
  <c r="S758" i="2"/>
  <c r="T758" i="2"/>
  <c r="U758" i="2"/>
  <c r="V758" i="2"/>
  <c r="W758" i="2"/>
  <c r="N759" i="2"/>
  <c r="O759" i="2"/>
  <c r="P759" i="2"/>
  <c r="Q759" i="2"/>
  <c r="R759" i="2"/>
  <c r="S759" i="2"/>
  <c r="T759" i="2"/>
  <c r="U759" i="2"/>
  <c r="V759" i="2"/>
  <c r="W759" i="2"/>
  <c r="N760" i="2"/>
  <c r="X760" i="2" s="1"/>
  <c r="O760" i="2"/>
  <c r="P760" i="2"/>
  <c r="Q760" i="2"/>
  <c r="R760" i="2"/>
  <c r="S760" i="2"/>
  <c r="T760" i="2"/>
  <c r="U760" i="2"/>
  <c r="V760" i="2"/>
  <c r="W760" i="2"/>
  <c r="N761" i="2"/>
  <c r="O761" i="2"/>
  <c r="P761" i="2"/>
  <c r="Q761" i="2"/>
  <c r="R761" i="2"/>
  <c r="S761" i="2"/>
  <c r="T761" i="2"/>
  <c r="U761" i="2"/>
  <c r="V761" i="2"/>
  <c r="W761" i="2"/>
  <c r="N762" i="2"/>
  <c r="O762" i="2"/>
  <c r="P762" i="2"/>
  <c r="Q762" i="2"/>
  <c r="R762" i="2"/>
  <c r="S762" i="2"/>
  <c r="T762" i="2"/>
  <c r="U762" i="2"/>
  <c r="V762" i="2"/>
  <c r="W762" i="2"/>
  <c r="N763" i="2"/>
  <c r="X763" i="2" s="1"/>
  <c r="O763" i="2"/>
  <c r="P763" i="2"/>
  <c r="Q763" i="2"/>
  <c r="R763" i="2"/>
  <c r="S763" i="2"/>
  <c r="T763" i="2"/>
  <c r="U763" i="2"/>
  <c r="V763" i="2"/>
  <c r="W763" i="2"/>
  <c r="N764" i="2"/>
  <c r="O764" i="2"/>
  <c r="P764" i="2"/>
  <c r="Q764" i="2"/>
  <c r="R764" i="2"/>
  <c r="S764" i="2"/>
  <c r="T764" i="2"/>
  <c r="U764" i="2"/>
  <c r="X764" i="2" s="1"/>
  <c r="V764" i="2"/>
  <c r="W764" i="2"/>
  <c r="N765" i="2"/>
  <c r="O765" i="2"/>
  <c r="P765" i="2"/>
  <c r="Q765" i="2"/>
  <c r="R765" i="2"/>
  <c r="S765" i="2"/>
  <c r="T765" i="2"/>
  <c r="U765" i="2"/>
  <c r="V765" i="2"/>
  <c r="W765" i="2"/>
  <c r="N766" i="2"/>
  <c r="X766" i="2" s="1"/>
  <c r="O766" i="2"/>
  <c r="P766" i="2"/>
  <c r="Q766" i="2"/>
  <c r="R766" i="2"/>
  <c r="S766" i="2"/>
  <c r="T766" i="2"/>
  <c r="U766" i="2"/>
  <c r="V766" i="2"/>
  <c r="W766" i="2"/>
  <c r="N767" i="2"/>
  <c r="O767" i="2"/>
  <c r="P767" i="2"/>
  <c r="Q767" i="2"/>
  <c r="R767" i="2"/>
  <c r="S767" i="2"/>
  <c r="T767" i="2"/>
  <c r="U767" i="2"/>
  <c r="V767" i="2"/>
  <c r="W767" i="2"/>
  <c r="N768" i="2"/>
  <c r="O768" i="2"/>
  <c r="P768" i="2"/>
  <c r="Q768" i="2"/>
  <c r="R768" i="2"/>
  <c r="S768" i="2"/>
  <c r="T768" i="2"/>
  <c r="U768" i="2"/>
  <c r="V768" i="2"/>
  <c r="W768" i="2"/>
  <c r="N769" i="2"/>
  <c r="X769" i="2" s="1"/>
  <c r="O769" i="2"/>
  <c r="P769" i="2"/>
  <c r="Q769" i="2"/>
  <c r="R769" i="2"/>
  <c r="S769" i="2"/>
  <c r="T769" i="2"/>
  <c r="U769" i="2"/>
  <c r="V769" i="2"/>
  <c r="W769" i="2"/>
  <c r="N770" i="2"/>
  <c r="O770" i="2"/>
  <c r="P770" i="2"/>
  <c r="Q770" i="2"/>
  <c r="R770" i="2"/>
  <c r="S770" i="2"/>
  <c r="T770" i="2"/>
  <c r="U770" i="2"/>
  <c r="V770" i="2"/>
  <c r="W770" i="2"/>
  <c r="N771" i="2"/>
  <c r="O771" i="2"/>
  <c r="P771" i="2"/>
  <c r="Q771" i="2"/>
  <c r="R771" i="2"/>
  <c r="S771" i="2"/>
  <c r="T771" i="2"/>
  <c r="U771" i="2"/>
  <c r="V771" i="2"/>
  <c r="W771" i="2"/>
  <c r="N772" i="2"/>
  <c r="X772" i="2" s="1"/>
  <c r="O772" i="2"/>
  <c r="P772" i="2"/>
  <c r="Q772" i="2"/>
  <c r="R772" i="2"/>
  <c r="S772" i="2"/>
  <c r="T772" i="2"/>
  <c r="U772" i="2"/>
  <c r="V772" i="2"/>
  <c r="W772" i="2"/>
  <c r="N773" i="2"/>
  <c r="O773" i="2"/>
  <c r="P773" i="2"/>
  <c r="Q773" i="2"/>
  <c r="R773" i="2"/>
  <c r="S773" i="2"/>
  <c r="T773" i="2"/>
  <c r="U773" i="2"/>
  <c r="V773" i="2"/>
  <c r="W773" i="2"/>
  <c r="N774" i="2"/>
  <c r="O774" i="2"/>
  <c r="P774" i="2"/>
  <c r="Q774" i="2"/>
  <c r="R774" i="2"/>
  <c r="S774" i="2"/>
  <c r="T774" i="2"/>
  <c r="U774" i="2"/>
  <c r="V774" i="2"/>
  <c r="W774" i="2"/>
  <c r="N775" i="2"/>
  <c r="X775" i="2" s="1"/>
  <c r="O775" i="2"/>
  <c r="P775" i="2"/>
  <c r="Q775" i="2"/>
  <c r="R775" i="2"/>
  <c r="S775" i="2"/>
  <c r="T775" i="2"/>
  <c r="U775" i="2"/>
  <c r="V775" i="2"/>
  <c r="W775" i="2"/>
  <c r="N776" i="2"/>
  <c r="O776" i="2"/>
  <c r="P776" i="2"/>
  <c r="Q776" i="2"/>
  <c r="R776" i="2"/>
  <c r="S776" i="2"/>
  <c r="T776" i="2"/>
  <c r="U776" i="2"/>
  <c r="X776" i="2" s="1"/>
  <c r="V776" i="2"/>
  <c r="W776" i="2"/>
  <c r="N777" i="2"/>
  <c r="O777" i="2"/>
  <c r="P777" i="2"/>
  <c r="Q777" i="2"/>
  <c r="R777" i="2"/>
  <c r="S777" i="2"/>
  <c r="T777" i="2"/>
  <c r="U777" i="2"/>
  <c r="V777" i="2"/>
  <c r="W777" i="2"/>
  <c r="N778" i="2"/>
  <c r="X778" i="2" s="1"/>
  <c r="O778" i="2"/>
  <c r="P778" i="2"/>
  <c r="Q778" i="2"/>
  <c r="R778" i="2"/>
  <c r="S778" i="2"/>
  <c r="T778" i="2"/>
  <c r="U778" i="2"/>
  <c r="V778" i="2"/>
  <c r="W778" i="2"/>
  <c r="N779" i="2"/>
  <c r="O779" i="2"/>
  <c r="P779" i="2"/>
  <c r="Q779" i="2"/>
  <c r="R779" i="2"/>
  <c r="S779" i="2"/>
  <c r="T779" i="2"/>
  <c r="U779" i="2"/>
  <c r="V779" i="2"/>
  <c r="W779" i="2"/>
  <c r="N780" i="2"/>
  <c r="O780" i="2"/>
  <c r="P780" i="2"/>
  <c r="Q780" i="2"/>
  <c r="R780" i="2"/>
  <c r="S780" i="2"/>
  <c r="T780" i="2"/>
  <c r="U780" i="2"/>
  <c r="V780" i="2"/>
  <c r="W780" i="2"/>
  <c r="N781" i="2"/>
  <c r="X781" i="2" s="1"/>
  <c r="O781" i="2"/>
  <c r="P781" i="2"/>
  <c r="Q781" i="2"/>
  <c r="R781" i="2"/>
  <c r="S781" i="2"/>
  <c r="T781" i="2"/>
  <c r="U781" i="2"/>
  <c r="V781" i="2"/>
  <c r="W781" i="2"/>
  <c r="N782" i="2"/>
  <c r="O782" i="2"/>
  <c r="P782" i="2"/>
  <c r="Q782" i="2"/>
  <c r="R782" i="2"/>
  <c r="S782" i="2"/>
  <c r="T782" i="2"/>
  <c r="U782" i="2"/>
  <c r="V782" i="2"/>
  <c r="W782" i="2"/>
  <c r="N783" i="2"/>
  <c r="O783" i="2"/>
  <c r="P783" i="2"/>
  <c r="Q783" i="2"/>
  <c r="R783" i="2"/>
  <c r="S783" i="2"/>
  <c r="T783" i="2"/>
  <c r="U783" i="2"/>
  <c r="V783" i="2"/>
  <c r="W783" i="2"/>
  <c r="N784" i="2"/>
  <c r="X784" i="2" s="1"/>
  <c r="O784" i="2"/>
  <c r="P784" i="2"/>
  <c r="Q784" i="2"/>
  <c r="R784" i="2"/>
  <c r="S784" i="2"/>
  <c r="T784" i="2"/>
  <c r="U784" i="2"/>
  <c r="V784" i="2"/>
  <c r="W784" i="2"/>
  <c r="N785" i="2"/>
  <c r="O785" i="2"/>
  <c r="P785" i="2"/>
  <c r="Q785" i="2"/>
  <c r="R785" i="2"/>
  <c r="S785" i="2"/>
  <c r="T785" i="2"/>
  <c r="U785" i="2"/>
  <c r="V785" i="2"/>
  <c r="W785" i="2"/>
  <c r="N786" i="2"/>
  <c r="O786" i="2"/>
  <c r="P786" i="2"/>
  <c r="Q786" i="2"/>
  <c r="R786" i="2"/>
  <c r="S786" i="2"/>
  <c r="T786" i="2"/>
  <c r="U786" i="2"/>
  <c r="V786" i="2"/>
  <c r="W786" i="2"/>
  <c r="N787" i="2"/>
  <c r="X787" i="2" s="1"/>
  <c r="O787" i="2"/>
  <c r="P787" i="2"/>
  <c r="Q787" i="2"/>
  <c r="R787" i="2"/>
  <c r="S787" i="2"/>
  <c r="T787" i="2"/>
  <c r="U787" i="2"/>
  <c r="V787" i="2"/>
  <c r="W787" i="2"/>
  <c r="N788" i="2"/>
  <c r="O788" i="2"/>
  <c r="P788" i="2"/>
  <c r="Q788" i="2"/>
  <c r="R788" i="2"/>
  <c r="S788" i="2"/>
  <c r="T788" i="2"/>
  <c r="U788" i="2"/>
  <c r="X788" i="2" s="1"/>
  <c r="V788" i="2"/>
  <c r="W788" i="2"/>
  <c r="N789" i="2"/>
  <c r="O789" i="2"/>
  <c r="P789" i="2"/>
  <c r="Q789" i="2"/>
  <c r="R789" i="2"/>
  <c r="S789" i="2"/>
  <c r="T789" i="2"/>
  <c r="U789" i="2"/>
  <c r="V789" i="2"/>
  <c r="W789" i="2"/>
  <c r="N790" i="2"/>
  <c r="X790" i="2" s="1"/>
  <c r="O790" i="2"/>
  <c r="P790" i="2"/>
  <c r="Q790" i="2"/>
  <c r="R790" i="2"/>
  <c r="S790" i="2"/>
  <c r="T790" i="2"/>
  <c r="U790" i="2"/>
  <c r="V790" i="2"/>
  <c r="W790" i="2"/>
  <c r="N791" i="2"/>
  <c r="O791" i="2"/>
  <c r="P791" i="2"/>
  <c r="Q791" i="2"/>
  <c r="R791" i="2"/>
  <c r="S791" i="2"/>
  <c r="T791" i="2"/>
  <c r="U791" i="2"/>
  <c r="V791" i="2"/>
  <c r="W791" i="2"/>
  <c r="N792" i="2"/>
  <c r="O792" i="2"/>
  <c r="P792" i="2"/>
  <c r="Q792" i="2"/>
  <c r="R792" i="2"/>
  <c r="S792" i="2"/>
  <c r="T792" i="2"/>
  <c r="U792" i="2"/>
  <c r="V792" i="2"/>
  <c r="W792" i="2"/>
  <c r="N793" i="2"/>
  <c r="X793" i="2" s="1"/>
  <c r="O793" i="2"/>
  <c r="P793" i="2"/>
  <c r="Q793" i="2"/>
  <c r="R793" i="2"/>
  <c r="S793" i="2"/>
  <c r="T793" i="2"/>
  <c r="U793" i="2"/>
  <c r="V793" i="2"/>
  <c r="W793" i="2"/>
  <c r="N794" i="2"/>
  <c r="O794" i="2"/>
  <c r="P794" i="2"/>
  <c r="Q794" i="2"/>
  <c r="R794" i="2"/>
  <c r="S794" i="2"/>
  <c r="T794" i="2"/>
  <c r="U794" i="2"/>
  <c r="V794" i="2"/>
  <c r="W794" i="2"/>
  <c r="N795" i="2"/>
  <c r="O795" i="2"/>
  <c r="P795" i="2"/>
  <c r="Q795" i="2"/>
  <c r="R795" i="2"/>
  <c r="S795" i="2"/>
  <c r="T795" i="2"/>
  <c r="U795" i="2"/>
  <c r="V795" i="2"/>
  <c r="W795" i="2"/>
  <c r="N796" i="2"/>
  <c r="X796" i="2" s="1"/>
  <c r="O796" i="2"/>
  <c r="P796" i="2"/>
  <c r="Q796" i="2"/>
  <c r="R796" i="2"/>
  <c r="S796" i="2"/>
  <c r="T796" i="2"/>
  <c r="U796" i="2"/>
  <c r="V796" i="2"/>
  <c r="W796" i="2"/>
  <c r="N797" i="2"/>
  <c r="O797" i="2"/>
  <c r="P797" i="2"/>
  <c r="Q797" i="2"/>
  <c r="R797" i="2"/>
  <c r="S797" i="2"/>
  <c r="T797" i="2"/>
  <c r="U797" i="2"/>
  <c r="V797" i="2"/>
  <c r="W797" i="2"/>
  <c r="N798" i="2"/>
  <c r="O798" i="2"/>
  <c r="P798" i="2"/>
  <c r="Q798" i="2"/>
  <c r="R798" i="2"/>
  <c r="S798" i="2"/>
  <c r="T798" i="2"/>
  <c r="U798" i="2"/>
  <c r="V798" i="2"/>
  <c r="W798" i="2"/>
  <c r="N799" i="2"/>
  <c r="X799" i="2" s="1"/>
  <c r="O799" i="2"/>
  <c r="P799" i="2"/>
  <c r="Q799" i="2"/>
  <c r="R799" i="2"/>
  <c r="S799" i="2"/>
  <c r="T799" i="2"/>
  <c r="U799" i="2"/>
  <c r="V799" i="2"/>
  <c r="W799" i="2"/>
  <c r="N800" i="2"/>
  <c r="O800" i="2"/>
  <c r="P800" i="2"/>
  <c r="Q800" i="2"/>
  <c r="R800" i="2"/>
  <c r="S800" i="2"/>
  <c r="T800" i="2"/>
  <c r="U800" i="2"/>
  <c r="X800" i="2" s="1"/>
  <c r="V800" i="2"/>
  <c r="W800" i="2"/>
  <c r="N801" i="2"/>
  <c r="O801" i="2"/>
  <c r="P801" i="2"/>
  <c r="Q801" i="2"/>
  <c r="R801" i="2"/>
  <c r="S801" i="2"/>
  <c r="T801" i="2"/>
  <c r="U801" i="2"/>
  <c r="V801" i="2"/>
  <c r="W801" i="2"/>
  <c r="N802" i="2"/>
  <c r="X802" i="2" s="1"/>
  <c r="O802" i="2"/>
  <c r="P802" i="2"/>
  <c r="Q802" i="2"/>
  <c r="R802" i="2"/>
  <c r="S802" i="2"/>
  <c r="T802" i="2"/>
  <c r="U802" i="2"/>
  <c r="V802" i="2"/>
  <c r="W802" i="2"/>
  <c r="N803" i="2"/>
  <c r="O803" i="2"/>
  <c r="P803" i="2"/>
  <c r="Q803" i="2"/>
  <c r="R803" i="2"/>
  <c r="S803" i="2"/>
  <c r="T803" i="2"/>
  <c r="U803" i="2"/>
  <c r="V803" i="2"/>
  <c r="W803" i="2"/>
  <c r="N804" i="2"/>
  <c r="O804" i="2"/>
  <c r="P804" i="2"/>
  <c r="Q804" i="2"/>
  <c r="R804" i="2"/>
  <c r="S804" i="2"/>
  <c r="T804" i="2"/>
  <c r="U804" i="2"/>
  <c r="V804" i="2"/>
  <c r="W804" i="2"/>
  <c r="N805" i="2"/>
  <c r="X805" i="2" s="1"/>
  <c r="O805" i="2"/>
  <c r="P805" i="2"/>
  <c r="Q805" i="2"/>
  <c r="R805" i="2"/>
  <c r="S805" i="2"/>
  <c r="T805" i="2"/>
  <c r="U805" i="2"/>
  <c r="V805" i="2"/>
  <c r="W805" i="2"/>
  <c r="N806" i="2"/>
  <c r="O806" i="2"/>
  <c r="P806" i="2"/>
  <c r="Q806" i="2"/>
  <c r="R806" i="2"/>
  <c r="S806" i="2"/>
  <c r="T806" i="2"/>
  <c r="U806" i="2"/>
  <c r="V806" i="2"/>
  <c r="W806" i="2"/>
  <c r="N807" i="2"/>
  <c r="O807" i="2"/>
  <c r="P807" i="2"/>
  <c r="Q807" i="2"/>
  <c r="R807" i="2"/>
  <c r="S807" i="2"/>
  <c r="T807" i="2"/>
  <c r="U807" i="2"/>
  <c r="V807" i="2"/>
  <c r="W807" i="2"/>
  <c r="N808" i="2"/>
  <c r="X808" i="2" s="1"/>
  <c r="O808" i="2"/>
  <c r="P808" i="2"/>
  <c r="Q808" i="2"/>
  <c r="R808" i="2"/>
  <c r="S808" i="2"/>
  <c r="T808" i="2"/>
  <c r="U808" i="2"/>
  <c r="V808" i="2"/>
  <c r="W808" i="2"/>
  <c r="N809" i="2"/>
  <c r="O809" i="2"/>
  <c r="P809" i="2"/>
  <c r="Q809" i="2"/>
  <c r="R809" i="2"/>
  <c r="S809" i="2"/>
  <c r="T809" i="2"/>
  <c r="U809" i="2"/>
  <c r="V809" i="2"/>
  <c r="W809" i="2"/>
  <c r="N810" i="2"/>
  <c r="O810" i="2"/>
  <c r="P810" i="2"/>
  <c r="Q810" i="2"/>
  <c r="R810" i="2"/>
  <c r="S810" i="2"/>
  <c r="T810" i="2"/>
  <c r="U810" i="2"/>
  <c r="V810" i="2"/>
  <c r="W810" i="2"/>
  <c r="N811" i="2"/>
  <c r="X811" i="2" s="1"/>
  <c r="O811" i="2"/>
  <c r="P811" i="2"/>
  <c r="Q811" i="2"/>
  <c r="R811" i="2"/>
  <c r="S811" i="2"/>
  <c r="T811" i="2"/>
  <c r="U811" i="2"/>
  <c r="V811" i="2"/>
  <c r="W811" i="2"/>
  <c r="N812" i="2"/>
  <c r="O812" i="2"/>
  <c r="P812" i="2"/>
  <c r="Q812" i="2"/>
  <c r="R812" i="2"/>
  <c r="S812" i="2"/>
  <c r="T812" i="2"/>
  <c r="U812" i="2"/>
  <c r="X812" i="2" s="1"/>
  <c r="V812" i="2"/>
  <c r="W812" i="2"/>
  <c r="N813" i="2"/>
  <c r="O813" i="2"/>
  <c r="P813" i="2"/>
  <c r="Q813" i="2"/>
  <c r="R813" i="2"/>
  <c r="S813" i="2"/>
  <c r="T813" i="2"/>
  <c r="U813" i="2"/>
  <c r="V813" i="2"/>
  <c r="W813" i="2"/>
  <c r="N814" i="2"/>
  <c r="X814" i="2" s="1"/>
  <c r="O814" i="2"/>
  <c r="P814" i="2"/>
  <c r="Q814" i="2"/>
  <c r="R814" i="2"/>
  <c r="S814" i="2"/>
  <c r="T814" i="2"/>
  <c r="U814" i="2"/>
  <c r="V814" i="2"/>
  <c r="W814" i="2"/>
  <c r="N815" i="2"/>
  <c r="O815" i="2"/>
  <c r="P815" i="2"/>
  <c r="Q815" i="2"/>
  <c r="R815" i="2"/>
  <c r="S815" i="2"/>
  <c r="T815" i="2"/>
  <c r="U815" i="2"/>
  <c r="V815" i="2"/>
  <c r="W815" i="2"/>
  <c r="N816" i="2"/>
  <c r="O816" i="2"/>
  <c r="P816" i="2"/>
  <c r="Q816" i="2"/>
  <c r="R816" i="2"/>
  <c r="S816" i="2"/>
  <c r="T816" i="2"/>
  <c r="U816" i="2"/>
  <c r="V816" i="2"/>
  <c r="W816" i="2"/>
  <c r="N817" i="2"/>
  <c r="X817" i="2" s="1"/>
  <c r="O817" i="2"/>
  <c r="P817" i="2"/>
  <c r="Q817" i="2"/>
  <c r="R817" i="2"/>
  <c r="S817" i="2"/>
  <c r="T817" i="2"/>
  <c r="U817" i="2"/>
  <c r="V817" i="2"/>
  <c r="W817" i="2"/>
  <c r="N818" i="2"/>
  <c r="O818" i="2"/>
  <c r="P818" i="2"/>
  <c r="Q818" i="2"/>
  <c r="R818" i="2"/>
  <c r="S818" i="2"/>
  <c r="T818" i="2"/>
  <c r="U818" i="2"/>
  <c r="V818" i="2"/>
  <c r="W818" i="2"/>
  <c r="N819" i="2"/>
  <c r="O819" i="2"/>
  <c r="P819" i="2"/>
  <c r="Q819" i="2"/>
  <c r="R819" i="2"/>
  <c r="S819" i="2"/>
  <c r="T819" i="2"/>
  <c r="U819" i="2"/>
  <c r="V819" i="2"/>
  <c r="W819" i="2"/>
  <c r="N820" i="2"/>
  <c r="X820" i="2" s="1"/>
  <c r="O820" i="2"/>
  <c r="P820" i="2"/>
  <c r="Q820" i="2"/>
  <c r="R820" i="2"/>
  <c r="S820" i="2"/>
  <c r="T820" i="2"/>
  <c r="U820" i="2"/>
  <c r="V820" i="2"/>
  <c r="W820" i="2"/>
  <c r="N821" i="2"/>
  <c r="O821" i="2"/>
  <c r="P821" i="2"/>
  <c r="Q821" i="2"/>
  <c r="R821" i="2"/>
  <c r="S821" i="2"/>
  <c r="T821" i="2"/>
  <c r="U821" i="2"/>
  <c r="V821" i="2"/>
  <c r="W821" i="2"/>
  <c r="N822" i="2"/>
  <c r="O822" i="2"/>
  <c r="P822" i="2"/>
  <c r="Q822" i="2"/>
  <c r="R822" i="2"/>
  <c r="S822" i="2"/>
  <c r="T822" i="2"/>
  <c r="U822" i="2"/>
  <c r="V822" i="2"/>
  <c r="W822" i="2"/>
  <c r="N823" i="2"/>
  <c r="X823" i="2" s="1"/>
  <c r="O823" i="2"/>
  <c r="P823" i="2"/>
  <c r="Q823" i="2"/>
  <c r="R823" i="2"/>
  <c r="S823" i="2"/>
  <c r="T823" i="2"/>
  <c r="U823" i="2"/>
  <c r="V823" i="2"/>
  <c r="W823" i="2"/>
  <c r="N824" i="2"/>
  <c r="O824" i="2"/>
  <c r="P824" i="2"/>
  <c r="Q824" i="2"/>
  <c r="R824" i="2"/>
  <c r="S824" i="2"/>
  <c r="T824" i="2"/>
  <c r="U824" i="2"/>
  <c r="X824" i="2" s="1"/>
  <c r="V824" i="2"/>
  <c r="W824" i="2"/>
  <c r="N825" i="2"/>
  <c r="O825" i="2"/>
  <c r="P825" i="2"/>
  <c r="Q825" i="2"/>
  <c r="R825" i="2"/>
  <c r="S825" i="2"/>
  <c r="T825" i="2"/>
  <c r="U825" i="2"/>
  <c r="V825" i="2"/>
  <c r="W825" i="2"/>
  <c r="N826" i="2"/>
  <c r="X826" i="2" s="1"/>
  <c r="O826" i="2"/>
  <c r="P826" i="2"/>
  <c r="Q826" i="2"/>
  <c r="R826" i="2"/>
  <c r="S826" i="2"/>
  <c r="T826" i="2"/>
  <c r="U826" i="2"/>
  <c r="V826" i="2"/>
  <c r="W826" i="2"/>
  <c r="N827" i="2"/>
  <c r="O827" i="2"/>
  <c r="P827" i="2"/>
  <c r="Q827" i="2"/>
  <c r="R827" i="2"/>
  <c r="S827" i="2"/>
  <c r="T827" i="2"/>
  <c r="U827" i="2"/>
  <c r="V827" i="2"/>
  <c r="W827" i="2"/>
  <c r="N828" i="2"/>
  <c r="O828" i="2"/>
  <c r="P828" i="2"/>
  <c r="Q828" i="2"/>
  <c r="R828" i="2"/>
  <c r="S828" i="2"/>
  <c r="T828" i="2"/>
  <c r="U828" i="2"/>
  <c r="V828" i="2"/>
  <c r="W828" i="2"/>
  <c r="N829" i="2"/>
  <c r="X829" i="2" s="1"/>
  <c r="O829" i="2"/>
  <c r="P829" i="2"/>
  <c r="Q829" i="2"/>
  <c r="R829" i="2"/>
  <c r="S829" i="2"/>
  <c r="T829" i="2"/>
  <c r="U829" i="2"/>
  <c r="V829" i="2"/>
  <c r="W829" i="2"/>
  <c r="N830" i="2"/>
  <c r="O830" i="2"/>
  <c r="P830" i="2"/>
  <c r="Q830" i="2"/>
  <c r="R830" i="2"/>
  <c r="S830" i="2"/>
  <c r="T830" i="2"/>
  <c r="U830" i="2"/>
  <c r="V830" i="2"/>
  <c r="W830" i="2"/>
  <c r="N831" i="2"/>
  <c r="O831" i="2"/>
  <c r="P831" i="2"/>
  <c r="Q831" i="2"/>
  <c r="R831" i="2"/>
  <c r="S831" i="2"/>
  <c r="T831" i="2"/>
  <c r="U831" i="2"/>
  <c r="V831" i="2"/>
  <c r="W831" i="2"/>
  <c r="N832" i="2"/>
  <c r="X832" i="2" s="1"/>
  <c r="O832" i="2"/>
  <c r="P832" i="2"/>
  <c r="Q832" i="2"/>
  <c r="R832" i="2"/>
  <c r="S832" i="2"/>
  <c r="T832" i="2"/>
  <c r="U832" i="2"/>
  <c r="V832" i="2"/>
  <c r="W832" i="2"/>
  <c r="N833" i="2"/>
  <c r="O833" i="2"/>
  <c r="P833" i="2"/>
  <c r="Q833" i="2"/>
  <c r="R833" i="2"/>
  <c r="S833" i="2"/>
  <c r="T833" i="2"/>
  <c r="U833" i="2"/>
  <c r="V833" i="2"/>
  <c r="W833" i="2"/>
  <c r="N834" i="2"/>
  <c r="O834" i="2"/>
  <c r="P834" i="2"/>
  <c r="Q834" i="2"/>
  <c r="R834" i="2"/>
  <c r="S834" i="2"/>
  <c r="T834" i="2"/>
  <c r="U834" i="2"/>
  <c r="V834" i="2"/>
  <c r="W834" i="2"/>
  <c r="N835" i="2"/>
  <c r="X835" i="2" s="1"/>
  <c r="O835" i="2"/>
  <c r="P835" i="2"/>
  <c r="Q835" i="2"/>
  <c r="R835" i="2"/>
  <c r="S835" i="2"/>
  <c r="T835" i="2"/>
  <c r="U835" i="2"/>
  <c r="V835" i="2"/>
  <c r="W835" i="2"/>
  <c r="N836" i="2"/>
  <c r="O836" i="2"/>
  <c r="P836" i="2"/>
  <c r="Q836" i="2"/>
  <c r="R836" i="2"/>
  <c r="S836" i="2"/>
  <c r="T836" i="2"/>
  <c r="U836" i="2"/>
  <c r="X836" i="2" s="1"/>
  <c r="V836" i="2"/>
  <c r="W836" i="2"/>
  <c r="N837" i="2"/>
  <c r="O837" i="2"/>
  <c r="P837" i="2"/>
  <c r="Q837" i="2"/>
  <c r="R837" i="2"/>
  <c r="S837" i="2"/>
  <c r="T837" i="2"/>
  <c r="U837" i="2"/>
  <c r="V837" i="2"/>
  <c r="W837" i="2"/>
  <c r="N838" i="2"/>
  <c r="X838" i="2" s="1"/>
  <c r="O838" i="2"/>
  <c r="P838" i="2"/>
  <c r="Q838" i="2"/>
  <c r="R838" i="2"/>
  <c r="S838" i="2"/>
  <c r="T838" i="2"/>
  <c r="U838" i="2"/>
  <c r="V838" i="2"/>
  <c r="W838" i="2"/>
  <c r="N839" i="2"/>
  <c r="O839" i="2"/>
  <c r="P839" i="2"/>
  <c r="Q839" i="2"/>
  <c r="R839" i="2"/>
  <c r="S839" i="2"/>
  <c r="T839" i="2"/>
  <c r="U839" i="2"/>
  <c r="V839" i="2"/>
  <c r="W839" i="2"/>
  <c r="N840" i="2"/>
  <c r="O840" i="2"/>
  <c r="P840" i="2"/>
  <c r="Q840" i="2"/>
  <c r="R840" i="2"/>
  <c r="S840" i="2"/>
  <c r="T840" i="2"/>
  <c r="U840" i="2"/>
  <c r="V840" i="2"/>
  <c r="W840" i="2"/>
  <c r="N841" i="2"/>
  <c r="X841" i="2" s="1"/>
  <c r="O841" i="2"/>
  <c r="P841" i="2"/>
  <c r="Q841" i="2"/>
  <c r="R841" i="2"/>
  <c r="S841" i="2"/>
  <c r="T841" i="2"/>
  <c r="U841" i="2"/>
  <c r="V841" i="2"/>
  <c r="W841" i="2"/>
  <c r="N842" i="2"/>
  <c r="O842" i="2"/>
  <c r="P842" i="2"/>
  <c r="Q842" i="2"/>
  <c r="R842" i="2"/>
  <c r="S842" i="2"/>
  <c r="T842" i="2"/>
  <c r="U842" i="2"/>
  <c r="V842" i="2"/>
  <c r="W842" i="2"/>
  <c r="N843" i="2"/>
  <c r="O843" i="2"/>
  <c r="P843" i="2"/>
  <c r="Q843" i="2"/>
  <c r="R843" i="2"/>
  <c r="S843" i="2"/>
  <c r="T843" i="2"/>
  <c r="U843" i="2"/>
  <c r="V843" i="2"/>
  <c r="W843" i="2"/>
  <c r="N844" i="2"/>
  <c r="X844" i="2" s="1"/>
  <c r="O844" i="2"/>
  <c r="P844" i="2"/>
  <c r="Q844" i="2"/>
  <c r="R844" i="2"/>
  <c r="S844" i="2"/>
  <c r="T844" i="2"/>
  <c r="U844" i="2"/>
  <c r="V844" i="2"/>
  <c r="W844" i="2"/>
  <c r="N845" i="2"/>
  <c r="O845" i="2"/>
  <c r="P845" i="2"/>
  <c r="Q845" i="2"/>
  <c r="R845" i="2"/>
  <c r="S845" i="2"/>
  <c r="T845" i="2"/>
  <c r="U845" i="2"/>
  <c r="V845" i="2"/>
  <c r="W845" i="2"/>
  <c r="N846" i="2"/>
  <c r="O846" i="2"/>
  <c r="P846" i="2"/>
  <c r="Q846" i="2"/>
  <c r="R846" i="2"/>
  <c r="S846" i="2"/>
  <c r="T846" i="2"/>
  <c r="U846" i="2"/>
  <c r="V846" i="2"/>
  <c r="W846" i="2"/>
  <c r="N847" i="2"/>
  <c r="X847" i="2" s="1"/>
  <c r="O847" i="2"/>
  <c r="P847" i="2"/>
  <c r="Q847" i="2"/>
  <c r="R847" i="2"/>
  <c r="S847" i="2"/>
  <c r="T847" i="2"/>
  <c r="U847" i="2"/>
  <c r="V847" i="2"/>
  <c r="W847" i="2"/>
  <c r="N848" i="2"/>
  <c r="O848" i="2"/>
  <c r="P848" i="2"/>
  <c r="Q848" i="2"/>
  <c r="R848" i="2"/>
  <c r="S848" i="2"/>
  <c r="T848" i="2"/>
  <c r="U848" i="2"/>
  <c r="X848" i="2" s="1"/>
  <c r="V848" i="2"/>
  <c r="W848" i="2"/>
  <c r="N849" i="2"/>
  <c r="O849" i="2"/>
  <c r="P849" i="2"/>
  <c r="Q849" i="2"/>
  <c r="R849" i="2"/>
  <c r="S849" i="2"/>
  <c r="T849" i="2"/>
  <c r="U849" i="2"/>
  <c r="V849" i="2"/>
  <c r="W849" i="2"/>
  <c r="N850" i="2"/>
  <c r="X850" i="2" s="1"/>
  <c r="O850" i="2"/>
  <c r="P850" i="2"/>
  <c r="Q850" i="2"/>
  <c r="R850" i="2"/>
  <c r="S850" i="2"/>
  <c r="T850" i="2"/>
  <c r="U850" i="2"/>
  <c r="V850" i="2"/>
  <c r="W850" i="2"/>
  <c r="N851" i="2"/>
  <c r="O851" i="2"/>
  <c r="P851" i="2"/>
  <c r="Q851" i="2"/>
  <c r="R851" i="2"/>
  <c r="S851" i="2"/>
  <c r="T851" i="2"/>
  <c r="U851" i="2"/>
  <c r="V851" i="2"/>
  <c r="W851" i="2"/>
  <c r="O2" i="2"/>
  <c r="P2" i="2"/>
  <c r="Q2" i="2"/>
  <c r="R2" i="2"/>
  <c r="S2" i="2"/>
  <c r="T2" i="2"/>
  <c r="U2" i="2"/>
  <c r="V2" i="2"/>
  <c r="W2" i="2"/>
  <c r="E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2" i="5"/>
  <c r="E30" i="4"/>
  <c r="D31" i="4"/>
  <c r="D32" i="4"/>
  <c r="D33" i="4"/>
  <c r="D30" i="4"/>
  <c r="D26" i="4"/>
  <c r="D27" i="4"/>
  <c r="D28" i="4"/>
  <c r="D25" i="4"/>
  <c r="B20" i="4"/>
  <c r="B21" i="4"/>
  <c r="B22" i="4"/>
  <c r="B23" i="4"/>
  <c r="B19" i="4"/>
  <c r="B14" i="4"/>
  <c r="B15" i="4"/>
  <c r="B16" i="4"/>
  <c r="B17" i="4"/>
  <c r="B13" i="4"/>
  <c r="A10" i="4"/>
  <c r="C13" i="4"/>
  <c r="B2" i="4"/>
  <c r="B3" i="4"/>
  <c r="B4" i="4"/>
  <c r="B5" i="4"/>
  <c r="B1" i="4"/>
  <c r="B6" i="4" s="1"/>
  <c r="X839" i="2" l="1"/>
  <c r="X827" i="2"/>
  <c r="X821" i="2"/>
  <c r="X815" i="2"/>
  <c r="X809" i="2"/>
  <c r="X803" i="2"/>
  <c r="X797" i="2"/>
  <c r="X791" i="2"/>
  <c r="X785" i="2"/>
  <c r="X779" i="2"/>
  <c r="X773" i="2"/>
  <c r="X767" i="2"/>
  <c r="X761" i="2"/>
  <c r="X755" i="2"/>
  <c r="X749" i="2"/>
  <c r="X743" i="2"/>
  <c r="X737" i="2"/>
  <c r="X731" i="2"/>
  <c r="X725" i="2"/>
  <c r="X719" i="2"/>
  <c r="X713" i="2"/>
  <c r="X707" i="2"/>
  <c r="X701" i="2"/>
  <c r="X695" i="2"/>
  <c r="X689" i="2"/>
  <c r="X683" i="2"/>
  <c r="X677" i="2"/>
  <c r="X671" i="2"/>
  <c r="X665" i="2"/>
  <c r="X659" i="2"/>
  <c r="X647" i="2"/>
  <c r="X641" i="2"/>
  <c r="X635" i="2"/>
  <c r="X629" i="2"/>
  <c r="X623" i="2"/>
  <c r="X617" i="2"/>
  <c r="X611" i="2"/>
  <c r="X605" i="2"/>
  <c r="X599" i="2"/>
  <c r="X593" i="2"/>
  <c r="X587" i="2"/>
  <c r="X581" i="2"/>
  <c r="X575" i="2"/>
  <c r="X569" i="2"/>
  <c r="X563" i="2"/>
  <c r="X557" i="2"/>
  <c r="X551" i="2"/>
  <c r="X545" i="2"/>
  <c r="X539" i="2"/>
  <c r="X533" i="2"/>
  <c r="X527" i="2"/>
  <c r="X521" i="2"/>
  <c r="X515" i="2"/>
  <c r="X509" i="2"/>
  <c r="X503" i="2"/>
  <c r="X497" i="2"/>
  <c r="X491" i="2"/>
  <c r="X485" i="2"/>
  <c r="X479" i="2"/>
  <c r="X473" i="2"/>
  <c r="X467" i="2"/>
  <c r="X461" i="2"/>
  <c r="X455" i="2"/>
  <c r="X449" i="2"/>
  <c r="X443" i="2"/>
  <c r="X437" i="2"/>
  <c r="X431" i="2"/>
  <c r="X425" i="2"/>
  <c r="X419" i="2"/>
  <c r="X413" i="2"/>
  <c r="X407" i="2"/>
  <c r="X401" i="2"/>
  <c r="X395" i="2"/>
  <c r="X851" i="2"/>
  <c r="X845" i="2"/>
  <c r="X833" i="2"/>
  <c r="X653" i="2"/>
  <c r="X846" i="2"/>
  <c r="X840" i="2"/>
  <c r="X834" i="2"/>
  <c r="X828" i="2"/>
  <c r="X822" i="2"/>
  <c r="X816" i="2"/>
  <c r="X810" i="2"/>
  <c r="X804" i="2"/>
  <c r="X798" i="2"/>
  <c r="X792" i="2"/>
  <c r="X786" i="2"/>
  <c r="X780" i="2"/>
  <c r="X774" i="2"/>
  <c r="X768" i="2"/>
  <c r="X762" i="2"/>
  <c r="X756" i="2"/>
  <c r="X750" i="2"/>
  <c r="X744" i="2"/>
  <c r="X738" i="2"/>
  <c r="X732" i="2"/>
  <c r="X726" i="2"/>
  <c r="X720" i="2"/>
  <c r="X714" i="2"/>
  <c r="X708" i="2"/>
  <c r="X702" i="2"/>
  <c r="X696" i="2"/>
  <c r="X690" i="2"/>
  <c r="X684" i="2"/>
  <c r="X678" i="2"/>
  <c r="X672" i="2"/>
  <c r="X666" i="2"/>
  <c r="X660" i="2"/>
  <c r="X654" i="2"/>
  <c r="X648" i="2"/>
  <c r="X642" i="2"/>
  <c r="X636" i="2"/>
  <c r="X630" i="2"/>
  <c r="X624" i="2"/>
  <c r="X618" i="2"/>
  <c r="X612" i="2"/>
  <c r="X606" i="2"/>
  <c r="X134" i="2"/>
  <c r="X55" i="2"/>
  <c r="X25" i="2"/>
  <c r="X7" i="2"/>
  <c r="X14" i="2"/>
  <c r="X842" i="2"/>
  <c r="X830" i="2"/>
  <c r="X818" i="2"/>
  <c r="X806" i="2"/>
  <c r="X794" i="2"/>
  <c r="X782" i="2"/>
  <c r="X770" i="2"/>
  <c r="X758" i="2"/>
  <c r="X746" i="2"/>
  <c r="X734" i="2"/>
  <c r="X722" i="2"/>
  <c r="X710" i="2"/>
  <c r="X698" i="2"/>
  <c r="X686" i="2"/>
  <c r="X674" i="2"/>
  <c r="X662" i="2"/>
  <c r="X650" i="2"/>
  <c r="X638" i="2"/>
  <c r="X626" i="2"/>
  <c r="X614" i="2"/>
  <c r="X602" i="2"/>
  <c r="X590" i="2"/>
  <c r="X578" i="2"/>
  <c r="X566" i="2"/>
  <c r="X554" i="2"/>
  <c r="X542" i="2"/>
  <c r="X530" i="2"/>
  <c r="X518" i="2"/>
  <c r="X506" i="2"/>
  <c r="X494" i="2"/>
  <c r="X482" i="2"/>
  <c r="X470" i="2"/>
  <c r="X458" i="2"/>
  <c r="X446" i="2"/>
  <c r="X434" i="2"/>
  <c r="X422" i="2"/>
  <c r="X410" i="2"/>
  <c r="X398" i="2"/>
  <c r="X386" i="2"/>
  <c r="X374" i="2"/>
  <c r="X362" i="2"/>
  <c r="X350" i="2"/>
  <c r="X338" i="2"/>
  <c r="X326" i="2"/>
  <c r="X314" i="2"/>
  <c r="X302" i="2"/>
  <c r="X290" i="2"/>
  <c r="X278" i="2"/>
  <c r="X266" i="2"/>
  <c r="X254" i="2"/>
  <c r="X242" i="2"/>
  <c r="X230" i="2"/>
  <c r="X218" i="2"/>
  <c r="X206" i="2"/>
  <c r="X194" i="2"/>
  <c r="X182" i="2"/>
  <c r="X170" i="2"/>
  <c r="X158" i="2"/>
  <c r="X146" i="2"/>
  <c r="X122" i="2"/>
  <c r="X110" i="2"/>
  <c r="X98" i="2"/>
  <c r="X86" i="2"/>
  <c r="X74" i="2"/>
  <c r="X62" i="2"/>
  <c r="X50" i="2"/>
  <c r="X38" i="2"/>
  <c r="X26" i="2"/>
  <c r="X165" i="2"/>
  <c r="X843" i="2"/>
  <c r="X837" i="2"/>
  <c r="X831" i="2"/>
  <c r="X825" i="2"/>
  <c r="X813" i="2"/>
  <c r="X807" i="2"/>
  <c r="X801" i="2"/>
  <c r="X795" i="2"/>
  <c r="X789" i="2"/>
  <c r="X783" i="2"/>
  <c r="X777" i="2"/>
  <c r="X771" i="2"/>
  <c r="X765" i="2"/>
  <c r="X759" i="2"/>
  <c r="X753" i="2"/>
  <c r="X747" i="2"/>
  <c r="X741" i="2"/>
  <c r="X735" i="2"/>
  <c r="X729" i="2"/>
  <c r="X723" i="2"/>
  <c r="X717" i="2"/>
  <c r="X711" i="2"/>
  <c r="X705" i="2"/>
  <c r="X699" i="2"/>
  <c r="X693" i="2"/>
  <c r="X687" i="2"/>
  <c r="X681" i="2"/>
  <c r="X675" i="2"/>
  <c r="X669" i="2"/>
  <c r="X663" i="2"/>
  <c r="X657" i="2"/>
  <c r="X651" i="2"/>
  <c r="X645" i="2"/>
  <c r="X639" i="2"/>
  <c r="X633" i="2"/>
  <c r="X627" i="2"/>
  <c r="X621" i="2"/>
  <c r="X615" i="2"/>
  <c r="X609" i="2"/>
  <c r="X603" i="2"/>
  <c r="X597" i="2"/>
  <c r="X591" i="2"/>
  <c r="X585" i="2"/>
  <c r="X579" i="2"/>
  <c r="X573" i="2"/>
  <c r="X567" i="2"/>
  <c r="X561" i="2"/>
  <c r="X555" i="2"/>
  <c r="X549" i="2"/>
  <c r="X543" i="2"/>
  <c r="X537" i="2"/>
  <c r="X531" i="2"/>
  <c r="X525" i="2"/>
  <c r="X519" i="2"/>
  <c r="X513" i="2"/>
  <c r="X507" i="2"/>
  <c r="X501" i="2"/>
  <c r="X495" i="2"/>
  <c r="X489" i="2"/>
  <c r="X483" i="2"/>
  <c r="X477" i="2"/>
  <c r="X471" i="2"/>
  <c r="X465" i="2"/>
  <c r="X459" i="2"/>
  <c r="X453" i="2"/>
  <c r="X447" i="2"/>
  <c r="X441" i="2"/>
  <c r="X435" i="2"/>
  <c r="X429" i="2"/>
  <c r="X423" i="2"/>
  <c r="X417" i="2"/>
  <c r="X411" i="2"/>
  <c r="X405" i="2"/>
  <c r="X399" i="2"/>
  <c r="X393" i="2"/>
  <c r="X387" i="2"/>
  <c r="X381" i="2"/>
  <c r="X375" i="2"/>
  <c r="X369" i="2"/>
  <c r="X363" i="2"/>
  <c r="X357" i="2"/>
  <c r="X351" i="2"/>
  <c r="X345" i="2"/>
  <c r="X339" i="2"/>
  <c r="X333" i="2"/>
  <c r="X327" i="2"/>
  <c r="X321" i="2"/>
  <c r="X315" i="2"/>
  <c r="X309" i="2"/>
  <c r="X303" i="2"/>
  <c r="X297" i="2"/>
  <c r="X291" i="2"/>
  <c r="X285" i="2"/>
  <c r="X279" i="2"/>
  <c r="X273" i="2"/>
  <c r="X267" i="2"/>
  <c r="X261" i="2"/>
  <c r="X255" i="2"/>
  <c r="X249" i="2"/>
  <c r="X243" i="2"/>
  <c r="X237" i="2"/>
  <c r="X231" i="2"/>
  <c r="X225" i="2"/>
  <c r="X219" i="2"/>
  <c r="X213" i="2"/>
  <c r="X207" i="2"/>
  <c r="X201" i="2"/>
  <c r="X195" i="2"/>
  <c r="X189" i="2"/>
  <c r="X183" i="2"/>
  <c r="X177" i="2"/>
  <c r="X171" i="2"/>
  <c r="X159" i="2"/>
  <c r="X135" i="2"/>
  <c r="X123" i="2"/>
  <c r="X111" i="2"/>
  <c r="X87" i="2"/>
  <c r="X75" i="2"/>
  <c r="X63" i="2"/>
  <c r="X39" i="2"/>
  <c r="X27" i="2"/>
  <c r="X15" i="2"/>
  <c r="X3" i="2"/>
  <c r="X849" i="2"/>
  <c r="X819" i="2"/>
  <c r="X287" i="2"/>
  <c r="X281" i="2"/>
  <c r="X275" i="2"/>
  <c r="X269" i="2"/>
  <c r="X263" i="2"/>
  <c r="X257" i="2"/>
  <c r="X251" i="2"/>
  <c r="X245" i="2"/>
  <c r="X239" i="2"/>
  <c r="X233" i="2"/>
  <c r="X227" i="2"/>
  <c r="X221" i="2"/>
  <c r="X215" i="2"/>
  <c r="X209" i="2"/>
  <c r="X203" i="2"/>
  <c r="X197" i="2"/>
  <c r="X191" i="2"/>
  <c r="X185" i="2"/>
  <c r="X179" i="2"/>
  <c r="X173" i="2"/>
  <c r="X167" i="2"/>
  <c r="X161" i="2"/>
  <c r="X155" i="2"/>
  <c r="X143" i="2"/>
  <c r="X137" i="2"/>
  <c r="X131" i="2"/>
  <c r="X125" i="2"/>
  <c r="X113" i="2"/>
  <c r="X107" i="2"/>
  <c r="X95" i="2"/>
  <c r="X89" i="2"/>
  <c r="X83" i="2"/>
  <c r="X77" i="2"/>
  <c r="X71" i="2"/>
  <c r="X65" i="2"/>
  <c r="X59" i="2"/>
  <c r="X53" i="2"/>
  <c r="X47" i="2"/>
  <c r="X41" i="2"/>
  <c r="X35" i="2"/>
  <c r="X29" i="2"/>
  <c r="X23" i="2"/>
  <c r="X17" i="2"/>
  <c r="X11" i="2"/>
  <c r="X5" i="2"/>
  <c r="X389" i="2"/>
  <c r="X383" i="2"/>
  <c r="X377" i="2"/>
  <c r="X371" i="2"/>
  <c r="X365" i="2"/>
  <c r="X359" i="2"/>
  <c r="X353" i="2"/>
  <c r="X347" i="2"/>
  <c r="X341" i="2"/>
  <c r="X335" i="2"/>
  <c r="X329" i="2"/>
  <c r="X323" i="2"/>
  <c r="X317" i="2"/>
  <c r="X311" i="2"/>
  <c r="X305" i="2"/>
  <c r="X299" i="2"/>
  <c r="X293" i="2"/>
  <c r="X600" i="2"/>
  <c r="X594" i="2"/>
  <c r="X588" i="2"/>
  <c r="X582" i="2"/>
  <c r="X576" i="2"/>
  <c r="X570" i="2"/>
  <c r="X564" i="2"/>
  <c r="X558" i="2"/>
  <c r="X552" i="2"/>
  <c r="X546" i="2"/>
  <c r="X540" i="2"/>
  <c r="X534" i="2"/>
  <c r="X528" i="2"/>
  <c r="X522" i="2"/>
  <c r="X516" i="2"/>
  <c r="X510" i="2"/>
  <c r="X504" i="2"/>
  <c r="X498" i="2"/>
  <c r="X492" i="2"/>
  <c r="X486" i="2"/>
  <c r="X480" i="2"/>
  <c r="X474" i="2"/>
  <c r="X468" i="2"/>
  <c r="X462" i="2"/>
  <c r="X456" i="2"/>
  <c r="X450" i="2"/>
  <c r="X444" i="2"/>
  <c r="X438" i="2"/>
  <c r="X432" i="2"/>
  <c r="X426" i="2"/>
  <c r="X420" i="2"/>
  <c r="X414" i="2"/>
  <c r="X408" i="2"/>
  <c r="X402" i="2"/>
  <c r="X396" i="2"/>
  <c r="X390" i="2"/>
  <c r="X384" i="2"/>
  <c r="X378" i="2"/>
  <c r="X372" i="2"/>
  <c r="X366" i="2"/>
  <c r="X360" i="2"/>
  <c r="X354" i="2"/>
  <c r="X348" i="2"/>
  <c r="X342" i="2"/>
  <c r="X336" i="2"/>
  <c r="X330" i="2"/>
  <c r="X324" i="2"/>
  <c r="X318" i="2"/>
  <c r="X312" i="2"/>
  <c r="X306" i="2"/>
  <c r="X300" i="2"/>
  <c r="X294" i="2"/>
  <c r="X288" i="2"/>
  <c r="X282" i="2"/>
  <c r="X276" i="2"/>
  <c r="X270" i="2"/>
  <c r="X264" i="2"/>
  <c r="X258" i="2"/>
  <c r="X252" i="2"/>
  <c r="X246" i="2"/>
  <c r="X240" i="2"/>
  <c r="X234" i="2"/>
  <c r="X228" i="2"/>
  <c r="X222" i="2"/>
  <c r="X216" i="2"/>
  <c r="X210" i="2"/>
  <c r="X204" i="2"/>
  <c r="X198" i="2"/>
  <c r="X192" i="2"/>
  <c r="X186" i="2"/>
  <c r="X180" i="2"/>
  <c r="X174" i="2"/>
  <c r="X168" i="2"/>
  <c r="X156" i="2"/>
  <c r="X150" i="2"/>
  <c r="X144" i="2"/>
  <c r="X138" i="2"/>
  <c r="X126" i="2"/>
  <c r="X120" i="2"/>
  <c r="X108" i="2"/>
  <c r="X102" i="2"/>
  <c r="X96" i="2"/>
  <c r="X90" i="2"/>
  <c r="X164" i="2"/>
  <c r="X152" i="2"/>
  <c r="X140" i="2"/>
  <c r="X128" i="2"/>
  <c r="X116" i="2"/>
  <c r="X104" i="2"/>
  <c r="X92" i="2"/>
  <c r="X80" i="2"/>
  <c r="X68" i="2"/>
  <c r="X56" i="2"/>
  <c r="X44" i="2"/>
  <c r="X32" i="2"/>
  <c r="X20" i="2"/>
  <c r="X8" i="2"/>
  <c r="X153" i="2"/>
  <c r="X141" i="2"/>
  <c r="X129" i="2"/>
  <c r="X117" i="2"/>
  <c r="X105" i="2"/>
  <c r="X93" i="2"/>
  <c r="X81" i="2"/>
  <c r="X69" i="2"/>
  <c r="X57" i="2"/>
  <c r="X45" i="2"/>
  <c r="X33" i="2"/>
  <c r="X21" i="2"/>
  <c r="X9" i="2"/>
  <c r="X166" i="2"/>
  <c r="X154" i="2"/>
  <c r="X142" i="2"/>
  <c r="X130" i="2"/>
  <c r="X118" i="2"/>
  <c r="X106" i="2"/>
  <c r="X94" i="2"/>
  <c r="X82" i="2"/>
  <c r="X70" i="2"/>
  <c r="X58" i="2"/>
  <c r="X46" i="2"/>
  <c r="X34" i="2"/>
  <c r="X22" i="2"/>
  <c r="X10" i="2"/>
  <c r="X4" i="2"/>
  <c r="X2" i="2"/>
  <c r="G11" i="6"/>
  <c r="E11" i="6"/>
  <c r="F12" i="6" s="1"/>
  <c r="Y2" i="2"/>
  <c r="Y4" i="2"/>
  <c r="Y3" i="2"/>
  <c r="L4" i="6"/>
  <c r="A7" i="6" s="1"/>
  <c r="L3" i="6"/>
  <c r="L5" i="6" s="1"/>
  <c r="A6" i="6" s="1"/>
  <c r="E25" i="4"/>
  <c r="C19" i="4"/>
</calcChain>
</file>

<file path=xl/sharedStrings.xml><?xml version="1.0" encoding="utf-8"?>
<sst xmlns="http://schemas.openxmlformats.org/spreadsheetml/2006/main" count="697" uniqueCount="92">
  <si>
    <t>Respondent</t>
  </si>
  <si>
    <t>Question i</t>
  </si>
  <si>
    <t>Question ii</t>
  </si>
  <si>
    <t>Question iii</t>
  </si>
  <si>
    <t>Question iv</t>
  </si>
  <si>
    <t>What is the probability that tomorrow we will get 1 inch or more of snowfall?</t>
  </si>
  <si>
    <t>What is the probability that tomorrow we will get 3 inches or more of snowfall?</t>
  </si>
  <si>
    <t>What is the probability that tomorrow we will get 5 inches or more of snowfall?</t>
  </si>
  <si>
    <t>What is the probability that it will snow less than 1 inch or not at all tomorrow?</t>
  </si>
  <si>
    <t>Dwight</t>
  </si>
  <si>
    <t>Michael</t>
  </si>
  <si>
    <t>Pam</t>
  </si>
  <si>
    <t>Jim</t>
  </si>
  <si>
    <t>Angela</t>
  </si>
  <si>
    <t>Andy</t>
  </si>
  <si>
    <t>Kevin</t>
  </si>
  <si>
    <t>Toby</t>
  </si>
  <si>
    <t>Erin</t>
  </si>
  <si>
    <t>Jan</t>
  </si>
  <si>
    <t>Creed</t>
  </si>
  <si>
    <t>Stanley</t>
  </si>
  <si>
    <t>Response ID</t>
  </si>
  <si>
    <t>Serial Number</t>
  </si>
  <si>
    <t>Section</t>
  </si>
  <si>
    <t>Event 1</t>
  </si>
  <si>
    <t>Event 2</t>
  </si>
  <si>
    <t>Event 3</t>
  </si>
  <si>
    <t>Event 4</t>
  </si>
  <si>
    <t>Event 5</t>
  </si>
  <si>
    <t>Event 6</t>
  </si>
  <si>
    <t>Event 7</t>
  </si>
  <si>
    <t>Event 8</t>
  </si>
  <si>
    <t>Event 9</t>
  </si>
  <si>
    <t>Event 10</t>
  </si>
  <si>
    <t>610R</t>
  </si>
  <si>
    <t>611R</t>
  </si>
  <si>
    <t>612R</t>
  </si>
  <si>
    <t>613R</t>
  </si>
  <si>
    <t>614R</t>
  </si>
  <si>
    <t>615R</t>
  </si>
  <si>
    <t>616R</t>
  </si>
  <si>
    <t>617R</t>
  </si>
  <si>
    <t>618R</t>
  </si>
  <si>
    <t>619R</t>
  </si>
  <si>
    <t>620R</t>
  </si>
  <si>
    <t>640R</t>
  </si>
  <si>
    <t>641R</t>
  </si>
  <si>
    <t>642R</t>
  </si>
  <si>
    <t>643R</t>
  </si>
  <si>
    <t>644R</t>
  </si>
  <si>
    <t>645R</t>
  </si>
  <si>
    <t>646R</t>
  </si>
  <si>
    <t>Event ID</t>
  </si>
  <si>
    <t>Description</t>
  </si>
  <si>
    <t>AMZN stock closed 5%, or more, lower on the settlement date compared to the first trading day of the current calendar year.</t>
  </si>
  <si>
    <t>AMZN stock closed 1%, or more, lower on the settlement date compared to the first trading day of the current calendar year.</t>
  </si>
  <si>
    <t>AMZN stock closed 5%, or more, higher on the settlement date compared to the first trading day of the current calendar year.</t>
  </si>
  <si>
    <t>AMZN stock closed 1%, or more, higher on the settlement date compared to the first trading day of the current calendar year.</t>
  </si>
  <si>
    <t>AMZN stock closed more than 5% lower and less than 5% higher on the settlement date compared to the first trading day of the current calendar year.</t>
  </si>
  <si>
    <t>What is the probability of snow in Boulder on the settlement date (as recorded by the National Weather Service www.weather.gov)?</t>
  </si>
  <si>
    <t>Allstate Corp (stock ticker ALL) is part of the S&amp;P 500 on the settlement date.</t>
  </si>
  <si>
    <t>On the settlement date the value of gold is $1150 or more per ounce according to Finance.yahoo.com, "last price".</t>
  </si>
  <si>
    <t>On the settlement date, you can get 0.90 or more EUR for 1 USD, according the Currency Converter at www.oanda.com.</t>
  </si>
  <si>
    <t>What is the probability that light sweet crude oil(CLH18.NYM) will be trading at more than $47 per barrel on the settlement date (finance.yahoo.com)?</t>
  </si>
  <si>
    <t>Occurred? Yes=1, No=0</t>
  </si>
  <si>
    <t>x</t>
  </si>
  <si>
    <t>equation</t>
  </si>
  <si>
    <t>sum</t>
  </si>
  <si>
    <t>k</t>
  </si>
  <si>
    <t>y</t>
  </si>
  <si>
    <t>yes</t>
  </si>
  <si>
    <t>no</t>
  </si>
  <si>
    <t>Consistent I and ii</t>
  </si>
  <si>
    <t>Consistent I and iv</t>
  </si>
  <si>
    <t>Differenece</t>
  </si>
  <si>
    <t>probability for Event 4 that were greater than or equal to their probability for Event 3</t>
  </si>
  <si>
    <t>&gt;=0</t>
  </si>
  <si>
    <t>Squared differenet event 1</t>
  </si>
  <si>
    <t xml:space="preserve">Event 9 </t>
  </si>
  <si>
    <t>Actual</t>
  </si>
  <si>
    <t>Theoretical</t>
  </si>
  <si>
    <t>Totasl Squared difference</t>
  </si>
  <si>
    <t>Rounded Event 1</t>
  </si>
  <si>
    <t xml:space="preserve">Event 2 </t>
  </si>
  <si>
    <t>Event</t>
  </si>
  <si>
    <t>Outcome</t>
  </si>
  <si>
    <t>Rounded to 0</t>
  </si>
  <si>
    <t>Rounded to 1</t>
  </si>
  <si>
    <t>Total Squared difference</t>
  </si>
  <si>
    <t>&lt;=2.2</t>
  </si>
  <si>
    <t>Total square differnece of rounded</t>
  </si>
  <si>
    <t># correct guesses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</si>
</sst>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9">
    <font>
      <sz val="12"/>
      <color theme="1"/>
      <name val="TimesNewRomanPSMT"/>
      <family val="2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NewRomanPS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9" fontId="8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1" applyFont="1"/>
    <xf numFmtId="164" fontId="2" fillId="0" borderId="0" xfId="1" applyNumberFormat="1" applyFont="1"/>
    <xf numFmtId="0" fontId="2" fillId="0" borderId="0" xfId="1" applyFont="1" applyAlignment="1">
      <alignment wrapText="1"/>
    </xf>
    <xf numFmtId="0" fontId="4" fillId="0" borderId="0" xfId="2" applyFont="1"/>
    <xf numFmtId="49" fontId="4" fillId="0" borderId="0" xfId="2" applyNumberFormat="1" applyFont="1"/>
    <xf numFmtId="0" fontId="2" fillId="0" borderId="0" xfId="1" applyFont="1" applyAlignment="1">
      <alignment horizontal="left"/>
    </xf>
    <xf numFmtId="49" fontId="2" fillId="0" borderId="0" xfId="1" applyNumberFormat="1" applyFont="1"/>
    <xf numFmtId="0" fontId="5" fillId="0" borderId="0" xfId="2" applyFont="1"/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center" wrapText="1"/>
    </xf>
    <xf numFmtId="0" fontId="5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7" fillId="0" borderId="0" xfId="2" applyFont="1" applyAlignment="1">
      <alignment horizontal="center"/>
    </xf>
    <xf numFmtId="0" fontId="0" fillId="0" borderId="0" xfId="0" applyAlignment="1">
      <alignment wrapText="1"/>
    </xf>
    <xf numFmtId="0" fontId="5" fillId="0" borderId="0" xfId="2" applyFont="1" applyAlignment="1">
      <alignment wrapText="1"/>
    </xf>
    <xf numFmtId="10" fontId="0" fillId="0" borderId="0" xfId="3" applyNumberFormat="1" applyFont="1"/>
    <xf numFmtId="165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zoomScaleNormal="100" workbookViewId="0">
      <selection activeCell="G13" sqref="G13"/>
    </sheetView>
  </sheetViews>
  <sheetFormatPr defaultColWidth="8.77734375" defaultRowHeight="15.75"/>
  <cols>
    <col min="1" max="1" width="10.6640625" style="1" customWidth="1"/>
    <col min="2" max="5" width="16.77734375" style="1" customWidth="1"/>
    <col min="6" max="6" width="8.77734375" style="1" customWidth="1"/>
    <col min="7" max="16384" width="8.7773437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s="3" customFormat="1" ht="80.099999999999994" customHeight="1">
      <c r="B2" s="3" t="s">
        <v>5</v>
      </c>
      <c r="C2" s="3" t="s">
        <v>6</v>
      </c>
      <c r="D2" s="3" t="s">
        <v>7</v>
      </c>
      <c r="E2" s="3" t="s">
        <v>8</v>
      </c>
      <c r="F2" s="3" t="s">
        <v>72</v>
      </c>
      <c r="G2" s="3" t="s">
        <v>73</v>
      </c>
    </row>
    <row r="3" spans="1:7">
      <c r="A3" s="1" t="s">
        <v>9</v>
      </c>
      <c r="B3" s="2">
        <v>0.2</v>
      </c>
      <c r="C3" s="1">
        <v>0.2</v>
      </c>
      <c r="D3" s="1">
        <v>0.1</v>
      </c>
      <c r="E3" s="2">
        <v>0</v>
      </c>
      <c r="F3" s="1" t="s">
        <v>70</v>
      </c>
      <c r="G3" s="1" t="s">
        <v>71</v>
      </c>
    </row>
    <row r="4" spans="1:7">
      <c r="A4" s="1" t="s">
        <v>10</v>
      </c>
      <c r="B4" s="2">
        <v>0.5</v>
      </c>
      <c r="C4" s="1">
        <v>0.5</v>
      </c>
      <c r="D4" s="1">
        <v>0.5</v>
      </c>
      <c r="E4" s="2">
        <v>0.5</v>
      </c>
      <c r="F4" s="1" t="s">
        <v>70</v>
      </c>
      <c r="G4" s="1" t="s">
        <v>70</v>
      </c>
    </row>
    <row r="5" spans="1:7">
      <c r="A5" s="1" t="s">
        <v>11</v>
      </c>
      <c r="B5" s="2">
        <v>0</v>
      </c>
      <c r="C5" s="1">
        <v>0.8</v>
      </c>
      <c r="D5" s="1">
        <v>0.9</v>
      </c>
      <c r="E5" s="2">
        <v>1</v>
      </c>
      <c r="F5" s="1" t="s">
        <v>71</v>
      </c>
      <c r="G5" s="1" t="s">
        <v>70</v>
      </c>
    </row>
    <row r="6" spans="1:7">
      <c r="A6" s="1" t="s">
        <v>12</v>
      </c>
      <c r="B6" s="2">
        <v>0.5</v>
      </c>
      <c r="C6" s="1">
        <v>0.2</v>
      </c>
      <c r="D6" s="1">
        <v>0.1</v>
      </c>
      <c r="E6" s="2">
        <v>0.4</v>
      </c>
      <c r="F6" s="1" t="s">
        <v>70</v>
      </c>
      <c r="G6" s="1" t="s">
        <v>71</v>
      </c>
    </row>
    <row r="7" spans="1:7">
      <c r="A7" s="1" t="s">
        <v>13</v>
      </c>
      <c r="B7" s="2">
        <v>0.7</v>
      </c>
      <c r="C7" s="1">
        <v>0.8</v>
      </c>
      <c r="D7" s="1">
        <v>0.9</v>
      </c>
      <c r="E7" s="2">
        <v>0.1</v>
      </c>
      <c r="F7" s="1" t="s">
        <v>71</v>
      </c>
      <c r="G7" s="1" t="s">
        <v>71</v>
      </c>
    </row>
    <row r="8" spans="1:7">
      <c r="A8" s="1" t="s">
        <v>14</v>
      </c>
      <c r="B8" s="2">
        <v>0.3</v>
      </c>
      <c r="C8" s="1">
        <v>0.2</v>
      </c>
      <c r="D8" s="1">
        <v>0.1</v>
      </c>
      <c r="E8" s="2">
        <v>0.7</v>
      </c>
      <c r="F8" s="1" t="s">
        <v>70</v>
      </c>
      <c r="G8" s="1" t="s">
        <v>70</v>
      </c>
    </row>
    <row r="9" spans="1:7">
      <c r="A9" s="1" t="s">
        <v>15</v>
      </c>
      <c r="B9" s="2">
        <v>0.4</v>
      </c>
      <c r="C9" s="1">
        <v>0.1</v>
      </c>
      <c r="D9" s="1">
        <v>0.1</v>
      </c>
      <c r="E9" s="2">
        <v>0.6</v>
      </c>
      <c r="F9" s="1" t="s">
        <v>70</v>
      </c>
      <c r="G9" s="1" t="s">
        <v>70</v>
      </c>
    </row>
    <row r="10" spans="1:7">
      <c r="A10" s="1" t="s">
        <v>16</v>
      </c>
      <c r="B10" s="2">
        <v>0.5</v>
      </c>
      <c r="C10" s="1">
        <v>0.4</v>
      </c>
      <c r="D10" s="1">
        <v>0.3</v>
      </c>
      <c r="E10" s="2">
        <v>0.5</v>
      </c>
      <c r="F10" s="1" t="s">
        <v>70</v>
      </c>
      <c r="G10" s="1" t="s">
        <v>70</v>
      </c>
    </row>
    <row r="11" spans="1:7">
      <c r="A11" s="1" t="s">
        <v>17</v>
      </c>
      <c r="B11" s="2">
        <v>0.9</v>
      </c>
      <c r="C11" s="1">
        <v>0.5</v>
      </c>
      <c r="D11" s="1">
        <v>0.6</v>
      </c>
      <c r="E11" s="2">
        <v>0.2</v>
      </c>
      <c r="F11" s="1" t="s">
        <v>70</v>
      </c>
      <c r="G11" s="1" t="s">
        <v>71</v>
      </c>
    </row>
    <row r="12" spans="1:7">
      <c r="A12" s="1" t="s">
        <v>18</v>
      </c>
      <c r="B12" s="2">
        <v>0.8</v>
      </c>
      <c r="C12" s="1">
        <v>0.7</v>
      </c>
      <c r="D12" s="1">
        <v>0.4</v>
      </c>
      <c r="E12" s="2">
        <v>0.3</v>
      </c>
      <c r="F12" s="1" t="s">
        <v>70</v>
      </c>
      <c r="G12" s="1" t="s">
        <v>71</v>
      </c>
    </row>
    <row r="13" spans="1:7">
      <c r="A13" s="1" t="s">
        <v>19</v>
      </c>
      <c r="B13" s="2">
        <v>0.6</v>
      </c>
      <c r="C13" s="1">
        <v>0.5</v>
      </c>
      <c r="D13" s="1">
        <v>0.4</v>
      </c>
      <c r="E13" s="2">
        <v>0.4</v>
      </c>
      <c r="F13" s="1" t="s">
        <v>70</v>
      </c>
      <c r="G13" s="1" t="s">
        <v>70</v>
      </c>
    </row>
    <row r="14" spans="1:7">
      <c r="A14" s="1" t="s">
        <v>20</v>
      </c>
      <c r="B14" s="2">
        <v>0.4</v>
      </c>
      <c r="C14" s="1">
        <v>0.2</v>
      </c>
      <c r="D14" s="1">
        <v>0.6</v>
      </c>
      <c r="E14" s="2">
        <v>0.6</v>
      </c>
      <c r="F14" s="1" t="s">
        <v>71</v>
      </c>
      <c r="G14" s="1" t="s">
        <v>70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00BB2-E79C-470B-87D1-BF45AD3FBF58}">
  <dimension ref="A1:E33"/>
  <sheetViews>
    <sheetView workbookViewId="0">
      <selection activeCell="E31" sqref="E31"/>
    </sheetView>
  </sheetViews>
  <sheetFormatPr defaultRowHeight="15"/>
  <sheetData>
    <row r="1" spans="1:3">
      <c r="A1">
        <v>4</v>
      </c>
      <c r="B1">
        <f>A1^2</f>
        <v>16</v>
      </c>
    </row>
    <row r="2" spans="1:3">
      <c r="A2">
        <v>5</v>
      </c>
      <c r="B2">
        <f t="shared" ref="B2:B5" si="0">A2^2</f>
        <v>25</v>
      </c>
    </row>
    <row r="3" spans="1:3">
      <c r="A3">
        <v>6</v>
      </c>
      <c r="B3">
        <f t="shared" si="0"/>
        <v>36</v>
      </c>
    </row>
    <row r="4" spans="1:3">
      <c r="A4">
        <v>7</v>
      </c>
      <c r="B4">
        <f t="shared" si="0"/>
        <v>49</v>
      </c>
    </row>
    <row r="5" spans="1:3">
      <c r="A5">
        <v>8</v>
      </c>
      <c r="B5">
        <f t="shared" si="0"/>
        <v>64</v>
      </c>
    </row>
    <row r="6" spans="1:3">
      <c r="B6">
        <f>SUM(B1:B5)</f>
        <v>190</v>
      </c>
    </row>
    <row r="8" spans="1:3">
      <c r="A8">
        <v>0.41</v>
      </c>
      <c r="B8">
        <v>0.8</v>
      </c>
      <c r="C8">
        <v>0.56999999999999995</v>
      </c>
    </row>
    <row r="9" spans="1:3">
      <c r="A9">
        <v>0</v>
      </c>
      <c r="B9">
        <v>1</v>
      </c>
      <c r="C9">
        <v>1</v>
      </c>
    </row>
    <row r="10" spans="1:3">
      <c r="A10">
        <f>SUMXMY2(A8:C8, A9:C9)</f>
        <v>0.39300000000000002</v>
      </c>
    </row>
    <row r="12" spans="1:3">
      <c r="A12" t="s">
        <v>65</v>
      </c>
      <c r="B12" t="s">
        <v>66</v>
      </c>
      <c r="C12" t="s">
        <v>67</v>
      </c>
    </row>
    <row r="13" spans="1:3">
      <c r="A13">
        <v>1</v>
      </c>
      <c r="B13">
        <f>5*A13+5</f>
        <v>10</v>
      </c>
      <c r="C13">
        <f>SUM(B13:B17)</f>
        <v>100</v>
      </c>
    </row>
    <row r="14" spans="1:3">
      <c r="A14">
        <v>2</v>
      </c>
      <c r="B14">
        <f t="shared" ref="B14:B17" si="1">5*A14+5</f>
        <v>15</v>
      </c>
    </row>
    <row r="15" spans="1:3">
      <c r="A15">
        <v>3</v>
      </c>
      <c r="B15">
        <f t="shared" si="1"/>
        <v>20</v>
      </c>
    </row>
    <row r="16" spans="1:3">
      <c r="A16">
        <v>4</v>
      </c>
      <c r="B16">
        <f t="shared" si="1"/>
        <v>25</v>
      </c>
    </row>
    <row r="17" spans="1:5">
      <c r="A17">
        <v>5</v>
      </c>
      <c r="B17">
        <f t="shared" si="1"/>
        <v>30</v>
      </c>
    </row>
    <row r="19" spans="1:5">
      <c r="A19">
        <v>4</v>
      </c>
      <c r="B19">
        <f>(7-A19)^2</f>
        <v>9</v>
      </c>
      <c r="C19">
        <f>SUM(B19:B23)</f>
        <v>15</v>
      </c>
    </row>
    <row r="20" spans="1:5">
      <c r="A20">
        <v>5</v>
      </c>
      <c r="B20">
        <f t="shared" ref="B20:B23" si="2">(7-A20)^2</f>
        <v>4</v>
      </c>
    </row>
    <row r="21" spans="1:5">
      <c r="A21">
        <v>6</v>
      </c>
      <c r="B21">
        <f t="shared" si="2"/>
        <v>1</v>
      </c>
    </row>
    <row r="22" spans="1:5">
      <c r="A22">
        <v>7</v>
      </c>
      <c r="B22">
        <f t="shared" si="2"/>
        <v>0</v>
      </c>
    </row>
    <row r="23" spans="1:5">
      <c r="A23">
        <v>8</v>
      </c>
      <c r="B23">
        <f t="shared" si="2"/>
        <v>1</v>
      </c>
    </row>
    <row r="24" spans="1:5">
      <c r="A24" t="s">
        <v>68</v>
      </c>
      <c r="B24" t="s">
        <v>65</v>
      </c>
      <c r="C24" t="s">
        <v>69</v>
      </c>
      <c r="D24" t="s">
        <v>66</v>
      </c>
    </row>
    <row r="25" spans="1:5">
      <c r="A25">
        <v>1</v>
      </c>
      <c r="B25">
        <v>0.38</v>
      </c>
      <c r="C25">
        <v>0</v>
      </c>
      <c r="D25">
        <f>(B25-C25)^2</f>
        <v>0.1444</v>
      </c>
      <c r="E25">
        <f>SUM(D25:D28)</f>
        <v>0.97780000000000011</v>
      </c>
    </row>
    <row r="26" spans="1:5">
      <c r="A26">
        <v>2</v>
      </c>
      <c r="B26">
        <v>0.5</v>
      </c>
      <c r="C26">
        <v>0</v>
      </c>
      <c r="D26">
        <f t="shared" ref="D26:D28" si="3">(B26-C26)^2</f>
        <v>0.25</v>
      </c>
    </row>
    <row r="27" spans="1:5">
      <c r="A27">
        <v>3</v>
      </c>
      <c r="B27">
        <v>0.55000000000000004</v>
      </c>
      <c r="C27">
        <v>0</v>
      </c>
      <c r="D27">
        <f t="shared" si="3"/>
        <v>0.30250000000000005</v>
      </c>
    </row>
    <row r="28" spans="1:5">
      <c r="A28">
        <v>4</v>
      </c>
      <c r="B28">
        <v>0.53</v>
      </c>
      <c r="C28">
        <v>0</v>
      </c>
      <c r="D28">
        <f t="shared" si="3"/>
        <v>0.28090000000000004</v>
      </c>
    </row>
    <row r="30" spans="1:5">
      <c r="A30">
        <v>1</v>
      </c>
      <c r="B30">
        <v>0.23</v>
      </c>
      <c r="C30">
        <v>6</v>
      </c>
      <c r="D30">
        <f>B30*C30</f>
        <v>1.3800000000000001</v>
      </c>
      <c r="E30">
        <f>SUM(D30:D33)</f>
        <v>11.620000000000001</v>
      </c>
    </row>
    <row r="31" spans="1:5">
      <c r="A31">
        <v>2</v>
      </c>
      <c r="B31">
        <v>0.61</v>
      </c>
      <c r="C31">
        <v>6</v>
      </c>
      <c r="D31">
        <f t="shared" ref="D31:D33" si="4">B31*C31</f>
        <v>3.66</v>
      </c>
    </row>
    <row r="32" spans="1:5">
      <c r="A32">
        <v>3</v>
      </c>
      <c r="B32">
        <v>0.23</v>
      </c>
      <c r="C32">
        <v>7</v>
      </c>
      <c r="D32">
        <f t="shared" si="4"/>
        <v>1.61</v>
      </c>
    </row>
    <row r="33" spans="1:4">
      <c r="A33">
        <v>4</v>
      </c>
      <c r="B33">
        <v>0.71</v>
      </c>
      <c r="C33">
        <v>7</v>
      </c>
      <c r="D33">
        <f t="shared" si="4"/>
        <v>4.97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852"/>
  <sheetViews>
    <sheetView topLeftCell="X1" workbookViewId="0">
      <selection activeCell="AI19" sqref="AI19"/>
    </sheetView>
  </sheetViews>
  <sheetFormatPr defaultColWidth="11" defaultRowHeight="15.75"/>
  <cols>
    <col min="1" max="1" width="11.109375" style="4" bestFit="1" customWidth="1"/>
    <col min="2" max="2" width="13" style="4" bestFit="1" customWidth="1"/>
    <col min="3" max="3" width="7.109375" style="5" bestFit="1" customWidth="1"/>
    <col min="4" max="13" width="11.77734375" style="4" customWidth="1"/>
    <col min="14" max="14" width="11" style="1" customWidth="1"/>
    <col min="15" max="16384" width="11" style="1"/>
  </cols>
  <sheetData>
    <row r="1" spans="1:37" ht="47.25">
      <c r="A1" s="1" t="s">
        <v>21</v>
      </c>
      <c r="B1" s="1" t="s">
        <v>22</v>
      </c>
      <c r="C1" s="7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3" t="s">
        <v>77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78</v>
      </c>
      <c r="W1" s="1" t="s">
        <v>33</v>
      </c>
      <c r="X1" s="3" t="s">
        <v>88</v>
      </c>
      <c r="Z1" s="3" t="s">
        <v>82</v>
      </c>
      <c r="AA1" s="1" t="s">
        <v>83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3" t="s">
        <v>90</v>
      </c>
      <c r="AK1" s="3" t="s">
        <v>91</v>
      </c>
    </row>
    <row r="2" spans="1:37">
      <c r="A2" s="1">
        <v>1</v>
      </c>
      <c r="B2" s="1">
        <v>4252000</v>
      </c>
      <c r="C2" s="6">
        <v>800</v>
      </c>
      <c r="D2" s="1">
        <v>0.2</v>
      </c>
      <c r="E2" s="1">
        <v>0.25</v>
      </c>
      <c r="F2" s="1">
        <v>0.5</v>
      </c>
      <c r="G2" s="1">
        <v>0.6</v>
      </c>
      <c r="H2" s="1">
        <v>0.3</v>
      </c>
      <c r="I2" s="1">
        <v>0.11</v>
      </c>
      <c r="J2" s="1">
        <v>0.8</v>
      </c>
      <c r="K2" s="1">
        <v>0.75</v>
      </c>
      <c r="L2" s="1">
        <v>0.67</v>
      </c>
      <c r="M2" s="1">
        <v>0.34</v>
      </c>
      <c r="N2" s="1">
        <f>(Occurrence!B$3-D2)^2</f>
        <v>4.0000000000000008E-2</v>
      </c>
      <c r="O2" s="1">
        <f>(Occurrence!C$3-E2)^2</f>
        <v>6.25E-2</v>
      </c>
      <c r="P2" s="1">
        <f>(Occurrence!D$3-F2)^2</f>
        <v>0.25</v>
      </c>
      <c r="Q2" s="1">
        <f>(Occurrence!E$3-G2)^2</f>
        <v>0.16000000000000003</v>
      </c>
      <c r="R2" s="1">
        <f>(Occurrence!F$3-H2)^2</f>
        <v>0.09</v>
      </c>
      <c r="S2" s="1">
        <f>(Occurrence!G$3-I2)^2</f>
        <v>1.21E-2</v>
      </c>
      <c r="T2" s="1">
        <f>(Occurrence!H$3-J2)^2</f>
        <v>3.999999999999998E-2</v>
      </c>
      <c r="U2" s="1">
        <f>(Occurrence!I$3-K2)^2</f>
        <v>6.25E-2</v>
      </c>
      <c r="V2" s="1">
        <f>(Occurrence!J$3-L2)^2</f>
        <v>0.44890000000000008</v>
      </c>
      <c r="W2" s="1">
        <f>(Occurrence!K$3-M2)^2</f>
        <v>0.43559999999999988</v>
      </c>
      <c r="X2" s="1">
        <f>SUM(N2:W2)</f>
        <v>1.6015999999999999</v>
      </c>
      <c r="Y2" s="1">
        <f>MIN(X:X)</f>
        <v>0</v>
      </c>
      <c r="Z2" s="1">
        <f>ROUND(D2, 0)</f>
        <v>0</v>
      </c>
      <c r="AA2" s="1">
        <f>ROUND(E2, 0)</f>
        <v>0</v>
      </c>
      <c r="AB2" s="1">
        <f>ROUND(F2, 0)</f>
        <v>1</v>
      </c>
      <c r="AC2" s="1">
        <f t="shared" ref="AC2:AI2" si="0">ROUND(G2, 0)</f>
        <v>1</v>
      </c>
      <c r="AD2" s="1">
        <f t="shared" si="0"/>
        <v>0</v>
      </c>
      <c r="AE2" s="1">
        <f t="shared" si="0"/>
        <v>0</v>
      </c>
      <c r="AF2" s="1">
        <f t="shared" si="0"/>
        <v>1</v>
      </c>
      <c r="AG2" s="1">
        <f t="shared" si="0"/>
        <v>1</v>
      </c>
      <c r="AH2" s="1">
        <f t="shared" si="0"/>
        <v>1</v>
      </c>
      <c r="AI2" s="1">
        <f t="shared" si="0"/>
        <v>0</v>
      </c>
      <c r="AJ2" s="1">
        <f>SUMXMY2(Z2:AI2, Occurrence!B$3:K$3)</f>
        <v>2</v>
      </c>
      <c r="AK2" s="1">
        <f>10-AJ2</f>
        <v>8</v>
      </c>
    </row>
    <row r="3" spans="1:37">
      <c r="A3" s="1">
        <v>2</v>
      </c>
      <c r="B3" s="1">
        <v>4252001</v>
      </c>
      <c r="C3" s="6">
        <v>800</v>
      </c>
      <c r="D3" s="1">
        <v>0.01</v>
      </c>
      <c r="E3" s="1">
        <v>0.62</v>
      </c>
      <c r="F3" s="1">
        <v>1</v>
      </c>
      <c r="G3" s="1">
        <v>0.4</v>
      </c>
      <c r="H3" s="1">
        <v>0.22</v>
      </c>
      <c r="I3" s="1">
        <v>0</v>
      </c>
      <c r="J3" s="1">
        <v>0.5</v>
      </c>
      <c r="K3" s="1">
        <v>0.11</v>
      </c>
      <c r="L3" s="1">
        <v>0.98</v>
      </c>
      <c r="M3" s="1">
        <v>0.65</v>
      </c>
      <c r="N3" s="1">
        <f>(Occurrence!B$3-D3)^2</f>
        <v>1E-4</v>
      </c>
      <c r="O3" s="1">
        <f>(Occurrence!C$3-E3)^2</f>
        <v>0.38440000000000002</v>
      </c>
      <c r="P3" s="1">
        <f>(Occurrence!D$3-F3)^2</f>
        <v>0</v>
      </c>
      <c r="Q3" s="1">
        <f>(Occurrence!E$3-G3)^2</f>
        <v>0.36</v>
      </c>
      <c r="R3" s="1">
        <f>(Occurrence!F$3-H3)^2</f>
        <v>4.8399999999999999E-2</v>
      </c>
      <c r="S3" s="1">
        <f>(Occurrence!G$3-I3)^2</f>
        <v>0</v>
      </c>
      <c r="T3" s="1">
        <f>(Occurrence!H$3-J3)^2</f>
        <v>0.25</v>
      </c>
      <c r="U3" s="1">
        <f>(Occurrence!I$3-K3)^2</f>
        <v>0.79210000000000003</v>
      </c>
      <c r="V3" s="1">
        <f>(Occurrence!J$3-L3)^2</f>
        <v>0.96039999999999992</v>
      </c>
      <c r="W3" s="1">
        <f>(Occurrence!K$3-M3)^2</f>
        <v>0.12249999999999998</v>
      </c>
      <c r="X3" s="1">
        <f t="shared" ref="X3:X66" si="1">SUM(N3:W3)</f>
        <v>2.9178999999999999</v>
      </c>
      <c r="Y3" s="1">
        <f>MAX(X:X)</f>
        <v>6.3000000000000007</v>
      </c>
      <c r="Z3" s="1">
        <f t="shared" ref="Z3:Z66" si="2">ROUND(D3, 0)</f>
        <v>0</v>
      </c>
      <c r="AA3" s="1">
        <f t="shared" ref="AA3:AA66" si="3">ROUND(E3, 0)</f>
        <v>1</v>
      </c>
      <c r="AB3" s="1">
        <f t="shared" ref="AB3:AB66" si="4">ROUND(F3, 0)</f>
        <v>1</v>
      </c>
      <c r="AC3" s="1">
        <f t="shared" ref="AC3:AC66" si="5">ROUND(G3, 0)</f>
        <v>0</v>
      </c>
      <c r="AD3" s="1">
        <f t="shared" ref="AD3:AD66" si="6">ROUND(H3, 0)</f>
        <v>0</v>
      </c>
      <c r="AE3" s="1">
        <f t="shared" ref="AE3:AE66" si="7">ROUND(I3, 0)</f>
        <v>0</v>
      </c>
      <c r="AF3" s="1">
        <f t="shared" ref="AF3:AF66" si="8">ROUND(J3, 0)</f>
        <v>1</v>
      </c>
      <c r="AG3" s="1">
        <f t="shared" ref="AG3:AG66" si="9">ROUND(K3, 0)</f>
        <v>0</v>
      </c>
      <c r="AH3" s="1">
        <f t="shared" ref="AH3:AH66" si="10">ROUND(L3, 0)</f>
        <v>1</v>
      </c>
      <c r="AI3" s="1">
        <f t="shared" ref="AI3:AI66" si="11">ROUND(M3, 0)</f>
        <v>1</v>
      </c>
      <c r="AJ3" s="1">
        <f>SUMXMY2(Z3:AI3, Occurrence!B$3:K$3)</f>
        <v>4</v>
      </c>
      <c r="AK3" s="1">
        <f t="shared" ref="AK3:AK66" si="12">10-AJ3</f>
        <v>6</v>
      </c>
    </row>
    <row r="4" spans="1:37">
      <c r="A4" s="1">
        <v>3</v>
      </c>
      <c r="B4" s="1">
        <v>4252002</v>
      </c>
      <c r="C4" s="6">
        <v>800</v>
      </c>
      <c r="D4" s="1">
        <v>0.01</v>
      </c>
      <c r="E4" s="1">
        <v>0.05</v>
      </c>
      <c r="F4" s="1">
        <v>0.75</v>
      </c>
      <c r="G4" s="1">
        <v>0.95</v>
      </c>
      <c r="H4" s="1">
        <v>0.3</v>
      </c>
      <c r="I4" s="1">
        <v>0.15</v>
      </c>
      <c r="J4" s="1">
        <v>0.99</v>
      </c>
      <c r="K4" s="1">
        <v>0.99</v>
      </c>
      <c r="L4" s="1">
        <v>0.6</v>
      </c>
      <c r="M4" s="1">
        <v>0.6</v>
      </c>
      <c r="N4" s="1">
        <f>(Occurrence!B$3-D4)^2</f>
        <v>1E-4</v>
      </c>
      <c r="O4" s="1">
        <f>(Occurrence!C$3-E4)^2</f>
        <v>2.5000000000000005E-3</v>
      </c>
      <c r="P4" s="1">
        <f>(Occurrence!D$3-F4)^2</f>
        <v>6.25E-2</v>
      </c>
      <c r="Q4" s="1">
        <f>(Occurrence!E$3-G4)^2</f>
        <v>2.5000000000000044E-3</v>
      </c>
      <c r="R4" s="1">
        <f>(Occurrence!F$3-H4)^2</f>
        <v>0.09</v>
      </c>
      <c r="S4" s="1">
        <f>(Occurrence!G$3-I4)^2</f>
        <v>2.2499999999999999E-2</v>
      </c>
      <c r="T4" s="1">
        <f>(Occurrence!H$3-J4)^2</f>
        <v>1.0000000000000018E-4</v>
      </c>
      <c r="U4" s="1">
        <f>(Occurrence!I$3-K4)^2</f>
        <v>1.0000000000000018E-4</v>
      </c>
      <c r="V4" s="1">
        <f>(Occurrence!J$3-L4)^2</f>
        <v>0.36</v>
      </c>
      <c r="W4" s="1">
        <f>(Occurrence!K$3-M4)^2</f>
        <v>0.16000000000000003</v>
      </c>
      <c r="X4" s="1">
        <f>SUM(N4:W4)</f>
        <v>0.70030000000000003</v>
      </c>
      <c r="Y4" s="1">
        <f>COUNTIF(X:X, 0)</f>
        <v>2</v>
      </c>
      <c r="Z4" s="1">
        <f t="shared" si="2"/>
        <v>0</v>
      </c>
      <c r="AA4" s="1">
        <f t="shared" si="3"/>
        <v>0</v>
      </c>
      <c r="AB4" s="1">
        <f t="shared" si="4"/>
        <v>1</v>
      </c>
      <c r="AC4" s="1">
        <f t="shared" si="5"/>
        <v>1</v>
      </c>
      <c r="AD4" s="1">
        <f t="shared" si="6"/>
        <v>0</v>
      </c>
      <c r="AE4" s="1">
        <f t="shared" si="7"/>
        <v>0</v>
      </c>
      <c r="AF4" s="1">
        <f t="shared" si="8"/>
        <v>1</v>
      </c>
      <c r="AG4" s="1">
        <f t="shared" si="9"/>
        <v>1</v>
      </c>
      <c r="AH4" s="1">
        <f t="shared" si="10"/>
        <v>1</v>
      </c>
      <c r="AI4" s="1">
        <f t="shared" si="11"/>
        <v>1</v>
      </c>
      <c r="AJ4" s="1">
        <f>SUMXMY2(Z4:AI4, Occurrence!B$3:K$3)</f>
        <v>1</v>
      </c>
      <c r="AK4" s="1">
        <f t="shared" si="12"/>
        <v>9</v>
      </c>
    </row>
    <row r="5" spans="1:37">
      <c r="A5" s="1">
        <v>4</v>
      </c>
      <c r="B5" s="1">
        <v>4252003</v>
      </c>
      <c r="C5" s="6">
        <v>800</v>
      </c>
      <c r="D5" s="1">
        <v>0.3</v>
      </c>
      <c r="E5" s="1">
        <v>0.5</v>
      </c>
      <c r="F5" s="1">
        <v>0.7</v>
      </c>
      <c r="G5" s="1">
        <v>0.8</v>
      </c>
      <c r="H5" s="1">
        <v>0.4</v>
      </c>
      <c r="I5" s="1">
        <v>0.8</v>
      </c>
      <c r="J5" s="1">
        <v>0.6</v>
      </c>
      <c r="K5" s="1">
        <v>0.6</v>
      </c>
      <c r="L5" s="1">
        <v>1</v>
      </c>
      <c r="M5" s="1">
        <v>0.7</v>
      </c>
      <c r="N5" s="1">
        <f>(Occurrence!B$3-D5)^2</f>
        <v>0.09</v>
      </c>
      <c r="O5" s="1">
        <f>(Occurrence!C$3-E5)^2</f>
        <v>0.25</v>
      </c>
      <c r="P5" s="1">
        <f>(Occurrence!D$3-F5)^2</f>
        <v>9.0000000000000024E-2</v>
      </c>
      <c r="Q5" s="1">
        <f>(Occurrence!E$3-G5)^2</f>
        <v>3.999999999999998E-2</v>
      </c>
      <c r="R5" s="1">
        <f>(Occurrence!F$3-H5)^2</f>
        <v>0.16000000000000003</v>
      </c>
      <c r="S5" s="1">
        <f>(Occurrence!G$3-I5)^2</f>
        <v>0.64000000000000012</v>
      </c>
      <c r="T5" s="1">
        <f>(Occurrence!H$3-J5)^2</f>
        <v>0.16000000000000003</v>
      </c>
      <c r="U5" s="1">
        <f>(Occurrence!I$3-K5)^2</f>
        <v>0.16000000000000003</v>
      </c>
      <c r="V5" s="1">
        <f>(Occurrence!J$3-L5)^2</f>
        <v>1</v>
      </c>
      <c r="W5" s="1">
        <f>(Occurrence!K$3-M5)^2</f>
        <v>9.0000000000000024E-2</v>
      </c>
      <c r="X5" s="1">
        <f t="shared" si="1"/>
        <v>2.68</v>
      </c>
      <c r="Y5" s="1">
        <f>(0-0.01)^2</f>
        <v>1E-4</v>
      </c>
      <c r="Z5" s="1">
        <f t="shared" si="2"/>
        <v>0</v>
      </c>
      <c r="AA5" s="1">
        <f t="shared" si="3"/>
        <v>1</v>
      </c>
      <c r="AB5" s="1">
        <f t="shared" si="4"/>
        <v>1</v>
      </c>
      <c r="AC5" s="1">
        <f t="shared" si="5"/>
        <v>1</v>
      </c>
      <c r="AD5" s="1">
        <f t="shared" si="6"/>
        <v>0</v>
      </c>
      <c r="AE5" s="1">
        <f t="shared" si="7"/>
        <v>1</v>
      </c>
      <c r="AF5" s="1">
        <f t="shared" si="8"/>
        <v>1</v>
      </c>
      <c r="AG5" s="1">
        <f t="shared" si="9"/>
        <v>1</v>
      </c>
      <c r="AH5" s="1">
        <f t="shared" si="10"/>
        <v>1</v>
      </c>
      <c r="AI5" s="1">
        <f t="shared" si="11"/>
        <v>1</v>
      </c>
      <c r="AJ5" s="1">
        <f>SUMXMY2(Z5:AI5, Occurrence!B$3:K$3)</f>
        <v>3</v>
      </c>
      <c r="AK5" s="1">
        <f t="shared" si="12"/>
        <v>7</v>
      </c>
    </row>
    <row r="6" spans="1:37">
      <c r="A6" s="1">
        <v>5</v>
      </c>
      <c r="B6" s="1">
        <v>4252004</v>
      </c>
      <c r="C6" s="6">
        <v>800</v>
      </c>
      <c r="D6" s="1">
        <v>0.01</v>
      </c>
      <c r="E6" s="1">
        <v>0.6</v>
      </c>
      <c r="F6" s="1">
        <v>0.05</v>
      </c>
      <c r="G6" s="1">
        <v>0.6</v>
      </c>
      <c r="H6" s="1">
        <v>0.9</v>
      </c>
      <c r="I6" s="1">
        <v>0.19</v>
      </c>
      <c r="J6" s="1">
        <v>0.3</v>
      </c>
      <c r="K6" s="1">
        <v>0.1</v>
      </c>
      <c r="L6" s="1">
        <v>0.2</v>
      </c>
      <c r="M6" s="1">
        <v>0.2</v>
      </c>
      <c r="N6" s="1">
        <f>(Occurrence!B$3-D6)^2</f>
        <v>1E-4</v>
      </c>
      <c r="O6" s="1">
        <f>(Occurrence!C$3-E6)^2</f>
        <v>0.36</v>
      </c>
      <c r="P6" s="1">
        <f>(Occurrence!D$3-F6)^2</f>
        <v>0.90249999999999997</v>
      </c>
      <c r="Q6" s="1">
        <f>(Occurrence!E$3-G6)^2</f>
        <v>0.16000000000000003</v>
      </c>
      <c r="R6" s="1">
        <f>(Occurrence!F$3-H6)^2</f>
        <v>0.81</v>
      </c>
      <c r="S6" s="1">
        <f>(Occurrence!G$3-I6)^2</f>
        <v>3.61E-2</v>
      </c>
      <c r="T6" s="1">
        <f>(Occurrence!H$3-J6)^2</f>
        <v>0.48999999999999994</v>
      </c>
      <c r="U6" s="1">
        <f>(Occurrence!I$3-K6)^2</f>
        <v>0.81</v>
      </c>
      <c r="V6" s="1">
        <f>(Occurrence!J$3-L6)^2</f>
        <v>4.0000000000000008E-2</v>
      </c>
      <c r="W6" s="1">
        <f>(Occurrence!K$3-M6)^2</f>
        <v>0.64000000000000012</v>
      </c>
      <c r="X6" s="1">
        <f t="shared" si="1"/>
        <v>4.2486999999999995</v>
      </c>
      <c r="Z6" s="1">
        <f t="shared" si="2"/>
        <v>0</v>
      </c>
      <c r="AA6" s="1">
        <f t="shared" si="3"/>
        <v>1</v>
      </c>
      <c r="AB6" s="1">
        <f t="shared" si="4"/>
        <v>0</v>
      </c>
      <c r="AC6" s="1">
        <f t="shared" si="5"/>
        <v>1</v>
      </c>
      <c r="AD6" s="1">
        <f t="shared" si="6"/>
        <v>1</v>
      </c>
      <c r="AE6" s="1">
        <f t="shared" si="7"/>
        <v>0</v>
      </c>
      <c r="AF6" s="1">
        <f t="shared" si="8"/>
        <v>0</v>
      </c>
      <c r="AG6" s="1">
        <f t="shared" si="9"/>
        <v>0</v>
      </c>
      <c r="AH6" s="1">
        <f t="shared" si="10"/>
        <v>0</v>
      </c>
      <c r="AI6" s="1">
        <f t="shared" si="11"/>
        <v>0</v>
      </c>
      <c r="AJ6" s="1">
        <f>SUMXMY2(Z6:AI6, Occurrence!B$3:K$3)</f>
        <v>6</v>
      </c>
      <c r="AK6" s="1">
        <f t="shared" si="12"/>
        <v>4</v>
      </c>
    </row>
    <row r="7" spans="1:37">
      <c r="A7" s="1">
        <v>6</v>
      </c>
      <c r="B7" s="1">
        <v>4252005</v>
      </c>
      <c r="C7" s="6">
        <v>800</v>
      </c>
      <c r="D7" s="1">
        <v>0.08</v>
      </c>
      <c r="E7" s="1">
        <v>0.13600000000000001</v>
      </c>
      <c r="F7" s="1">
        <v>0.48799999999999999</v>
      </c>
      <c r="G7" s="1">
        <v>0.54400000000000004</v>
      </c>
      <c r="H7" s="1">
        <v>0.4</v>
      </c>
      <c r="I7" s="1">
        <v>0.1</v>
      </c>
      <c r="J7" s="1">
        <v>1</v>
      </c>
      <c r="K7" s="1">
        <v>0.01</v>
      </c>
      <c r="L7" s="1">
        <v>0.99</v>
      </c>
      <c r="M7" s="1">
        <v>0.2</v>
      </c>
      <c r="N7" s="1">
        <f>(Occurrence!B$3-D7)^2</f>
        <v>6.4000000000000003E-3</v>
      </c>
      <c r="O7" s="1">
        <f>(Occurrence!C$3-E7)^2</f>
        <v>1.8496000000000002E-2</v>
      </c>
      <c r="P7" s="1">
        <f>(Occurrence!D$3-F7)^2</f>
        <v>0.26214399999999999</v>
      </c>
      <c r="Q7" s="1">
        <f>(Occurrence!E$3-G7)^2</f>
        <v>0.20793599999999995</v>
      </c>
      <c r="R7" s="1">
        <f>(Occurrence!F$3-H7)^2</f>
        <v>0.16000000000000003</v>
      </c>
      <c r="S7" s="1">
        <f>(Occurrence!G$3-I7)^2</f>
        <v>1.0000000000000002E-2</v>
      </c>
      <c r="T7" s="1">
        <f>(Occurrence!H$3-J7)^2</f>
        <v>0</v>
      </c>
      <c r="U7" s="1">
        <f>(Occurrence!I$3-K7)^2</f>
        <v>0.98009999999999997</v>
      </c>
      <c r="V7" s="1">
        <f>(Occurrence!J$3-L7)^2</f>
        <v>0.98009999999999997</v>
      </c>
      <c r="W7" s="1">
        <f>(Occurrence!K$3-M7)^2</f>
        <v>0.64000000000000012</v>
      </c>
      <c r="X7" s="1">
        <f t="shared" si="1"/>
        <v>3.2651759999999999</v>
      </c>
      <c r="Z7" s="1">
        <f t="shared" si="2"/>
        <v>0</v>
      </c>
      <c r="AA7" s="1">
        <f t="shared" si="3"/>
        <v>0</v>
      </c>
      <c r="AB7" s="1">
        <f t="shared" si="4"/>
        <v>0</v>
      </c>
      <c r="AC7" s="1">
        <f t="shared" si="5"/>
        <v>1</v>
      </c>
      <c r="AD7" s="1">
        <f t="shared" si="6"/>
        <v>0</v>
      </c>
      <c r="AE7" s="1">
        <f t="shared" si="7"/>
        <v>0</v>
      </c>
      <c r="AF7" s="1">
        <f t="shared" si="8"/>
        <v>1</v>
      </c>
      <c r="AG7" s="1">
        <f t="shared" si="9"/>
        <v>0</v>
      </c>
      <c r="AH7" s="1">
        <f t="shared" si="10"/>
        <v>1</v>
      </c>
      <c r="AI7" s="1">
        <f t="shared" si="11"/>
        <v>0</v>
      </c>
      <c r="AJ7" s="1">
        <f>SUMXMY2(Z7:AI7, Occurrence!B$3:K$3)</f>
        <v>4</v>
      </c>
      <c r="AK7" s="1">
        <f t="shared" si="12"/>
        <v>6</v>
      </c>
    </row>
    <row r="8" spans="1:37">
      <c r="A8" s="1">
        <v>7</v>
      </c>
      <c r="B8" s="1">
        <v>4252006</v>
      </c>
      <c r="C8" s="6">
        <v>800</v>
      </c>
      <c r="D8" s="1">
        <v>0.05</v>
      </c>
      <c r="E8" s="1">
        <v>0.1</v>
      </c>
      <c r="F8" s="1">
        <v>0.25</v>
      </c>
      <c r="G8" s="1">
        <v>0.8</v>
      </c>
      <c r="H8" s="1">
        <v>0.7</v>
      </c>
      <c r="I8" s="1">
        <v>0.5</v>
      </c>
      <c r="J8" s="1">
        <v>0.23</v>
      </c>
      <c r="K8" s="1">
        <v>0.67</v>
      </c>
      <c r="L8" s="1">
        <v>0.12</v>
      </c>
      <c r="M8" s="1">
        <v>0.52</v>
      </c>
      <c r="N8" s="1">
        <f>(Occurrence!B$3-D8)^2</f>
        <v>2.5000000000000005E-3</v>
      </c>
      <c r="O8" s="1">
        <f>(Occurrence!C$3-E8)^2</f>
        <v>1.0000000000000002E-2</v>
      </c>
      <c r="P8" s="1">
        <f>(Occurrence!D$3-F8)^2</f>
        <v>0.5625</v>
      </c>
      <c r="Q8" s="1">
        <f>(Occurrence!E$3-G8)^2</f>
        <v>3.999999999999998E-2</v>
      </c>
      <c r="R8" s="1">
        <f>(Occurrence!F$3-H8)^2</f>
        <v>0.48999999999999994</v>
      </c>
      <c r="S8" s="1">
        <f>(Occurrence!G$3-I8)^2</f>
        <v>0.25</v>
      </c>
      <c r="T8" s="1">
        <f>(Occurrence!H$3-J8)^2</f>
        <v>0.59289999999999998</v>
      </c>
      <c r="U8" s="1">
        <f>(Occurrence!I$3-K8)^2</f>
        <v>0.10889999999999997</v>
      </c>
      <c r="V8" s="1">
        <f>(Occurrence!J$3-L8)^2</f>
        <v>1.44E-2</v>
      </c>
      <c r="W8" s="1">
        <f>(Occurrence!K$3-M8)^2</f>
        <v>0.23039999999999999</v>
      </c>
      <c r="X8" s="1">
        <f t="shared" si="1"/>
        <v>2.3016000000000001</v>
      </c>
      <c r="Z8" s="1">
        <f t="shared" si="2"/>
        <v>0</v>
      </c>
      <c r="AA8" s="1">
        <f t="shared" si="3"/>
        <v>0</v>
      </c>
      <c r="AB8" s="1">
        <f t="shared" si="4"/>
        <v>0</v>
      </c>
      <c r="AC8" s="1">
        <f t="shared" si="5"/>
        <v>1</v>
      </c>
      <c r="AD8" s="1">
        <f t="shared" si="6"/>
        <v>1</v>
      </c>
      <c r="AE8" s="1">
        <f t="shared" si="7"/>
        <v>1</v>
      </c>
      <c r="AF8" s="1">
        <f t="shared" si="8"/>
        <v>0</v>
      </c>
      <c r="AG8" s="1">
        <f t="shared" si="9"/>
        <v>1</v>
      </c>
      <c r="AH8" s="1">
        <f t="shared" si="10"/>
        <v>0</v>
      </c>
      <c r="AI8" s="1">
        <f t="shared" si="11"/>
        <v>1</v>
      </c>
      <c r="AJ8" s="1">
        <f>SUMXMY2(Z8:AI8, Occurrence!B$3:K$3)</f>
        <v>4</v>
      </c>
      <c r="AK8" s="1">
        <f t="shared" si="12"/>
        <v>6</v>
      </c>
    </row>
    <row r="9" spans="1:37">
      <c r="A9" s="1">
        <v>8</v>
      </c>
      <c r="B9" s="1">
        <v>4252007</v>
      </c>
      <c r="C9" s="6">
        <v>800</v>
      </c>
      <c r="D9" s="1">
        <v>0.03</v>
      </c>
      <c r="E9" s="1">
        <v>0.5</v>
      </c>
      <c r="F9" s="1">
        <v>0.5</v>
      </c>
      <c r="G9" s="1">
        <v>0.3</v>
      </c>
      <c r="H9" s="1">
        <v>0.5</v>
      </c>
      <c r="I9" s="1">
        <v>1.4999999999999999E-2</v>
      </c>
      <c r="J9" s="1">
        <v>0.4</v>
      </c>
      <c r="K9" s="1">
        <v>0.6</v>
      </c>
      <c r="L9" s="1">
        <v>0.8</v>
      </c>
      <c r="M9" s="1">
        <v>0.6</v>
      </c>
      <c r="N9" s="1">
        <f>(Occurrence!B$3-D9)^2</f>
        <v>8.9999999999999998E-4</v>
      </c>
      <c r="O9" s="1">
        <f>(Occurrence!C$3-E9)^2</f>
        <v>0.25</v>
      </c>
      <c r="P9" s="1">
        <f>(Occurrence!D$3-F9)^2</f>
        <v>0.25</v>
      </c>
      <c r="Q9" s="1">
        <f>(Occurrence!E$3-G9)^2</f>
        <v>0.48999999999999994</v>
      </c>
      <c r="R9" s="1">
        <f>(Occurrence!F$3-H9)^2</f>
        <v>0.25</v>
      </c>
      <c r="S9" s="1">
        <f>(Occurrence!G$3-I9)^2</f>
        <v>2.2499999999999999E-4</v>
      </c>
      <c r="T9" s="1">
        <f>(Occurrence!H$3-J9)^2</f>
        <v>0.36</v>
      </c>
      <c r="U9" s="1">
        <f>(Occurrence!I$3-K9)^2</f>
        <v>0.16000000000000003</v>
      </c>
      <c r="V9" s="1">
        <f>(Occurrence!J$3-L9)^2</f>
        <v>0.64000000000000012</v>
      </c>
      <c r="W9" s="1">
        <f>(Occurrence!K$3-M9)^2</f>
        <v>0.16000000000000003</v>
      </c>
      <c r="X9" s="1">
        <f t="shared" si="1"/>
        <v>2.5611250000000001</v>
      </c>
      <c r="Z9" s="1">
        <f t="shared" si="2"/>
        <v>0</v>
      </c>
      <c r="AA9" s="1">
        <f t="shared" si="3"/>
        <v>1</v>
      </c>
      <c r="AB9" s="1">
        <f t="shared" si="4"/>
        <v>1</v>
      </c>
      <c r="AC9" s="1">
        <f t="shared" si="5"/>
        <v>0</v>
      </c>
      <c r="AD9" s="1">
        <f t="shared" si="6"/>
        <v>1</v>
      </c>
      <c r="AE9" s="1">
        <f t="shared" si="7"/>
        <v>0</v>
      </c>
      <c r="AF9" s="1">
        <f t="shared" si="8"/>
        <v>0</v>
      </c>
      <c r="AG9" s="1">
        <f t="shared" si="9"/>
        <v>1</v>
      </c>
      <c r="AH9" s="1">
        <f t="shared" si="10"/>
        <v>1</v>
      </c>
      <c r="AI9" s="1">
        <f t="shared" si="11"/>
        <v>1</v>
      </c>
      <c r="AJ9" s="1">
        <f>SUMXMY2(Z9:AI9, Occurrence!B$3:K$3)</f>
        <v>5</v>
      </c>
      <c r="AK9" s="1">
        <f t="shared" si="12"/>
        <v>5</v>
      </c>
    </row>
    <row r="10" spans="1:37">
      <c r="A10" s="1">
        <v>9</v>
      </c>
      <c r="B10" s="1">
        <v>4252008</v>
      </c>
      <c r="C10" s="6">
        <v>800</v>
      </c>
      <c r="D10" s="1">
        <v>0.01</v>
      </c>
      <c r="E10" s="1">
        <v>0.01</v>
      </c>
      <c r="F10" s="1">
        <v>0.99</v>
      </c>
      <c r="G10" s="1">
        <v>0.99</v>
      </c>
      <c r="H10" s="1">
        <v>0.01</v>
      </c>
      <c r="I10" s="1">
        <v>0.99</v>
      </c>
      <c r="J10" s="1">
        <v>0.75</v>
      </c>
      <c r="K10" s="1">
        <v>0.91310000000000002</v>
      </c>
      <c r="L10" s="1">
        <v>0.5</v>
      </c>
      <c r="M10" s="1">
        <v>0.79</v>
      </c>
      <c r="N10" s="1">
        <f>(Occurrence!B$3-D10)^2</f>
        <v>1E-4</v>
      </c>
      <c r="O10" s="1">
        <f>(Occurrence!C$3-E10)^2</f>
        <v>1E-4</v>
      </c>
      <c r="P10" s="1">
        <f>(Occurrence!D$3-F10)^2</f>
        <v>1.0000000000000018E-4</v>
      </c>
      <c r="Q10" s="1">
        <f>(Occurrence!E$3-G10)^2</f>
        <v>1.0000000000000018E-4</v>
      </c>
      <c r="R10" s="1">
        <f>(Occurrence!F$3-H10)^2</f>
        <v>1E-4</v>
      </c>
      <c r="S10" s="1">
        <f>(Occurrence!G$3-I10)^2</f>
        <v>0.98009999999999997</v>
      </c>
      <c r="T10" s="1">
        <f>(Occurrence!H$3-J10)^2</f>
        <v>6.25E-2</v>
      </c>
      <c r="U10" s="1">
        <f>(Occurrence!I$3-K10)^2</f>
        <v>7.5516099999999959E-3</v>
      </c>
      <c r="V10" s="1">
        <f>(Occurrence!J$3-L10)^2</f>
        <v>0.25</v>
      </c>
      <c r="W10" s="1">
        <f>(Occurrence!K$3-M10)^2</f>
        <v>4.4099999999999986E-2</v>
      </c>
      <c r="X10" s="1">
        <f t="shared" si="1"/>
        <v>1.3447516099999999</v>
      </c>
      <c r="Z10" s="1">
        <f t="shared" si="2"/>
        <v>0</v>
      </c>
      <c r="AA10" s="1">
        <f t="shared" si="3"/>
        <v>0</v>
      </c>
      <c r="AB10" s="1">
        <f t="shared" si="4"/>
        <v>1</v>
      </c>
      <c r="AC10" s="1">
        <f t="shared" si="5"/>
        <v>1</v>
      </c>
      <c r="AD10" s="1">
        <f t="shared" si="6"/>
        <v>0</v>
      </c>
      <c r="AE10" s="1">
        <f t="shared" si="7"/>
        <v>1</v>
      </c>
      <c r="AF10" s="1">
        <f t="shared" si="8"/>
        <v>1</v>
      </c>
      <c r="AG10" s="1">
        <f t="shared" si="9"/>
        <v>1</v>
      </c>
      <c r="AH10" s="1">
        <f t="shared" si="10"/>
        <v>1</v>
      </c>
      <c r="AI10" s="1">
        <f t="shared" si="11"/>
        <v>1</v>
      </c>
      <c r="AJ10" s="1">
        <f>SUMXMY2(Z10:AI10, Occurrence!B$3:K$3)</f>
        <v>2</v>
      </c>
      <c r="AK10" s="1">
        <f t="shared" si="12"/>
        <v>8</v>
      </c>
    </row>
    <row r="11" spans="1:37">
      <c r="A11" s="1">
        <v>10</v>
      </c>
      <c r="B11" s="1">
        <v>4252009</v>
      </c>
      <c r="C11" s="6">
        <v>800</v>
      </c>
      <c r="D11" s="1">
        <v>0.02</v>
      </c>
      <c r="E11" s="1">
        <v>0.05</v>
      </c>
      <c r="F11" s="1">
        <v>0.99</v>
      </c>
      <c r="G11" s="1">
        <v>0.95</v>
      </c>
      <c r="H11" s="1">
        <v>0.5</v>
      </c>
      <c r="I11" s="1">
        <v>0.45</v>
      </c>
      <c r="J11" s="1">
        <v>0.23</v>
      </c>
      <c r="K11" s="1">
        <v>0.5</v>
      </c>
      <c r="L11" s="1">
        <v>0.7</v>
      </c>
      <c r="M11" s="1">
        <v>0.61</v>
      </c>
      <c r="N11" s="1">
        <f>(Occurrence!B$3-D11)^2</f>
        <v>4.0000000000000002E-4</v>
      </c>
      <c r="O11" s="1">
        <f>(Occurrence!C$3-E11)^2</f>
        <v>2.5000000000000005E-3</v>
      </c>
      <c r="P11" s="1">
        <f>(Occurrence!D$3-F11)^2</f>
        <v>1.0000000000000018E-4</v>
      </c>
      <c r="Q11" s="1">
        <f>(Occurrence!E$3-G11)^2</f>
        <v>2.5000000000000044E-3</v>
      </c>
      <c r="R11" s="1">
        <f>(Occurrence!F$3-H11)^2</f>
        <v>0.25</v>
      </c>
      <c r="S11" s="1">
        <f>(Occurrence!G$3-I11)^2</f>
        <v>0.20250000000000001</v>
      </c>
      <c r="T11" s="1">
        <f>(Occurrence!H$3-J11)^2</f>
        <v>0.59289999999999998</v>
      </c>
      <c r="U11" s="1">
        <f>(Occurrence!I$3-K11)^2</f>
        <v>0.25</v>
      </c>
      <c r="V11" s="1">
        <f>(Occurrence!J$3-L11)^2</f>
        <v>0.48999999999999994</v>
      </c>
      <c r="W11" s="1">
        <f>(Occurrence!K$3-M11)^2</f>
        <v>0.15210000000000001</v>
      </c>
      <c r="X11" s="1">
        <f t="shared" si="1"/>
        <v>1.9430000000000001</v>
      </c>
      <c r="Z11" s="1">
        <f t="shared" si="2"/>
        <v>0</v>
      </c>
      <c r="AA11" s="1">
        <f t="shared" si="3"/>
        <v>0</v>
      </c>
      <c r="AB11" s="1">
        <f t="shared" si="4"/>
        <v>1</v>
      </c>
      <c r="AC11" s="1">
        <f t="shared" si="5"/>
        <v>1</v>
      </c>
      <c r="AD11" s="1">
        <f t="shared" si="6"/>
        <v>1</v>
      </c>
      <c r="AE11" s="1">
        <f t="shared" si="7"/>
        <v>0</v>
      </c>
      <c r="AF11" s="1">
        <f t="shared" si="8"/>
        <v>0</v>
      </c>
      <c r="AG11" s="1">
        <f t="shared" si="9"/>
        <v>1</v>
      </c>
      <c r="AH11" s="1">
        <f t="shared" si="10"/>
        <v>1</v>
      </c>
      <c r="AI11" s="1">
        <f t="shared" si="11"/>
        <v>1</v>
      </c>
      <c r="AJ11" s="1">
        <f>SUMXMY2(Z11:AI11, Occurrence!B$3:K$3)</f>
        <v>3</v>
      </c>
      <c r="AK11" s="1">
        <f t="shared" si="12"/>
        <v>7</v>
      </c>
    </row>
    <row r="12" spans="1:37">
      <c r="A12" s="1">
        <v>11</v>
      </c>
      <c r="B12" s="1">
        <v>4252010</v>
      </c>
      <c r="C12" s="6">
        <v>800</v>
      </c>
      <c r="D12" s="1">
        <v>0.01</v>
      </c>
      <c r="E12" s="1">
        <v>0.05</v>
      </c>
      <c r="F12" s="1">
        <v>0.05</v>
      </c>
      <c r="G12" s="1">
        <v>0.1</v>
      </c>
      <c r="H12" s="1">
        <v>0.2</v>
      </c>
      <c r="I12" s="1">
        <v>0.7</v>
      </c>
      <c r="J12" s="1">
        <v>0.4</v>
      </c>
      <c r="K12" s="1">
        <v>0.38</v>
      </c>
      <c r="L12" s="1">
        <v>0.56000000000000005</v>
      </c>
      <c r="M12" s="1">
        <v>0.41</v>
      </c>
      <c r="N12" s="1">
        <f>(Occurrence!B$3-D12)^2</f>
        <v>1E-4</v>
      </c>
      <c r="O12" s="1">
        <f>(Occurrence!C$3-E12)^2</f>
        <v>2.5000000000000005E-3</v>
      </c>
      <c r="P12" s="1">
        <f>(Occurrence!D$3-F12)^2</f>
        <v>0.90249999999999997</v>
      </c>
      <c r="Q12" s="1">
        <f>(Occurrence!E$3-G12)^2</f>
        <v>0.81</v>
      </c>
      <c r="R12" s="1">
        <f>(Occurrence!F$3-H12)^2</f>
        <v>4.0000000000000008E-2</v>
      </c>
      <c r="S12" s="1">
        <f>(Occurrence!G$3-I12)^2</f>
        <v>0.48999999999999994</v>
      </c>
      <c r="T12" s="1">
        <f>(Occurrence!H$3-J12)^2</f>
        <v>0.36</v>
      </c>
      <c r="U12" s="1">
        <f>(Occurrence!I$3-K12)^2</f>
        <v>0.38440000000000002</v>
      </c>
      <c r="V12" s="1">
        <f>(Occurrence!J$3-L12)^2</f>
        <v>0.31360000000000005</v>
      </c>
      <c r="W12" s="1">
        <f>(Occurrence!K$3-M12)^2</f>
        <v>0.34810000000000008</v>
      </c>
      <c r="X12" s="1">
        <f t="shared" si="1"/>
        <v>3.6511999999999998</v>
      </c>
      <c r="Z12" s="1">
        <f t="shared" si="2"/>
        <v>0</v>
      </c>
      <c r="AA12" s="1">
        <f t="shared" si="3"/>
        <v>0</v>
      </c>
      <c r="AB12" s="1">
        <f t="shared" si="4"/>
        <v>0</v>
      </c>
      <c r="AC12" s="1">
        <f t="shared" si="5"/>
        <v>0</v>
      </c>
      <c r="AD12" s="1">
        <f t="shared" si="6"/>
        <v>0</v>
      </c>
      <c r="AE12" s="1">
        <f t="shared" si="7"/>
        <v>1</v>
      </c>
      <c r="AF12" s="1">
        <f t="shared" si="8"/>
        <v>0</v>
      </c>
      <c r="AG12" s="1">
        <f t="shared" si="9"/>
        <v>0</v>
      </c>
      <c r="AH12" s="1">
        <f t="shared" si="10"/>
        <v>1</v>
      </c>
      <c r="AI12" s="1">
        <f t="shared" si="11"/>
        <v>0</v>
      </c>
      <c r="AJ12" s="1">
        <f>SUMXMY2(Z12:AI12, Occurrence!B$3:K$3)</f>
        <v>7</v>
      </c>
      <c r="AK12" s="1">
        <f t="shared" si="12"/>
        <v>3</v>
      </c>
    </row>
    <row r="13" spans="1:37">
      <c r="A13" s="1">
        <v>12</v>
      </c>
      <c r="B13" s="1">
        <v>4252011</v>
      </c>
      <c r="C13" s="6">
        <v>800</v>
      </c>
      <c r="D13" s="1">
        <v>0.01</v>
      </c>
      <c r="E13" s="1">
        <v>0.01</v>
      </c>
      <c r="F13" s="1">
        <v>0.03</v>
      </c>
      <c r="G13" s="1">
        <v>0.04</v>
      </c>
      <c r="H13" s="1">
        <v>0.06</v>
      </c>
      <c r="I13" s="1">
        <v>0.01</v>
      </c>
      <c r="J13" s="1">
        <v>0.15</v>
      </c>
      <c r="K13" s="1">
        <v>0.08</v>
      </c>
      <c r="L13" s="1">
        <v>0.05</v>
      </c>
      <c r="M13" s="1">
        <v>0.03</v>
      </c>
      <c r="N13" s="1">
        <f>(Occurrence!B$3-D13)^2</f>
        <v>1E-4</v>
      </c>
      <c r="O13" s="1">
        <f>(Occurrence!C$3-E13)^2</f>
        <v>1E-4</v>
      </c>
      <c r="P13" s="1">
        <f>(Occurrence!D$3-F13)^2</f>
        <v>0.94089999999999996</v>
      </c>
      <c r="Q13" s="1">
        <f>(Occurrence!E$3-G13)^2</f>
        <v>0.92159999999999997</v>
      </c>
      <c r="R13" s="1">
        <f>(Occurrence!F$3-H13)^2</f>
        <v>3.5999999999999999E-3</v>
      </c>
      <c r="S13" s="1">
        <f>(Occurrence!G$3-I13)^2</f>
        <v>1E-4</v>
      </c>
      <c r="T13" s="1">
        <f>(Occurrence!H$3-J13)^2</f>
        <v>0.72249999999999992</v>
      </c>
      <c r="U13" s="1">
        <f>(Occurrence!I$3-K13)^2</f>
        <v>0.84640000000000004</v>
      </c>
      <c r="V13" s="1">
        <f>(Occurrence!J$3-L13)^2</f>
        <v>2.5000000000000005E-3</v>
      </c>
      <c r="W13" s="1">
        <f>(Occurrence!K$3-M13)^2</f>
        <v>0.94089999999999996</v>
      </c>
      <c r="X13" s="1">
        <f t="shared" si="1"/>
        <v>4.3786999999999994</v>
      </c>
      <c r="Z13" s="1">
        <f t="shared" si="2"/>
        <v>0</v>
      </c>
      <c r="AA13" s="1">
        <f t="shared" si="3"/>
        <v>0</v>
      </c>
      <c r="AB13" s="1">
        <f t="shared" si="4"/>
        <v>0</v>
      </c>
      <c r="AC13" s="1">
        <f t="shared" si="5"/>
        <v>0</v>
      </c>
      <c r="AD13" s="1">
        <f t="shared" si="6"/>
        <v>0</v>
      </c>
      <c r="AE13" s="1">
        <f t="shared" si="7"/>
        <v>0</v>
      </c>
      <c r="AF13" s="1">
        <f t="shared" si="8"/>
        <v>0</v>
      </c>
      <c r="AG13" s="1">
        <f t="shared" si="9"/>
        <v>0</v>
      </c>
      <c r="AH13" s="1">
        <f t="shared" si="10"/>
        <v>0</v>
      </c>
      <c r="AI13" s="1">
        <f t="shared" si="11"/>
        <v>0</v>
      </c>
      <c r="AJ13" s="1">
        <f>SUMXMY2(Z13:AI13, Occurrence!B$3:K$3)</f>
        <v>5</v>
      </c>
      <c r="AK13" s="1">
        <f t="shared" si="12"/>
        <v>5</v>
      </c>
    </row>
    <row r="14" spans="1:37">
      <c r="A14" s="1">
        <v>13</v>
      </c>
      <c r="B14" s="1">
        <v>4252012</v>
      </c>
      <c r="C14" s="6">
        <v>800</v>
      </c>
      <c r="D14" s="1">
        <v>0.02</v>
      </c>
      <c r="E14" s="1">
        <v>0.3</v>
      </c>
      <c r="F14" s="1">
        <v>0.45</v>
      </c>
      <c r="G14" s="1">
        <v>0.35</v>
      </c>
      <c r="H14" s="1">
        <v>0.8</v>
      </c>
      <c r="I14" s="1">
        <v>0.1</v>
      </c>
      <c r="J14" s="1">
        <v>0.15</v>
      </c>
      <c r="K14" s="1">
        <v>0.65</v>
      </c>
      <c r="L14" s="1">
        <v>0.2</v>
      </c>
      <c r="M14" s="1">
        <v>0.15</v>
      </c>
      <c r="N14" s="1">
        <f>(Occurrence!B$3-D14)^2</f>
        <v>4.0000000000000002E-4</v>
      </c>
      <c r="O14" s="1">
        <f>(Occurrence!C$3-E14)^2</f>
        <v>0.09</v>
      </c>
      <c r="P14" s="1">
        <f>(Occurrence!D$3-F14)^2</f>
        <v>0.30250000000000005</v>
      </c>
      <c r="Q14" s="1">
        <f>(Occurrence!E$3-G14)^2</f>
        <v>0.42250000000000004</v>
      </c>
      <c r="R14" s="1">
        <f>(Occurrence!F$3-H14)^2</f>
        <v>0.64000000000000012</v>
      </c>
      <c r="S14" s="1">
        <f>(Occurrence!G$3-I14)^2</f>
        <v>1.0000000000000002E-2</v>
      </c>
      <c r="T14" s="1">
        <f>(Occurrence!H$3-J14)^2</f>
        <v>0.72249999999999992</v>
      </c>
      <c r="U14" s="1">
        <f>(Occurrence!I$3-K14)^2</f>
        <v>0.12249999999999998</v>
      </c>
      <c r="V14" s="1">
        <f>(Occurrence!J$3-L14)^2</f>
        <v>4.0000000000000008E-2</v>
      </c>
      <c r="W14" s="1">
        <f>(Occurrence!K$3-M14)^2</f>
        <v>0.72249999999999992</v>
      </c>
      <c r="X14" s="1">
        <f t="shared" si="1"/>
        <v>3.0728999999999997</v>
      </c>
      <c r="Z14" s="1">
        <f t="shared" si="2"/>
        <v>0</v>
      </c>
      <c r="AA14" s="1">
        <f t="shared" si="3"/>
        <v>0</v>
      </c>
      <c r="AB14" s="1">
        <f t="shared" si="4"/>
        <v>0</v>
      </c>
      <c r="AC14" s="1">
        <f t="shared" si="5"/>
        <v>0</v>
      </c>
      <c r="AD14" s="1">
        <f t="shared" si="6"/>
        <v>1</v>
      </c>
      <c r="AE14" s="1">
        <f t="shared" si="7"/>
        <v>0</v>
      </c>
      <c r="AF14" s="1">
        <f t="shared" si="8"/>
        <v>0</v>
      </c>
      <c r="AG14" s="1">
        <f t="shared" si="9"/>
        <v>1</v>
      </c>
      <c r="AH14" s="1">
        <f t="shared" si="10"/>
        <v>0</v>
      </c>
      <c r="AI14" s="1">
        <f t="shared" si="11"/>
        <v>0</v>
      </c>
      <c r="AJ14" s="1">
        <f>SUMXMY2(Z14:AI14, Occurrence!B$3:K$3)</f>
        <v>5</v>
      </c>
      <c r="AK14" s="1">
        <f t="shared" si="12"/>
        <v>5</v>
      </c>
    </row>
    <row r="15" spans="1:37">
      <c r="A15" s="1">
        <v>14</v>
      </c>
      <c r="B15" s="1">
        <v>4252013</v>
      </c>
      <c r="C15" s="6">
        <v>800</v>
      </c>
      <c r="D15" s="1">
        <v>0.46300000000000002</v>
      </c>
      <c r="E15" s="1">
        <v>0.93400000000000005</v>
      </c>
      <c r="F15" s="1">
        <v>0.246</v>
      </c>
      <c r="G15" s="1">
        <v>0.745</v>
      </c>
      <c r="H15" s="1">
        <v>0.4</v>
      </c>
      <c r="I15" s="1">
        <v>0.05</v>
      </c>
      <c r="J15" s="1">
        <v>0.43</v>
      </c>
      <c r="K15" s="1">
        <v>0.6</v>
      </c>
      <c r="L15" s="1">
        <v>0.04</v>
      </c>
      <c r="M15" s="1">
        <v>0.2</v>
      </c>
      <c r="N15" s="1">
        <f>(Occurrence!B$3-D15)^2</f>
        <v>0.21436900000000003</v>
      </c>
      <c r="O15" s="1">
        <f>(Occurrence!C$3-E15)^2</f>
        <v>0.87235600000000013</v>
      </c>
      <c r="P15" s="1">
        <f>(Occurrence!D$3-F15)^2</f>
        <v>0.56851600000000002</v>
      </c>
      <c r="Q15" s="1">
        <f>(Occurrence!E$3-G15)^2</f>
        <v>6.5024999999999999E-2</v>
      </c>
      <c r="R15" s="1">
        <f>(Occurrence!F$3-H15)^2</f>
        <v>0.16000000000000003</v>
      </c>
      <c r="S15" s="1">
        <f>(Occurrence!G$3-I15)^2</f>
        <v>2.5000000000000005E-3</v>
      </c>
      <c r="T15" s="1">
        <f>(Occurrence!H$3-J15)^2</f>
        <v>0.32490000000000008</v>
      </c>
      <c r="U15" s="1">
        <f>(Occurrence!I$3-K15)^2</f>
        <v>0.16000000000000003</v>
      </c>
      <c r="V15" s="1">
        <f>(Occurrence!J$3-L15)^2</f>
        <v>1.6000000000000001E-3</v>
      </c>
      <c r="W15" s="1">
        <f>(Occurrence!K$3-M15)^2</f>
        <v>0.64000000000000012</v>
      </c>
      <c r="X15" s="1">
        <f t="shared" si="1"/>
        <v>3.0092660000000002</v>
      </c>
      <c r="Z15" s="1">
        <f t="shared" si="2"/>
        <v>0</v>
      </c>
      <c r="AA15" s="1">
        <f t="shared" si="3"/>
        <v>1</v>
      </c>
      <c r="AB15" s="1">
        <f t="shared" si="4"/>
        <v>0</v>
      </c>
      <c r="AC15" s="1">
        <f t="shared" si="5"/>
        <v>1</v>
      </c>
      <c r="AD15" s="1">
        <f t="shared" si="6"/>
        <v>0</v>
      </c>
      <c r="AE15" s="1">
        <f t="shared" si="7"/>
        <v>0</v>
      </c>
      <c r="AF15" s="1">
        <f t="shared" si="8"/>
        <v>0</v>
      </c>
      <c r="AG15" s="1">
        <f t="shared" si="9"/>
        <v>1</v>
      </c>
      <c r="AH15" s="1">
        <f t="shared" si="10"/>
        <v>0</v>
      </c>
      <c r="AI15" s="1">
        <f t="shared" si="11"/>
        <v>0</v>
      </c>
      <c r="AJ15" s="1">
        <f>SUMXMY2(Z15:AI15, Occurrence!B$3:K$3)</f>
        <v>4</v>
      </c>
      <c r="AK15" s="1">
        <f t="shared" si="12"/>
        <v>6</v>
      </c>
    </row>
    <row r="16" spans="1:37">
      <c r="A16" s="1">
        <v>15</v>
      </c>
      <c r="B16" s="1">
        <v>4252014</v>
      </c>
      <c r="C16" s="6">
        <v>800</v>
      </c>
      <c r="D16" s="1">
        <v>0.15</v>
      </c>
      <c r="E16" s="1">
        <v>0.45</v>
      </c>
      <c r="F16" s="1">
        <v>0.35</v>
      </c>
      <c r="G16" s="1">
        <v>0.52</v>
      </c>
      <c r="H16" s="1">
        <v>0.7</v>
      </c>
      <c r="I16" s="1">
        <v>0.75</v>
      </c>
      <c r="J16" s="1">
        <v>0.65</v>
      </c>
      <c r="K16" s="1">
        <v>0.8</v>
      </c>
      <c r="L16" s="1">
        <v>0.7</v>
      </c>
      <c r="M16" s="1">
        <v>0.8</v>
      </c>
      <c r="N16" s="1">
        <f>(Occurrence!B$3-D16)^2</f>
        <v>2.2499999999999999E-2</v>
      </c>
      <c r="O16" s="1">
        <f>(Occurrence!C$3-E16)^2</f>
        <v>0.20250000000000001</v>
      </c>
      <c r="P16" s="1">
        <f>(Occurrence!D$3-F16)^2</f>
        <v>0.42250000000000004</v>
      </c>
      <c r="Q16" s="1">
        <f>(Occurrence!E$3-G16)^2</f>
        <v>0.23039999999999999</v>
      </c>
      <c r="R16" s="1">
        <f>(Occurrence!F$3-H16)^2</f>
        <v>0.48999999999999994</v>
      </c>
      <c r="S16" s="1">
        <f>(Occurrence!G$3-I16)^2</f>
        <v>0.5625</v>
      </c>
      <c r="T16" s="1">
        <f>(Occurrence!H$3-J16)^2</f>
        <v>0.12249999999999998</v>
      </c>
      <c r="U16" s="1">
        <f>(Occurrence!I$3-K16)^2</f>
        <v>3.999999999999998E-2</v>
      </c>
      <c r="V16" s="1">
        <f>(Occurrence!J$3-L16)^2</f>
        <v>0.48999999999999994</v>
      </c>
      <c r="W16" s="1">
        <f>(Occurrence!K$3-M16)^2</f>
        <v>3.999999999999998E-2</v>
      </c>
      <c r="X16" s="1">
        <f t="shared" si="1"/>
        <v>2.6229</v>
      </c>
      <c r="Z16" s="1">
        <f t="shared" si="2"/>
        <v>0</v>
      </c>
      <c r="AA16" s="1">
        <f t="shared" si="3"/>
        <v>0</v>
      </c>
      <c r="AB16" s="1">
        <f t="shared" si="4"/>
        <v>0</v>
      </c>
      <c r="AC16" s="1">
        <f t="shared" si="5"/>
        <v>1</v>
      </c>
      <c r="AD16" s="1">
        <f t="shared" si="6"/>
        <v>1</v>
      </c>
      <c r="AE16" s="1">
        <f t="shared" si="7"/>
        <v>1</v>
      </c>
      <c r="AF16" s="1">
        <f t="shared" si="8"/>
        <v>1</v>
      </c>
      <c r="AG16" s="1">
        <f t="shared" si="9"/>
        <v>1</v>
      </c>
      <c r="AH16" s="1">
        <f t="shared" si="10"/>
        <v>1</v>
      </c>
      <c r="AI16" s="1">
        <f t="shared" si="11"/>
        <v>1</v>
      </c>
      <c r="AJ16" s="1">
        <f>SUMXMY2(Z16:AI16, Occurrence!B$3:K$3)</f>
        <v>4</v>
      </c>
      <c r="AK16" s="1">
        <f t="shared" si="12"/>
        <v>6</v>
      </c>
    </row>
    <row r="17" spans="1:37">
      <c r="A17" s="1">
        <v>16</v>
      </c>
      <c r="B17" s="1">
        <v>4252015</v>
      </c>
      <c r="C17" s="6">
        <v>800</v>
      </c>
      <c r="D17" s="1">
        <v>0.01</v>
      </c>
      <c r="E17" s="1">
        <v>0.05</v>
      </c>
      <c r="F17" s="1">
        <v>0.85</v>
      </c>
      <c r="G17" s="1">
        <v>1</v>
      </c>
      <c r="H17" s="1">
        <v>0.45</v>
      </c>
      <c r="I17" s="1">
        <v>0.2</v>
      </c>
      <c r="J17" s="1">
        <v>0.99</v>
      </c>
      <c r="K17" s="1">
        <v>0.32</v>
      </c>
      <c r="L17" s="1">
        <v>0.6</v>
      </c>
      <c r="M17" s="1">
        <v>0.6</v>
      </c>
      <c r="N17" s="1">
        <f>(Occurrence!B$3-D17)^2</f>
        <v>1E-4</v>
      </c>
      <c r="O17" s="1">
        <f>(Occurrence!C$3-E17)^2</f>
        <v>2.5000000000000005E-3</v>
      </c>
      <c r="P17" s="1">
        <f>(Occurrence!D$3-F17)^2</f>
        <v>2.2500000000000006E-2</v>
      </c>
      <c r="Q17" s="1">
        <f>(Occurrence!E$3-G17)^2</f>
        <v>0</v>
      </c>
      <c r="R17" s="1">
        <f>(Occurrence!F$3-H17)^2</f>
        <v>0.20250000000000001</v>
      </c>
      <c r="S17" s="1">
        <f>(Occurrence!G$3-I17)^2</f>
        <v>4.0000000000000008E-2</v>
      </c>
      <c r="T17" s="1">
        <f>(Occurrence!H$3-J17)^2</f>
        <v>1.0000000000000018E-4</v>
      </c>
      <c r="U17" s="1">
        <f>(Occurrence!I$3-K17)^2</f>
        <v>0.46239999999999992</v>
      </c>
      <c r="V17" s="1">
        <f>(Occurrence!J$3-L17)^2</f>
        <v>0.36</v>
      </c>
      <c r="W17" s="1">
        <f>(Occurrence!K$3-M17)^2</f>
        <v>0.16000000000000003</v>
      </c>
      <c r="X17" s="1">
        <f t="shared" si="1"/>
        <v>1.2501000000000002</v>
      </c>
      <c r="Z17" s="1">
        <f t="shared" si="2"/>
        <v>0</v>
      </c>
      <c r="AA17" s="1">
        <f t="shared" si="3"/>
        <v>0</v>
      </c>
      <c r="AB17" s="1">
        <f t="shared" si="4"/>
        <v>1</v>
      </c>
      <c r="AC17" s="1">
        <f t="shared" si="5"/>
        <v>1</v>
      </c>
      <c r="AD17" s="1">
        <f t="shared" si="6"/>
        <v>0</v>
      </c>
      <c r="AE17" s="1">
        <f t="shared" si="7"/>
        <v>0</v>
      </c>
      <c r="AF17" s="1">
        <f t="shared" si="8"/>
        <v>1</v>
      </c>
      <c r="AG17" s="1">
        <f t="shared" si="9"/>
        <v>0</v>
      </c>
      <c r="AH17" s="1">
        <f t="shared" si="10"/>
        <v>1</v>
      </c>
      <c r="AI17" s="1">
        <f t="shared" si="11"/>
        <v>1</v>
      </c>
      <c r="AJ17" s="1">
        <f>SUMXMY2(Z17:AI17, Occurrence!B$3:K$3)</f>
        <v>2</v>
      </c>
      <c r="AK17" s="1">
        <f t="shared" si="12"/>
        <v>8</v>
      </c>
    </row>
    <row r="18" spans="1:37">
      <c r="A18" s="1">
        <v>17</v>
      </c>
      <c r="B18" s="1">
        <v>4252016</v>
      </c>
      <c r="C18" s="6">
        <v>800</v>
      </c>
      <c r="D18" s="1">
        <v>0.02</v>
      </c>
      <c r="E18" s="1">
        <v>0.01</v>
      </c>
      <c r="F18" s="1">
        <v>0.75</v>
      </c>
      <c r="G18" s="1">
        <v>0.97</v>
      </c>
      <c r="H18" s="1">
        <v>0.77</v>
      </c>
      <c r="I18" s="1">
        <v>0.78</v>
      </c>
      <c r="J18" s="1">
        <v>0.5</v>
      </c>
      <c r="K18" s="1">
        <v>0.98</v>
      </c>
      <c r="L18" s="1">
        <v>0.2</v>
      </c>
      <c r="M18" s="1">
        <v>0.95</v>
      </c>
      <c r="N18" s="1">
        <f>(Occurrence!B$3-D18)^2</f>
        <v>4.0000000000000002E-4</v>
      </c>
      <c r="O18" s="1">
        <f>(Occurrence!C$3-E18)^2</f>
        <v>1E-4</v>
      </c>
      <c r="P18" s="1">
        <f>(Occurrence!D$3-F18)^2</f>
        <v>6.25E-2</v>
      </c>
      <c r="Q18" s="1">
        <f>(Occurrence!E$3-G18)^2</f>
        <v>9.000000000000016E-4</v>
      </c>
      <c r="R18" s="1">
        <f>(Occurrence!F$3-H18)^2</f>
        <v>0.59289999999999998</v>
      </c>
      <c r="S18" s="1">
        <f>(Occurrence!G$3-I18)^2</f>
        <v>0.60840000000000005</v>
      </c>
      <c r="T18" s="1">
        <f>(Occurrence!H$3-J18)^2</f>
        <v>0.25</v>
      </c>
      <c r="U18" s="1">
        <f>(Occurrence!I$3-K18)^2</f>
        <v>4.0000000000000072E-4</v>
      </c>
      <c r="V18" s="1">
        <f>(Occurrence!J$3-L18)^2</f>
        <v>4.0000000000000008E-2</v>
      </c>
      <c r="W18" s="1">
        <f>(Occurrence!K$3-M18)^2</f>
        <v>2.5000000000000044E-3</v>
      </c>
      <c r="X18" s="1">
        <f t="shared" si="1"/>
        <v>1.5581</v>
      </c>
      <c r="Z18" s="1">
        <f t="shared" si="2"/>
        <v>0</v>
      </c>
      <c r="AA18" s="1">
        <f t="shared" si="3"/>
        <v>0</v>
      </c>
      <c r="AB18" s="1">
        <f t="shared" si="4"/>
        <v>1</v>
      </c>
      <c r="AC18" s="1">
        <f t="shared" si="5"/>
        <v>1</v>
      </c>
      <c r="AD18" s="1">
        <f t="shared" si="6"/>
        <v>1</v>
      </c>
      <c r="AE18" s="1">
        <f t="shared" si="7"/>
        <v>1</v>
      </c>
      <c r="AF18" s="1">
        <f t="shared" si="8"/>
        <v>1</v>
      </c>
      <c r="AG18" s="1">
        <f t="shared" si="9"/>
        <v>1</v>
      </c>
      <c r="AH18" s="1">
        <f t="shared" si="10"/>
        <v>0</v>
      </c>
      <c r="AI18" s="1">
        <f t="shared" si="11"/>
        <v>1</v>
      </c>
      <c r="AJ18" s="1">
        <f>SUMXMY2(Z18:AI18, Occurrence!B$3:K$3)</f>
        <v>2</v>
      </c>
      <c r="AK18" s="1">
        <f t="shared" si="12"/>
        <v>8</v>
      </c>
    </row>
    <row r="19" spans="1:37">
      <c r="A19" s="1">
        <v>18</v>
      </c>
      <c r="B19" s="1">
        <v>4252017</v>
      </c>
      <c r="C19" s="6">
        <v>800</v>
      </c>
      <c r="D19" s="1">
        <v>0.01</v>
      </c>
      <c r="E19" s="1">
        <v>0.03</v>
      </c>
      <c r="F19" s="1">
        <v>0.99999990000000005</v>
      </c>
      <c r="G19" s="1">
        <v>1</v>
      </c>
      <c r="H19" s="1">
        <v>0.08</v>
      </c>
      <c r="I19" s="1">
        <v>0.25</v>
      </c>
      <c r="J19" s="1">
        <v>0.95</v>
      </c>
      <c r="K19" s="1">
        <v>0.9</v>
      </c>
      <c r="L19" s="1">
        <v>0.75</v>
      </c>
      <c r="M19" s="1">
        <v>0.2</v>
      </c>
      <c r="N19" s="1">
        <f>(Occurrence!B$3-D19)^2</f>
        <v>1E-4</v>
      </c>
      <c r="O19" s="1">
        <f>(Occurrence!C$3-E19)^2</f>
        <v>8.9999999999999998E-4</v>
      </c>
      <c r="P19" s="1">
        <f>(Occurrence!D$3-F19)^2</f>
        <v>9.9999999894728831E-15</v>
      </c>
      <c r="Q19" s="1">
        <f>(Occurrence!E$3-G19)^2</f>
        <v>0</v>
      </c>
      <c r="R19" s="1">
        <f>(Occurrence!F$3-H19)^2</f>
        <v>6.4000000000000003E-3</v>
      </c>
      <c r="S19" s="1">
        <f>(Occurrence!G$3-I19)^2</f>
        <v>6.25E-2</v>
      </c>
      <c r="T19" s="1">
        <f>(Occurrence!H$3-J19)^2</f>
        <v>2.5000000000000044E-3</v>
      </c>
      <c r="U19" s="1">
        <f>(Occurrence!I$3-K19)^2</f>
        <v>9.999999999999995E-3</v>
      </c>
      <c r="V19" s="1">
        <f>(Occurrence!J$3-L19)^2</f>
        <v>0.5625</v>
      </c>
      <c r="W19" s="1">
        <f>(Occurrence!K$3-M19)^2</f>
        <v>0.64000000000000012</v>
      </c>
      <c r="X19" s="1">
        <f t="shared" si="1"/>
        <v>1.2849000000000101</v>
      </c>
      <c r="Z19" s="1">
        <f t="shared" si="2"/>
        <v>0</v>
      </c>
      <c r="AA19" s="1">
        <f t="shared" si="3"/>
        <v>0</v>
      </c>
      <c r="AB19" s="1">
        <f t="shared" si="4"/>
        <v>1</v>
      </c>
      <c r="AC19" s="1">
        <f t="shared" si="5"/>
        <v>1</v>
      </c>
      <c r="AD19" s="1">
        <f t="shared" si="6"/>
        <v>0</v>
      </c>
      <c r="AE19" s="1">
        <f t="shared" si="7"/>
        <v>0</v>
      </c>
      <c r="AF19" s="1">
        <f t="shared" si="8"/>
        <v>1</v>
      </c>
      <c r="AG19" s="1">
        <f t="shared" si="9"/>
        <v>1</v>
      </c>
      <c r="AH19" s="1">
        <f t="shared" si="10"/>
        <v>1</v>
      </c>
      <c r="AI19" s="1">
        <f t="shared" si="11"/>
        <v>0</v>
      </c>
      <c r="AJ19" s="1">
        <f>SUMXMY2(Z19:AI19, Occurrence!B$3:K$3)</f>
        <v>2</v>
      </c>
      <c r="AK19" s="1">
        <f t="shared" si="12"/>
        <v>8</v>
      </c>
    </row>
    <row r="20" spans="1:37">
      <c r="A20" s="1">
        <v>19</v>
      </c>
      <c r="B20" s="1">
        <v>4252018</v>
      </c>
      <c r="C20" s="6">
        <v>800</v>
      </c>
      <c r="D20" s="1">
        <v>0.01</v>
      </c>
      <c r="E20" s="1">
        <v>1E-3</v>
      </c>
      <c r="F20" s="1">
        <v>0.8</v>
      </c>
      <c r="G20" s="1">
        <v>0.9</v>
      </c>
      <c r="H20" s="1">
        <v>0.5</v>
      </c>
      <c r="I20" s="1">
        <v>0.4</v>
      </c>
      <c r="J20" s="1">
        <v>0.2</v>
      </c>
      <c r="K20" s="1">
        <v>0.9</v>
      </c>
      <c r="L20" s="1">
        <v>0.3</v>
      </c>
      <c r="M20" s="1">
        <v>0.5</v>
      </c>
      <c r="N20" s="1">
        <f>(Occurrence!B$3-D20)^2</f>
        <v>1E-4</v>
      </c>
      <c r="O20" s="1">
        <f>(Occurrence!C$3-E20)^2</f>
        <v>9.9999999999999995E-7</v>
      </c>
      <c r="P20" s="1">
        <f>(Occurrence!D$3-F20)^2</f>
        <v>3.999999999999998E-2</v>
      </c>
      <c r="Q20" s="1">
        <f>(Occurrence!E$3-G20)^2</f>
        <v>9.999999999999995E-3</v>
      </c>
      <c r="R20" s="1">
        <f>(Occurrence!F$3-H20)^2</f>
        <v>0.25</v>
      </c>
      <c r="S20" s="1">
        <f>(Occurrence!G$3-I20)^2</f>
        <v>0.16000000000000003</v>
      </c>
      <c r="T20" s="1">
        <f>(Occurrence!H$3-J20)^2</f>
        <v>0.64000000000000012</v>
      </c>
      <c r="U20" s="1">
        <f>(Occurrence!I$3-K20)^2</f>
        <v>9.999999999999995E-3</v>
      </c>
      <c r="V20" s="1">
        <f>(Occurrence!J$3-L20)^2</f>
        <v>0.09</v>
      </c>
      <c r="W20" s="1">
        <f>(Occurrence!K$3-M20)^2</f>
        <v>0.25</v>
      </c>
      <c r="X20" s="1">
        <f t="shared" si="1"/>
        <v>1.4501010000000001</v>
      </c>
      <c r="Z20" s="1">
        <f t="shared" si="2"/>
        <v>0</v>
      </c>
      <c r="AA20" s="1">
        <f t="shared" si="3"/>
        <v>0</v>
      </c>
      <c r="AB20" s="1">
        <f t="shared" si="4"/>
        <v>1</v>
      </c>
      <c r="AC20" s="1">
        <f t="shared" si="5"/>
        <v>1</v>
      </c>
      <c r="AD20" s="1">
        <f t="shared" si="6"/>
        <v>1</v>
      </c>
      <c r="AE20" s="1">
        <f t="shared" si="7"/>
        <v>0</v>
      </c>
      <c r="AF20" s="1">
        <f t="shared" si="8"/>
        <v>0</v>
      </c>
      <c r="AG20" s="1">
        <f t="shared" si="9"/>
        <v>1</v>
      </c>
      <c r="AH20" s="1">
        <f t="shared" si="10"/>
        <v>0</v>
      </c>
      <c r="AI20" s="1">
        <f t="shared" si="11"/>
        <v>1</v>
      </c>
      <c r="AJ20" s="1">
        <f>SUMXMY2(Z20:AI20, Occurrence!B$3:K$3)</f>
        <v>2</v>
      </c>
      <c r="AK20" s="1">
        <f t="shared" si="12"/>
        <v>8</v>
      </c>
    </row>
    <row r="21" spans="1:37">
      <c r="A21" s="1">
        <v>20</v>
      </c>
      <c r="B21" s="1">
        <v>4252019</v>
      </c>
      <c r="C21" s="6">
        <v>800</v>
      </c>
      <c r="D21" s="1">
        <v>9.4999999999999998E-3</v>
      </c>
      <c r="E21" s="1">
        <v>1.4999999999999999E-2</v>
      </c>
      <c r="F21" s="1">
        <v>0.93700000000000006</v>
      </c>
      <c r="G21" s="1">
        <v>0.96499999999999997</v>
      </c>
      <c r="H21" s="1">
        <v>5.3499999999999999E-2</v>
      </c>
      <c r="I21" s="1">
        <v>0.1</v>
      </c>
      <c r="J21" s="1">
        <v>0.94</v>
      </c>
      <c r="K21" s="1">
        <v>0.79</v>
      </c>
      <c r="L21" s="1">
        <v>0.8</v>
      </c>
      <c r="M21" s="1">
        <v>0.73</v>
      </c>
      <c r="N21" s="1">
        <f>(Occurrence!B$3-D21)^2</f>
        <v>9.0249999999999998E-5</v>
      </c>
      <c r="O21" s="1">
        <f>(Occurrence!C$3-E21)^2</f>
        <v>2.2499999999999999E-4</v>
      </c>
      <c r="P21" s="1">
        <f>(Occurrence!D$3-F21)^2</f>
        <v>3.9689999999999934E-3</v>
      </c>
      <c r="Q21" s="1">
        <f>(Occurrence!E$3-G21)^2</f>
        <v>1.2250000000000021E-3</v>
      </c>
      <c r="R21" s="1">
        <f>(Occurrence!F$3-H21)^2</f>
        <v>2.8622499999999998E-3</v>
      </c>
      <c r="S21" s="1">
        <f>(Occurrence!G$3-I21)^2</f>
        <v>1.0000000000000002E-2</v>
      </c>
      <c r="T21" s="1">
        <f>(Occurrence!H$3-J21)^2</f>
        <v>3.6000000000000064E-3</v>
      </c>
      <c r="U21" s="1">
        <f>(Occurrence!I$3-K21)^2</f>
        <v>4.4099999999999986E-2</v>
      </c>
      <c r="V21" s="1">
        <f>(Occurrence!J$3-L21)^2</f>
        <v>0.64000000000000012</v>
      </c>
      <c r="W21" s="1">
        <f>(Occurrence!K$3-M21)^2</f>
        <v>7.2900000000000006E-2</v>
      </c>
      <c r="X21" s="1">
        <f t="shared" si="1"/>
        <v>0.77897150000000004</v>
      </c>
      <c r="Z21" s="1">
        <f t="shared" si="2"/>
        <v>0</v>
      </c>
      <c r="AA21" s="1">
        <f t="shared" si="3"/>
        <v>0</v>
      </c>
      <c r="AB21" s="1">
        <f t="shared" si="4"/>
        <v>1</v>
      </c>
      <c r="AC21" s="1">
        <f t="shared" si="5"/>
        <v>1</v>
      </c>
      <c r="AD21" s="1">
        <f t="shared" si="6"/>
        <v>0</v>
      </c>
      <c r="AE21" s="1">
        <f t="shared" si="7"/>
        <v>0</v>
      </c>
      <c r="AF21" s="1">
        <f t="shared" si="8"/>
        <v>1</v>
      </c>
      <c r="AG21" s="1">
        <f t="shared" si="9"/>
        <v>1</v>
      </c>
      <c r="AH21" s="1">
        <f t="shared" si="10"/>
        <v>1</v>
      </c>
      <c r="AI21" s="1">
        <f t="shared" si="11"/>
        <v>1</v>
      </c>
      <c r="AJ21" s="1">
        <f>SUMXMY2(Z21:AI21, Occurrence!B$3:K$3)</f>
        <v>1</v>
      </c>
      <c r="AK21" s="1">
        <f t="shared" si="12"/>
        <v>9</v>
      </c>
    </row>
    <row r="22" spans="1:37">
      <c r="A22" s="1">
        <v>21</v>
      </c>
      <c r="B22" s="1">
        <v>4252020</v>
      </c>
      <c r="C22" s="6">
        <v>800</v>
      </c>
      <c r="D22" s="1">
        <v>9.4999999999999998E-3</v>
      </c>
      <c r="E22" s="1">
        <v>1.4999999999999999E-2</v>
      </c>
      <c r="F22" s="1">
        <v>0.93700000000000006</v>
      </c>
      <c r="G22" s="1">
        <v>0.97</v>
      </c>
      <c r="H22" s="1">
        <v>0.03</v>
      </c>
      <c r="I22" s="1">
        <v>0.11</v>
      </c>
      <c r="J22" s="1">
        <v>0.96</v>
      </c>
      <c r="K22" s="1">
        <v>0.82</v>
      </c>
      <c r="L22" s="1">
        <v>0.85</v>
      </c>
      <c r="M22" s="1">
        <v>0.73</v>
      </c>
      <c r="N22" s="1">
        <f>(Occurrence!B$3-D22)^2</f>
        <v>9.0249999999999998E-5</v>
      </c>
      <c r="O22" s="1">
        <f>(Occurrence!C$3-E22)^2</f>
        <v>2.2499999999999999E-4</v>
      </c>
      <c r="P22" s="1">
        <f>(Occurrence!D$3-F22)^2</f>
        <v>3.9689999999999934E-3</v>
      </c>
      <c r="Q22" s="1">
        <f>(Occurrence!E$3-G22)^2</f>
        <v>9.000000000000016E-4</v>
      </c>
      <c r="R22" s="1">
        <f>(Occurrence!F$3-H22)^2</f>
        <v>8.9999999999999998E-4</v>
      </c>
      <c r="S22" s="1">
        <f>(Occurrence!G$3-I22)^2</f>
        <v>1.21E-2</v>
      </c>
      <c r="T22" s="1">
        <f>(Occurrence!H$3-J22)^2</f>
        <v>1.6000000000000029E-3</v>
      </c>
      <c r="U22" s="1">
        <f>(Occurrence!I$3-K22)^2</f>
        <v>3.2400000000000019E-2</v>
      </c>
      <c r="V22" s="1">
        <f>(Occurrence!J$3-L22)^2</f>
        <v>0.72249999999999992</v>
      </c>
      <c r="W22" s="1">
        <f>(Occurrence!K$3-M22)^2</f>
        <v>7.2900000000000006E-2</v>
      </c>
      <c r="X22" s="1">
        <f t="shared" si="1"/>
        <v>0.84758424999999993</v>
      </c>
      <c r="Z22" s="1">
        <f t="shared" si="2"/>
        <v>0</v>
      </c>
      <c r="AA22" s="1">
        <f t="shared" si="3"/>
        <v>0</v>
      </c>
      <c r="AB22" s="1">
        <f t="shared" si="4"/>
        <v>1</v>
      </c>
      <c r="AC22" s="1">
        <f t="shared" si="5"/>
        <v>1</v>
      </c>
      <c r="AD22" s="1">
        <f t="shared" si="6"/>
        <v>0</v>
      </c>
      <c r="AE22" s="1">
        <f t="shared" si="7"/>
        <v>0</v>
      </c>
      <c r="AF22" s="1">
        <f t="shared" si="8"/>
        <v>1</v>
      </c>
      <c r="AG22" s="1">
        <f t="shared" si="9"/>
        <v>1</v>
      </c>
      <c r="AH22" s="1">
        <f t="shared" si="10"/>
        <v>1</v>
      </c>
      <c r="AI22" s="1">
        <f t="shared" si="11"/>
        <v>1</v>
      </c>
      <c r="AJ22" s="1">
        <f>SUMXMY2(Z22:AI22, Occurrence!B$3:K$3)</f>
        <v>1</v>
      </c>
      <c r="AK22" s="1">
        <f t="shared" si="12"/>
        <v>9</v>
      </c>
    </row>
    <row r="23" spans="1:37">
      <c r="A23" s="1">
        <v>22</v>
      </c>
      <c r="B23" s="1">
        <v>4252021</v>
      </c>
      <c r="C23" s="6">
        <v>800</v>
      </c>
      <c r="D23" s="1">
        <v>0.15</v>
      </c>
      <c r="E23" s="1">
        <v>0.25</v>
      </c>
      <c r="F23" s="1">
        <v>0.25</v>
      </c>
      <c r="G23" s="1">
        <v>0.35</v>
      </c>
      <c r="H23" s="1">
        <v>0.5</v>
      </c>
      <c r="I23" s="1">
        <v>0.4</v>
      </c>
      <c r="J23" s="1">
        <v>0.45</v>
      </c>
      <c r="K23" s="1">
        <v>0.75</v>
      </c>
      <c r="L23" s="1">
        <v>0.6</v>
      </c>
      <c r="M23" s="1">
        <v>0.45</v>
      </c>
      <c r="N23" s="1">
        <f>(Occurrence!B$3-D23)^2</f>
        <v>2.2499999999999999E-2</v>
      </c>
      <c r="O23" s="1">
        <f>(Occurrence!C$3-E23)^2</f>
        <v>6.25E-2</v>
      </c>
      <c r="P23" s="1">
        <f>(Occurrence!D$3-F23)^2</f>
        <v>0.5625</v>
      </c>
      <c r="Q23" s="1">
        <f>(Occurrence!E$3-G23)^2</f>
        <v>0.42250000000000004</v>
      </c>
      <c r="R23" s="1">
        <f>(Occurrence!F$3-H23)^2</f>
        <v>0.25</v>
      </c>
      <c r="S23" s="1">
        <f>(Occurrence!G$3-I23)^2</f>
        <v>0.16000000000000003</v>
      </c>
      <c r="T23" s="1">
        <f>(Occurrence!H$3-J23)^2</f>
        <v>0.30250000000000005</v>
      </c>
      <c r="U23" s="1">
        <f>(Occurrence!I$3-K23)^2</f>
        <v>6.25E-2</v>
      </c>
      <c r="V23" s="1">
        <f>(Occurrence!J$3-L23)^2</f>
        <v>0.36</v>
      </c>
      <c r="W23" s="1">
        <f>(Occurrence!K$3-M23)^2</f>
        <v>0.30250000000000005</v>
      </c>
      <c r="X23" s="1">
        <f t="shared" si="1"/>
        <v>2.5075000000000003</v>
      </c>
      <c r="Z23" s="1">
        <f t="shared" si="2"/>
        <v>0</v>
      </c>
      <c r="AA23" s="1">
        <f t="shared" si="3"/>
        <v>0</v>
      </c>
      <c r="AB23" s="1">
        <f t="shared" si="4"/>
        <v>0</v>
      </c>
      <c r="AC23" s="1">
        <f t="shared" si="5"/>
        <v>0</v>
      </c>
      <c r="AD23" s="1">
        <f t="shared" si="6"/>
        <v>1</v>
      </c>
      <c r="AE23" s="1">
        <f t="shared" si="7"/>
        <v>0</v>
      </c>
      <c r="AF23" s="1">
        <f t="shared" si="8"/>
        <v>0</v>
      </c>
      <c r="AG23" s="1">
        <f t="shared" si="9"/>
        <v>1</v>
      </c>
      <c r="AH23" s="1">
        <f t="shared" si="10"/>
        <v>1</v>
      </c>
      <c r="AI23" s="1">
        <f t="shared" si="11"/>
        <v>0</v>
      </c>
      <c r="AJ23" s="1">
        <f>SUMXMY2(Z23:AI23, Occurrence!B$3:K$3)</f>
        <v>6</v>
      </c>
      <c r="AK23" s="1">
        <f t="shared" si="12"/>
        <v>4</v>
      </c>
    </row>
    <row r="24" spans="1:37">
      <c r="A24" s="1">
        <v>23</v>
      </c>
      <c r="B24" s="1">
        <v>4252022</v>
      </c>
      <c r="C24" s="6">
        <v>800</v>
      </c>
      <c r="D24" s="1">
        <v>0.95</v>
      </c>
      <c r="E24" s="1">
        <v>0.8</v>
      </c>
      <c r="F24" s="1">
        <v>0.05</v>
      </c>
      <c r="G24" s="1">
        <v>0.2</v>
      </c>
      <c r="H24" s="1">
        <v>1</v>
      </c>
      <c r="I24" s="1">
        <v>1</v>
      </c>
      <c r="J24" s="1">
        <v>1</v>
      </c>
      <c r="K24" s="1">
        <v>0.3</v>
      </c>
      <c r="L24" s="1">
        <v>0.05</v>
      </c>
      <c r="M24" s="1">
        <v>0.15</v>
      </c>
      <c r="N24" s="1">
        <f>(Occurrence!B$3-D24)^2</f>
        <v>0.90249999999999997</v>
      </c>
      <c r="O24" s="1">
        <f>(Occurrence!C$3-E24)^2</f>
        <v>0.64000000000000012</v>
      </c>
      <c r="P24" s="1">
        <f>(Occurrence!D$3-F24)^2</f>
        <v>0.90249999999999997</v>
      </c>
      <c r="Q24" s="1">
        <f>(Occurrence!E$3-G24)^2</f>
        <v>0.64000000000000012</v>
      </c>
      <c r="R24" s="1">
        <f>(Occurrence!F$3-H24)^2</f>
        <v>1</v>
      </c>
      <c r="S24" s="1">
        <f>(Occurrence!G$3-I24)^2</f>
        <v>1</v>
      </c>
      <c r="T24" s="1">
        <f>(Occurrence!H$3-J24)^2</f>
        <v>0</v>
      </c>
      <c r="U24" s="1">
        <f>(Occurrence!I$3-K24)^2</f>
        <v>0.48999999999999994</v>
      </c>
      <c r="V24" s="1">
        <f>(Occurrence!J$3-L24)^2</f>
        <v>2.5000000000000005E-3</v>
      </c>
      <c r="W24" s="1">
        <f>(Occurrence!K$3-M24)^2</f>
        <v>0.72249999999999992</v>
      </c>
      <c r="X24" s="1">
        <f t="shared" si="1"/>
        <v>6.3000000000000007</v>
      </c>
      <c r="Z24" s="1">
        <f t="shared" si="2"/>
        <v>1</v>
      </c>
      <c r="AA24" s="1">
        <f t="shared" si="3"/>
        <v>1</v>
      </c>
      <c r="AB24" s="1">
        <f t="shared" si="4"/>
        <v>0</v>
      </c>
      <c r="AC24" s="1">
        <f t="shared" si="5"/>
        <v>0</v>
      </c>
      <c r="AD24" s="1">
        <f t="shared" si="6"/>
        <v>1</v>
      </c>
      <c r="AE24" s="1">
        <f t="shared" si="7"/>
        <v>1</v>
      </c>
      <c r="AF24" s="1">
        <f t="shared" si="8"/>
        <v>1</v>
      </c>
      <c r="AG24" s="1">
        <f t="shared" si="9"/>
        <v>0</v>
      </c>
      <c r="AH24" s="1">
        <f t="shared" si="10"/>
        <v>0</v>
      </c>
      <c r="AI24" s="1">
        <f t="shared" si="11"/>
        <v>0</v>
      </c>
      <c r="AJ24" s="1">
        <f>SUMXMY2(Z24:AI24, Occurrence!B$3:K$3)</f>
        <v>8</v>
      </c>
      <c r="AK24" s="1">
        <f t="shared" si="12"/>
        <v>2</v>
      </c>
    </row>
    <row r="25" spans="1:37">
      <c r="A25" s="1">
        <v>24</v>
      </c>
      <c r="B25" s="1">
        <v>4252023</v>
      </c>
      <c r="C25" s="6">
        <v>800</v>
      </c>
      <c r="D25" s="1">
        <v>0.65</v>
      </c>
      <c r="E25" s="1">
        <v>0.45</v>
      </c>
      <c r="F25" s="1">
        <v>0.24</v>
      </c>
      <c r="G25" s="1">
        <v>0.7</v>
      </c>
      <c r="H25" s="1">
        <v>0.7</v>
      </c>
      <c r="I25" s="1">
        <v>0.98</v>
      </c>
      <c r="J25" s="1">
        <v>0.34</v>
      </c>
      <c r="K25" s="1">
        <v>0.45</v>
      </c>
      <c r="L25" s="1">
        <v>0.89</v>
      </c>
      <c r="M25" s="1">
        <v>0.34</v>
      </c>
      <c r="N25" s="1">
        <f>(Occurrence!B$3-D25)^2</f>
        <v>0.42250000000000004</v>
      </c>
      <c r="O25" s="1">
        <f>(Occurrence!C$3-E25)^2</f>
        <v>0.20250000000000001</v>
      </c>
      <c r="P25" s="1">
        <f>(Occurrence!D$3-F25)^2</f>
        <v>0.5776</v>
      </c>
      <c r="Q25" s="1">
        <f>(Occurrence!E$3-G25)^2</f>
        <v>9.0000000000000024E-2</v>
      </c>
      <c r="R25" s="1">
        <f>(Occurrence!F$3-H25)^2</f>
        <v>0.48999999999999994</v>
      </c>
      <c r="S25" s="1">
        <f>(Occurrence!G$3-I25)^2</f>
        <v>0.96039999999999992</v>
      </c>
      <c r="T25" s="1">
        <f>(Occurrence!H$3-J25)^2</f>
        <v>0.43559999999999988</v>
      </c>
      <c r="U25" s="1">
        <f>(Occurrence!I$3-K25)^2</f>
        <v>0.30250000000000005</v>
      </c>
      <c r="V25" s="1">
        <f>(Occurrence!J$3-L25)^2</f>
        <v>0.79210000000000003</v>
      </c>
      <c r="W25" s="1">
        <f>(Occurrence!K$3-M25)^2</f>
        <v>0.43559999999999988</v>
      </c>
      <c r="X25" s="1">
        <f t="shared" si="1"/>
        <v>4.7088000000000001</v>
      </c>
      <c r="Z25" s="1">
        <f t="shared" si="2"/>
        <v>1</v>
      </c>
      <c r="AA25" s="1">
        <f t="shared" si="3"/>
        <v>0</v>
      </c>
      <c r="AB25" s="1">
        <f t="shared" si="4"/>
        <v>0</v>
      </c>
      <c r="AC25" s="1">
        <f t="shared" si="5"/>
        <v>1</v>
      </c>
      <c r="AD25" s="1">
        <f t="shared" si="6"/>
        <v>1</v>
      </c>
      <c r="AE25" s="1">
        <f t="shared" si="7"/>
        <v>1</v>
      </c>
      <c r="AF25" s="1">
        <f t="shared" si="8"/>
        <v>0</v>
      </c>
      <c r="AG25" s="1">
        <f t="shared" si="9"/>
        <v>0</v>
      </c>
      <c r="AH25" s="1">
        <f t="shared" si="10"/>
        <v>1</v>
      </c>
      <c r="AI25" s="1">
        <f t="shared" si="11"/>
        <v>0</v>
      </c>
      <c r="AJ25" s="1">
        <f>SUMXMY2(Z25:AI25, Occurrence!B$3:K$3)</f>
        <v>8</v>
      </c>
      <c r="AK25" s="1">
        <f t="shared" si="12"/>
        <v>2</v>
      </c>
    </row>
    <row r="26" spans="1:37">
      <c r="A26" s="1">
        <v>25</v>
      </c>
      <c r="B26" s="1">
        <v>4252024</v>
      </c>
      <c r="C26" s="6">
        <v>800</v>
      </c>
      <c r="D26" s="1">
        <v>0.01</v>
      </c>
      <c r="E26" s="1">
        <v>0.05</v>
      </c>
      <c r="F26" s="1">
        <v>0.7</v>
      </c>
      <c r="G26" s="1">
        <v>0.9</v>
      </c>
      <c r="H26" s="1">
        <v>0.5</v>
      </c>
      <c r="I26" s="1">
        <v>0.4</v>
      </c>
      <c r="J26" s="1">
        <v>0.05</v>
      </c>
      <c r="K26" s="1">
        <v>0.8</v>
      </c>
      <c r="L26" s="1">
        <v>0.5</v>
      </c>
      <c r="M26" s="1">
        <v>0.6</v>
      </c>
      <c r="N26" s="1">
        <f>(Occurrence!B$3-D26)^2</f>
        <v>1E-4</v>
      </c>
      <c r="O26" s="1">
        <f>(Occurrence!C$3-E26)^2</f>
        <v>2.5000000000000005E-3</v>
      </c>
      <c r="P26" s="1">
        <f>(Occurrence!D$3-F26)^2</f>
        <v>9.0000000000000024E-2</v>
      </c>
      <c r="Q26" s="1">
        <f>(Occurrence!E$3-G26)^2</f>
        <v>9.999999999999995E-3</v>
      </c>
      <c r="R26" s="1">
        <f>(Occurrence!F$3-H26)^2</f>
        <v>0.25</v>
      </c>
      <c r="S26" s="1">
        <f>(Occurrence!G$3-I26)^2</f>
        <v>0.16000000000000003</v>
      </c>
      <c r="T26" s="1">
        <f>(Occurrence!H$3-J26)^2</f>
        <v>0.90249999999999997</v>
      </c>
      <c r="U26" s="1">
        <f>(Occurrence!I$3-K26)^2</f>
        <v>3.999999999999998E-2</v>
      </c>
      <c r="V26" s="1">
        <f>(Occurrence!J$3-L26)^2</f>
        <v>0.25</v>
      </c>
      <c r="W26" s="1">
        <f>(Occurrence!K$3-M26)^2</f>
        <v>0.16000000000000003</v>
      </c>
      <c r="X26" s="1">
        <f t="shared" si="1"/>
        <v>1.8651</v>
      </c>
      <c r="Z26" s="1">
        <f t="shared" si="2"/>
        <v>0</v>
      </c>
      <c r="AA26" s="1">
        <f t="shared" si="3"/>
        <v>0</v>
      </c>
      <c r="AB26" s="1">
        <f t="shared" si="4"/>
        <v>1</v>
      </c>
      <c r="AC26" s="1">
        <f t="shared" si="5"/>
        <v>1</v>
      </c>
      <c r="AD26" s="1">
        <f t="shared" si="6"/>
        <v>1</v>
      </c>
      <c r="AE26" s="1">
        <f t="shared" si="7"/>
        <v>0</v>
      </c>
      <c r="AF26" s="1">
        <f t="shared" si="8"/>
        <v>0</v>
      </c>
      <c r="AG26" s="1">
        <f t="shared" si="9"/>
        <v>1</v>
      </c>
      <c r="AH26" s="1">
        <f t="shared" si="10"/>
        <v>1</v>
      </c>
      <c r="AI26" s="1">
        <f t="shared" si="11"/>
        <v>1</v>
      </c>
      <c r="AJ26" s="1">
        <f>SUMXMY2(Z26:AI26, Occurrence!B$3:K$3)</f>
        <v>3</v>
      </c>
      <c r="AK26" s="1">
        <f t="shared" si="12"/>
        <v>7</v>
      </c>
    </row>
    <row r="27" spans="1:37">
      <c r="A27" s="1">
        <v>26</v>
      </c>
      <c r="B27" s="1">
        <v>4252025</v>
      </c>
      <c r="C27" s="6">
        <v>800</v>
      </c>
      <c r="D27" s="1">
        <v>0</v>
      </c>
      <c r="E27" s="1">
        <v>0</v>
      </c>
      <c r="F27" s="1">
        <v>1</v>
      </c>
      <c r="G27" s="1">
        <v>1</v>
      </c>
      <c r="H27" s="1">
        <v>0</v>
      </c>
      <c r="I27" s="1">
        <v>0.87</v>
      </c>
      <c r="J27" s="1">
        <v>1</v>
      </c>
      <c r="K27" s="1">
        <v>0.43</v>
      </c>
      <c r="L27" s="1">
        <v>1</v>
      </c>
      <c r="M27" s="1">
        <v>0.92</v>
      </c>
      <c r="N27" s="1">
        <f>(Occurrence!B$3-D27)^2</f>
        <v>0</v>
      </c>
      <c r="O27" s="1">
        <f>(Occurrence!C$3-E27)^2</f>
        <v>0</v>
      </c>
      <c r="P27" s="1">
        <f>(Occurrence!D$3-F27)^2</f>
        <v>0</v>
      </c>
      <c r="Q27" s="1">
        <f>(Occurrence!E$3-G27)^2</f>
        <v>0</v>
      </c>
      <c r="R27" s="1">
        <f>(Occurrence!F$3-H27)^2</f>
        <v>0</v>
      </c>
      <c r="S27" s="1">
        <f>(Occurrence!G$3-I27)^2</f>
        <v>0.75690000000000002</v>
      </c>
      <c r="T27" s="1">
        <f>(Occurrence!H$3-J27)^2</f>
        <v>0</v>
      </c>
      <c r="U27" s="1">
        <f>(Occurrence!I$3-K27)^2</f>
        <v>0.32490000000000008</v>
      </c>
      <c r="V27" s="1">
        <f>(Occurrence!J$3-L27)^2</f>
        <v>1</v>
      </c>
      <c r="W27" s="1">
        <f>(Occurrence!K$3-M27)^2</f>
        <v>6.3999999999999934E-3</v>
      </c>
      <c r="X27" s="1">
        <f t="shared" si="1"/>
        <v>2.0882000000000005</v>
      </c>
      <c r="Z27" s="1">
        <f t="shared" si="2"/>
        <v>0</v>
      </c>
      <c r="AA27" s="1">
        <f t="shared" si="3"/>
        <v>0</v>
      </c>
      <c r="AB27" s="1">
        <f t="shared" si="4"/>
        <v>1</v>
      </c>
      <c r="AC27" s="1">
        <f t="shared" si="5"/>
        <v>1</v>
      </c>
      <c r="AD27" s="1">
        <f t="shared" si="6"/>
        <v>0</v>
      </c>
      <c r="AE27" s="1">
        <f t="shared" si="7"/>
        <v>1</v>
      </c>
      <c r="AF27" s="1">
        <f t="shared" si="8"/>
        <v>1</v>
      </c>
      <c r="AG27" s="1">
        <f t="shared" si="9"/>
        <v>0</v>
      </c>
      <c r="AH27" s="1">
        <f t="shared" si="10"/>
        <v>1</v>
      </c>
      <c r="AI27" s="1">
        <f t="shared" si="11"/>
        <v>1</v>
      </c>
      <c r="AJ27" s="1">
        <f>SUMXMY2(Z27:AI27, Occurrence!B$3:K$3)</f>
        <v>3</v>
      </c>
      <c r="AK27" s="1">
        <f t="shared" si="12"/>
        <v>7</v>
      </c>
    </row>
    <row r="28" spans="1:37">
      <c r="A28" s="1">
        <v>27</v>
      </c>
      <c r="B28" s="1">
        <v>4252026</v>
      </c>
      <c r="C28" s="6">
        <v>801</v>
      </c>
      <c r="D28" s="1">
        <v>0.5</v>
      </c>
      <c r="E28" s="1">
        <v>0.3</v>
      </c>
      <c r="F28" s="1">
        <v>0.7</v>
      </c>
      <c r="G28" s="1">
        <v>0.9</v>
      </c>
      <c r="H28" s="1">
        <v>0.47</v>
      </c>
      <c r="I28" s="1">
        <v>1</v>
      </c>
      <c r="J28" s="1">
        <v>0.79</v>
      </c>
      <c r="K28" s="1">
        <v>0.69</v>
      </c>
      <c r="L28" s="1">
        <v>1</v>
      </c>
      <c r="M28" s="1">
        <v>0.3</v>
      </c>
      <c r="N28" s="1">
        <f>(Occurrence!B$3-D28)^2</f>
        <v>0.25</v>
      </c>
      <c r="O28" s="1">
        <f>(Occurrence!C$3-E28)^2</f>
        <v>0.09</v>
      </c>
      <c r="P28" s="1">
        <f>(Occurrence!D$3-F28)^2</f>
        <v>9.0000000000000024E-2</v>
      </c>
      <c r="Q28" s="1">
        <f>(Occurrence!E$3-G28)^2</f>
        <v>9.999999999999995E-3</v>
      </c>
      <c r="R28" s="1">
        <f>(Occurrence!F$3-H28)^2</f>
        <v>0.22089999999999999</v>
      </c>
      <c r="S28" s="1">
        <f>(Occurrence!G$3-I28)^2</f>
        <v>1</v>
      </c>
      <c r="T28" s="1">
        <f>(Occurrence!H$3-J28)^2</f>
        <v>4.4099999999999986E-2</v>
      </c>
      <c r="U28" s="1">
        <f>(Occurrence!I$3-K28)^2</f>
        <v>9.6100000000000033E-2</v>
      </c>
      <c r="V28" s="1">
        <f>(Occurrence!J$3-L28)^2</f>
        <v>1</v>
      </c>
      <c r="W28" s="1">
        <f>(Occurrence!K$3-M28)^2</f>
        <v>0.48999999999999994</v>
      </c>
      <c r="X28" s="1">
        <f t="shared" si="1"/>
        <v>3.2910999999999997</v>
      </c>
      <c r="Z28" s="1">
        <f t="shared" si="2"/>
        <v>1</v>
      </c>
      <c r="AA28" s="1">
        <f t="shared" si="3"/>
        <v>0</v>
      </c>
      <c r="AB28" s="1">
        <f t="shared" si="4"/>
        <v>1</v>
      </c>
      <c r="AC28" s="1">
        <f t="shared" si="5"/>
        <v>1</v>
      </c>
      <c r="AD28" s="1">
        <f t="shared" si="6"/>
        <v>0</v>
      </c>
      <c r="AE28" s="1">
        <f t="shared" si="7"/>
        <v>1</v>
      </c>
      <c r="AF28" s="1">
        <f t="shared" si="8"/>
        <v>1</v>
      </c>
      <c r="AG28" s="1">
        <f t="shared" si="9"/>
        <v>1</v>
      </c>
      <c r="AH28" s="1">
        <f t="shared" si="10"/>
        <v>1</v>
      </c>
      <c r="AI28" s="1">
        <f t="shared" si="11"/>
        <v>0</v>
      </c>
      <c r="AJ28" s="1">
        <f>SUMXMY2(Z28:AI28, Occurrence!B$3:K$3)</f>
        <v>4</v>
      </c>
      <c r="AK28" s="1">
        <f t="shared" si="12"/>
        <v>6</v>
      </c>
    </row>
    <row r="29" spans="1:37">
      <c r="A29" s="1">
        <v>28</v>
      </c>
      <c r="B29" s="1">
        <v>4252027</v>
      </c>
      <c r="C29" s="6">
        <v>801</v>
      </c>
      <c r="D29" s="1">
        <v>0.35</v>
      </c>
      <c r="E29" s="1">
        <v>0.4</v>
      </c>
      <c r="F29" s="1">
        <v>0.65</v>
      </c>
      <c r="G29" s="1">
        <v>0.6</v>
      </c>
      <c r="H29" s="1">
        <v>0.77</v>
      </c>
      <c r="I29" s="1">
        <v>0.5</v>
      </c>
      <c r="J29" s="1">
        <v>0.4</v>
      </c>
      <c r="K29" s="1">
        <v>0.6</v>
      </c>
      <c r="L29" s="1">
        <v>0.5</v>
      </c>
      <c r="M29" s="1">
        <v>0.4</v>
      </c>
      <c r="N29" s="1">
        <f>(Occurrence!B$3-D29)^2</f>
        <v>0.12249999999999998</v>
      </c>
      <c r="O29" s="1">
        <f>(Occurrence!C$3-E29)^2</f>
        <v>0.16000000000000003</v>
      </c>
      <c r="P29" s="1">
        <f>(Occurrence!D$3-F29)^2</f>
        <v>0.12249999999999998</v>
      </c>
      <c r="Q29" s="1">
        <f>(Occurrence!E$3-G29)^2</f>
        <v>0.16000000000000003</v>
      </c>
      <c r="R29" s="1">
        <f>(Occurrence!F$3-H29)^2</f>
        <v>0.59289999999999998</v>
      </c>
      <c r="S29" s="1">
        <f>(Occurrence!G$3-I29)^2</f>
        <v>0.25</v>
      </c>
      <c r="T29" s="1">
        <f>(Occurrence!H$3-J29)^2</f>
        <v>0.36</v>
      </c>
      <c r="U29" s="1">
        <f>(Occurrence!I$3-K29)^2</f>
        <v>0.16000000000000003</v>
      </c>
      <c r="V29" s="1">
        <f>(Occurrence!J$3-L29)^2</f>
        <v>0.25</v>
      </c>
      <c r="W29" s="1">
        <f>(Occurrence!K$3-M29)^2</f>
        <v>0.36</v>
      </c>
      <c r="X29" s="1">
        <f t="shared" si="1"/>
        <v>2.5379</v>
      </c>
      <c r="Z29" s="1">
        <f t="shared" si="2"/>
        <v>0</v>
      </c>
      <c r="AA29" s="1">
        <f t="shared" si="3"/>
        <v>0</v>
      </c>
      <c r="AB29" s="1">
        <f t="shared" si="4"/>
        <v>1</v>
      </c>
      <c r="AC29" s="1">
        <f t="shared" si="5"/>
        <v>1</v>
      </c>
      <c r="AD29" s="1">
        <f t="shared" si="6"/>
        <v>1</v>
      </c>
      <c r="AE29" s="1">
        <f t="shared" si="7"/>
        <v>1</v>
      </c>
      <c r="AF29" s="1">
        <f t="shared" si="8"/>
        <v>0</v>
      </c>
      <c r="AG29" s="1">
        <f t="shared" si="9"/>
        <v>1</v>
      </c>
      <c r="AH29" s="1">
        <f t="shared" si="10"/>
        <v>1</v>
      </c>
      <c r="AI29" s="1">
        <f t="shared" si="11"/>
        <v>0</v>
      </c>
      <c r="AJ29" s="1">
        <f>SUMXMY2(Z29:AI29, Occurrence!B$3:K$3)</f>
        <v>5</v>
      </c>
      <c r="AK29" s="1">
        <f t="shared" si="12"/>
        <v>5</v>
      </c>
    </row>
    <row r="30" spans="1:37">
      <c r="A30" s="1">
        <v>29</v>
      </c>
      <c r="B30" s="1">
        <v>4252028</v>
      </c>
      <c r="C30" s="6">
        <v>801</v>
      </c>
      <c r="D30" s="1">
        <v>0.49990000000000001</v>
      </c>
      <c r="E30" s="1">
        <v>0.3972</v>
      </c>
      <c r="F30" s="1">
        <v>0.50009999999999999</v>
      </c>
      <c r="G30" s="1">
        <v>0.6028</v>
      </c>
      <c r="H30" s="1">
        <v>0.64680000000000004</v>
      </c>
      <c r="I30" s="1">
        <v>0.27</v>
      </c>
      <c r="J30" s="1">
        <v>0.25</v>
      </c>
      <c r="K30" s="1">
        <v>1</v>
      </c>
      <c r="L30" s="1">
        <v>0</v>
      </c>
      <c r="M30" s="1">
        <v>1</v>
      </c>
      <c r="N30" s="1">
        <f>(Occurrence!B$3-D30)^2</f>
        <v>0.24990001000000001</v>
      </c>
      <c r="O30" s="1">
        <f>(Occurrence!C$3-E30)^2</f>
        <v>0.15776783999999999</v>
      </c>
      <c r="P30" s="1">
        <f>(Occurrence!D$3-F30)^2</f>
        <v>0.24990001000000001</v>
      </c>
      <c r="Q30" s="1">
        <f>(Occurrence!E$3-G30)^2</f>
        <v>0.15776783999999999</v>
      </c>
      <c r="R30" s="1">
        <f>(Occurrence!F$3-H30)^2</f>
        <v>0.41835024000000004</v>
      </c>
      <c r="S30" s="1">
        <f>(Occurrence!G$3-I30)^2</f>
        <v>7.2900000000000006E-2</v>
      </c>
      <c r="T30" s="1">
        <f>(Occurrence!H$3-J30)^2</f>
        <v>0.5625</v>
      </c>
      <c r="U30" s="1">
        <f>(Occurrence!I$3-K30)^2</f>
        <v>0</v>
      </c>
      <c r="V30" s="1">
        <f>(Occurrence!J$3-L30)^2</f>
        <v>0</v>
      </c>
      <c r="W30" s="1">
        <f>(Occurrence!K$3-M30)^2</f>
        <v>0</v>
      </c>
      <c r="X30" s="1">
        <f t="shared" si="1"/>
        <v>1.8690859399999999</v>
      </c>
      <c r="Z30" s="1">
        <f t="shared" si="2"/>
        <v>0</v>
      </c>
      <c r="AA30" s="1">
        <f t="shared" si="3"/>
        <v>0</v>
      </c>
      <c r="AB30" s="1">
        <f t="shared" si="4"/>
        <v>1</v>
      </c>
      <c r="AC30" s="1">
        <f t="shared" si="5"/>
        <v>1</v>
      </c>
      <c r="AD30" s="1">
        <f t="shared" si="6"/>
        <v>1</v>
      </c>
      <c r="AE30" s="1">
        <f t="shared" si="7"/>
        <v>0</v>
      </c>
      <c r="AF30" s="1">
        <f t="shared" si="8"/>
        <v>0</v>
      </c>
      <c r="AG30" s="1">
        <f t="shared" si="9"/>
        <v>1</v>
      </c>
      <c r="AH30" s="1">
        <f t="shared" si="10"/>
        <v>0</v>
      </c>
      <c r="AI30" s="1">
        <f t="shared" si="11"/>
        <v>1</v>
      </c>
      <c r="AJ30" s="1">
        <f>SUMXMY2(Z30:AI30, Occurrence!B$3:K$3)</f>
        <v>2</v>
      </c>
      <c r="AK30" s="1">
        <f t="shared" si="12"/>
        <v>8</v>
      </c>
    </row>
    <row r="31" spans="1:37">
      <c r="A31" s="1">
        <v>30</v>
      </c>
      <c r="B31" s="1">
        <v>4252029</v>
      </c>
      <c r="C31" s="6">
        <v>801</v>
      </c>
      <c r="D31" s="1">
        <v>0.5</v>
      </c>
      <c r="E31" s="1">
        <v>0.85</v>
      </c>
      <c r="F31" s="1">
        <v>0.25</v>
      </c>
      <c r="G31" s="1">
        <v>0.9</v>
      </c>
      <c r="H31" s="1">
        <v>0.65</v>
      </c>
      <c r="I31" s="1">
        <v>0.15</v>
      </c>
      <c r="J31" s="1">
        <v>0.44</v>
      </c>
      <c r="K31" s="1">
        <v>0.45</v>
      </c>
      <c r="L31" s="1">
        <v>0.25</v>
      </c>
      <c r="M31" s="1">
        <v>0.12</v>
      </c>
      <c r="N31" s="1">
        <f>(Occurrence!B$3-D31)^2</f>
        <v>0.25</v>
      </c>
      <c r="O31" s="1">
        <f>(Occurrence!C$3-E31)^2</f>
        <v>0.72249999999999992</v>
      </c>
      <c r="P31" s="1">
        <f>(Occurrence!D$3-F31)^2</f>
        <v>0.5625</v>
      </c>
      <c r="Q31" s="1">
        <f>(Occurrence!E$3-G31)^2</f>
        <v>9.999999999999995E-3</v>
      </c>
      <c r="R31" s="1">
        <f>(Occurrence!F$3-H31)^2</f>
        <v>0.42250000000000004</v>
      </c>
      <c r="S31" s="1">
        <f>(Occurrence!G$3-I31)^2</f>
        <v>2.2499999999999999E-2</v>
      </c>
      <c r="T31" s="1">
        <f>(Occurrence!H$3-J31)^2</f>
        <v>0.31360000000000005</v>
      </c>
      <c r="U31" s="1">
        <f>(Occurrence!I$3-K31)^2</f>
        <v>0.30250000000000005</v>
      </c>
      <c r="V31" s="1">
        <f>(Occurrence!J$3-L31)^2</f>
        <v>6.25E-2</v>
      </c>
      <c r="W31" s="1">
        <f>(Occurrence!K$3-M31)^2</f>
        <v>0.77439999999999998</v>
      </c>
      <c r="X31" s="1">
        <f t="shared" si="1"/>
        <v>3.4430000000000001</v>
      </c>
      <c r="Z31" s="1">
        <f t="shared" si="2"/>
        <v>1</v>
      </c>
      <c r="AA31" s="1">
        <f t="shared" si="3"/>
        <v>1</v>
      </c>
      <c r="AB31" s="1">
        <f t="shared" si="4"/>
        <v>0</v>
      </c>
      <c r="AC31" s="1">
        <f t="shared" si="5"/>
        <v>1</v>
      </c>
      <c r="AD31" s="1">
        <f t="shared" si="6"/>
        <v>1</v>
      </c>
      <c r="AE31" s="1">
        <f t="shared" si="7"/>
        <v>0</v>
      </c>
      <c r="AF31" s="1">
        <f t="shared" si="8"/>
        <v>0</v>
      </c>
      <c r="AG31" s="1">
        <f t="shared" si="9"/>
        <v>0</v>
      </c>
      <c r="AH31" s="1">
        <f t="shared" si="10"/>
        <v>0</v>
      </c>
      <c r="AI31" s="1">
        <f t="shared" si="11"/>
        <v>0</v>
      </c>
      <c r="AJ31" s="1">
        <f>SUMXMY2(Z31:AI31, Occurrence!B$3:K$3)</f>
        <v>7</v>
      </c>
      <c r="AK31" s="1">
        <f t="shared" si="12"/>
        <v>3</v>
      </c>
    </row>
    <row r="32" spans="1:37">
      <c r="A32" s="1">
        <v>31</v>
      </c>
      <c r="B32" s="1">
        <v>4252030</v>
      </c>
      <c r="C32" s="6">
        <v>801</v>
      </c>
      <c r="D32" s="1">
        <v>0.38</v>
      </c>
      <c r="E32" s="1">
        <v>0.78</v>
      </c>
      <c r="F32" s="1">
        <v>0.12</v>
      </c>
      <c r="G32" s="1">
        <v>0.69</v>
      </c>
      <c r="H32" s="1">
        <v>0.09</v>
      </c>
      <c r="I32" s="1">
        <v>0.5</v>
      </c>
      <c r="J32" s="1">
        <v>1</v>
      </c>
      <c r="K32" s="1">
        <v>0.15</v>
      </c>
      <c r="L32" s="1">
        <v>0</v>
      </c>
      <c r="M32" s="1">
        <v>1</v>
      </c>
      <c r="N32" s="1">
        <f>(Occurrence!B$3-D32)^2</f>
        <v>0.1444</v>
      </c>
      <c r="O32" s="1">
        <f>(Occurrence!C$3-E32)^2</f>
        <v>0.60840000000000005</v>
      </c>
      <c r="P32" s="1">
        <f>(Occurrence!D$3-F32)^2</f>
        <v>0.77439999999999998</v>
      </c>
      <c r="Q32" s="1">
        <f>(Occurrence!E$3-G32)^2</f>
        <v>9.6100000000000033E-2</v>
      </c>
      <c r="R32" s="1">
        <f>(Occurrence!F$3-H32)^2</f>
        <v>8.0999999999999996E-3</v>
      </c>
      <c r="S32" s="1">
        <f>(Occurrence!G$3-I32)^2</f>
        <v>0.25</v>
      </c>
      <c r="T32" s="1">
        <f>(Occurrence!H$3-J32)^2</f>
        <v>0</v>
      </c>
      <c r="U32" s="1">
        <f>(Occurrence!I$3-K32)^2</f>
        <v>0.72249999999999992</v>
      </c>
      <c r="V32" s="1">
        <f>(Occurrence!J$3-L32)^2</f>
        <v>0</v>
      </c>
      <c r="W32" s="1">
        <f>(Occurrence!K$3-M32)^2</f>
        <v>0</v>
      </c>
      <c r="X32" s="1">
        <f t="shared" si="1"/>
        <v>2.6039000000000003</v>
      </c>
      <c r="Z32" s="1">
        <f t="shared" si="2"/>
        <v>0</v>
      </c>
      <c r="AA32" s="1">
        <f t="shared" si="3"/>
        <v>1</v>
      </c>
      <c r="AB32" s="1">
        <f t="shared" si="4"/>
        <v>0</v>
      </c>
      <c r="AC32" s="1">
        <f t="shared" si="5"/>
        <v>1</v>
      </c>
      <c r="AD32" s="1">
        <f t="shared" si="6"/>
        <v>0</v>
      </c>
      <c r="AE32" s="1">
        <f t="shared" si="7"/>
        <v>1</v>
      </c>
      <c r="AF32" s="1">
        <f t="shared" si="8"/>
        <v>1</v>
      </c>
      <c r="AG32" s="1">
        <f t="shared" si="9"/>
        <v>0</v>
      </c>
      <c r="AH32" s="1">
        <f t="shared" si="10"/>
        <v>0</v>
      </c>
      <c r="AI32" s="1">
        <f t="shared" si="11"/>
        <v>1</v>
      </c>
      <c r="AJ32" s="1">
        <f>SUMXMY2(Z32:AI32, Occurrence!B$3:K$3)</f>
        <v>4</v>
      </c>
      <c r="AK32" s="1">
        <f t="shared" si="12"/>
        <v>6</v>
      </c>
    </row>
    <row r="33" spans="1:37">
      <c r="A33" s="1">
        <v>32</v>
      </c>
      <c r="B33" s="1">
        <v>4252031</v>
      </c>
      <c r="C33" s="6">
        <v>801</v>
      </c>
      <c r="D33" s="1">
        <v>0.5</v>
      </c>
      <c r="E33" s="1">
        <v>0.5</v>
      </c>
      <c r="F33" s="1">
        <v>0.49990000000000001</v>
      </c>
      <c r="G33" s="1">
        <v>1</v>
      </c>
      <c r="H33" s="1">
        <v>0.45</v>
      </c>
      <c r="I33" s="1">
        <v>0.25</v>
      </c>
      <c r="J33" s="1">
        <v>0.5</v>
      </c>
      <c r="K33" s="1">
        <v>1</v>
      </c>
      <c r="L33" s="1">
        <v>0.15</v>
      </c>
      <c r="M33" s="1">
        <v>0.45</v>
      </c>
      <c r="N33" s="1">
        <f>(Occurrence!B$3-D33)^2</f>
        <v>0.25</v>
      </c>
      <c r="O33" s="1">
        <f>(Occurrence!C$3-E33)^2</f>
        <v>0.25</v>
      </c>
      <c r="P33" s="1">
        <f>(Occurrence!D$3-F33)^2</f>
        <v>0.25010000999999998</v>
      </c>
      <c r="Q33" s="1">
        <f>(Occurrence!E$3-G33)^2</f>
        <v>0</v>
      </c>
      <c r="R33" s="1">
        <f>(Occurrence!F$3-H33)^2</f>
        <v>0.20250000000000001</v>
      </c>
      <c r="S33" s="1">
        <f>(Occurrence!G$3-I33)^2</f>
        <v>6.25E-2</v>
      </c>
      <c r="T33" s="1">
        <f>(Occurrence!H$3-J33)^2</f>
        <v>0.25</v>
      </c>
      <c r="U33" s="1">
        <f>(Occurrence!I$3-K33)^2</f>
        <v>0</v>
      </c>
      <c r="V33" s="1">
        <f>(Occurrence!J$3-L33)^2</f>
        <v>2.2499999999999999E-2</v>
      </c>
      <c r="W33" s="1">
        <f>(Occurrence!K$3-M33)^2</f>
        <v>0.30250000000000005</v>
      </c>
      <c r="X33" s="1">
        <f t="shared" si="1"/>
        <v>1.5901000099999998</v>
      </c>
      <c r="Z33" s="1">
        <f t="shared" si="2"/>
        <v>1</v>
      </c>
      <c r="AA33" s="1">
        <f t="shared" si="3"/>
        <v>1</v>
      </c>
      <c r="AB33" s="1">
        <f t="shared" si="4"/>
        <v>0</v>
      </c>
      <c r="AC33" s="1">
        <f t="shared" si="5"/>
        <v>1</v>
      </c>
      <c r="AD33" s="1">
        <f t="shared" si="6"/>
        <v>0</v>
      </c>
      <c r="AE33" s="1">
        <f t="shared" si="7"/>
        <v>0</v>
      </c>
      <c r="AF33" s="1">
        <f t="shared" si="8"/>
        <v>1</v>
      </c>
      <c r="AG33" s="1">
        <f t="shared" si="9"/>
        <v>1</v>
      </c>
      <c r="AH33" s="1">
        <f t="shared" si="10"/>
        <v>0</v>
      </c>
      <c r="AI33" s="1">
        <f t="shared" si="11"/>
        <v>0</v>
      </c>
      <c r="AJ33" s="1">
        <f>SUMXMY2(Z33:AI33, Occurrence!B$3:K$3)</f>
        <v>4</v>
      </c>
      <c r="AK33" s="1">
        <f t="shared" si="12"/>
        <v>6</v>
      </c>
    </row>
    <row r="34" spans="1:37">
      <c r="A34" s="1">
        <v>33</v>
      </c>
      <c r="B34" s="1">
        <v>4252032</v>
      </c>
      <c r="C34" s="6">
        <v>801</v>
      </c>
      <c r="D34" s="1">
        <v>0.1258</v>
      </c>
      <c r="E34" s="1">
        <v>0.49</v>
      </c>
      <c r="F34" s="1">
        <v>0.18210000000000001</v>
      </c>
      <c r="G34" s="1">
        <v>0.65229999999999999</v>
      </c>
      <c r="H34" s="1">
        <v>0.41</v>
      </c>
      <c r="I34" s="1">
        <v>0.6</v>
      </c>
      <c r="J34" s="1">
        <v>0.4</v>
      </c>
      <c r="K34" s="1">
        <v>0.45</v>
      </c>
      <c r="L34" s="1">
        <v>0.35</v>
      </c>
      <c r="M34" s="1">
        <v>0.7</v>
      </c>
      <c r="N34" s="1">
        <f>(Occurrence!B$3-D34)^2</f>
        <v>1.5825639999999998E-2</v>
      </c>
      <c r="O34" s="1">
        <f>(Occurrence!C$3-E34)^2</f>
        <v>0.24009999999999998</v>
      </c>
      <c r="P34" s="1">
        <f>(Occurrence!D$3-F34)^2</f>
        <v>0.66896040999999995</v>
      </c>
      <c r="Q34" s="1">
        <f>(Occurrence!E$3-G34)^2</f>
        <v>0.12089529</v>
      </c>
      <c r="R34" s="1">
        <f>(Occurrence!F$3-H34)^2</f>
        <v>0.16809999999999997</v>
      </c>
      <c r="S34" s="1">
        <f>(Occurrence!G$3-I34)^2</f>
        <v>0.36</v>
      </c>
      <c r="T34" s="1">
        <f>(Occurrence!H$3-J34)^2</f>
        <v>0.36</v>
      </c>
      <c r="U34" s="1">
        <f>(Occurrence!I$3-K34)^2</f>
        <v>0.30250000000000005</v>
      </c>
      <c r="V34" s="1">
        <f>(Occurrence!J$3-L34)^2</f>
        <v>0.12249999999999998</v>
      </c>
      <c r="W34" s="1">
        <f>(Occurrence!K$3-M34)^2</f>
        <v>9.0000000000000024E-2</v>
      </c>
      <c r="X34" s="1">
        <f t="shared" si="1"/>
        <v>2.4488813399999998</v>
      </c>
      <c r="Z34" s="1">
        <f t="shared" si="2"/>
        <v>0</v>
      </c>
      <c r="AA34" s="1">
        <f t="shared" si="3"/>
        <v>0</v>
      </c>
      <c r="AB34" s="1">
        <f t="shared" si="4"/>
        <v>0</v>
      </c>
      <c r="AC34" s="1">
        <f t="shared" si="5"/>
        <v>1</v>
      </c>
      <c r="AD34" s="1">
        <f t="shared" si="6"/>
        <v>0</v>
      </c>
      <c r="AE34" s="1">
        <f t="shared" si="7"/>
        <v>1</v>
      </c>
      <c r="AF34" s="1">
        <f t="shared" si="8"/>
        <v>0</v>
      </c>
      <c r="AG34" s="1">
        <f t="shared" si="9"/>
        <v>0</v>
      </c>
      <c r="AH34" s="1">
        <f t="shared" si="10"/>
        <v>0</v>
      </c>
      <c r="AI34" s="1">
        <f t="shared" si="11"/>
        <v>1</v>
      </c>
      <c r="AJ34" s="1">
        <f>SUMXMY2(Z34:AI34, Occurrence!B$3:K$3)</f>
        <v>4</v>
      </c>
      <c r="AK34" s="1">
        <f t="shared" si="12"/>
        <v>6</v>
      </c>
    </row>
    <row r="35" spans="1:37">
      <c r="A35" s="1">
        <v>34</v>
      </c>
      <c r="B35" s="1">
        <v>4252033</v>
      </c>
      <c r="C35" s="6">
        <v>801</v>
      </c>
      <c r="D35" s="1">
        <v>0.5</v>
      </c>
      <c r="E35" s="1">
        <v>0.3</v>
      </c>
      <c r="F35" s="1">
        <v>0.5</v>
      </c>
      <c r="G35" s="1">
        <v>0.6</v>
      </c>
      <c r="H35" s="1">
        <v>1</v>
      </c>
      <c r="I35" s="1">
        <v>0.6</v>
      </c>
      <c r="J35" s="1">
        <v>0.3</v>
      </c>
      <c r="K35" s="1">
        <v>0.95</v>
      </c>
      <c r="L35" s="1">
        <v>0.75</v>
      </c>
      <c r="M35" s="1">
        <v>0.95</v>
      </c>
      <c r="N35" s="1">
        <f>(Occurrence!B$3-D35)^2</f>
        <v>0.25</v>
      </c>
      <c r="O35" s="1">
        <f>(Occurrence!C$3-E35)^2</f>
        <v>0.09</v>
      </c>
      <c r="P35" s="1">
        <f>(Occurrence!D$3-F35)^2</f>
        <v>0.25</v>
      </c>
      <c r="Q35" s="1">
        <f>(Occurrence!E$3-G35)^2</f>
        <v>0.16000000000000003</v>
      </c>
      <c r="R35" s="1">
        <f>(Occurrence!F$3-H35)^2</f>
        <v>1</v>
      </c>
      <c r="S35" s="1">
        <f>(Occurrence!G$3-I35)^2</f>
        <v>0.36</v>
      </c>
      <c r="T35" s="1">
        <f>(Occurrence!H$3-J35)^2</f>
        <v>0.48999999999999994</v>
      </c>
      <c r="U35" s="1">
        <f>(Occurrence!I$3-K35)^2</f>
        <v>2.5000000000000044E-3</v>
      </c>
      <c r="V35" s="1">
        <f>(Occurrence!J$3-L35)^2</f>
        <v>0.5625</v>
      </c>
      <c r="W35" s="1">
        <f>(Occurrence!K$3-M35)^2</f>
        <v>2.5000000000000044E-3</v>
      </c>
      <c r="X35" s="1">
        <f t="shared" si="1"/>
        <v>3.1674999999999995</v>
      </c>
      <c r="Z35" s="1">
        <f t="shared" si="2"/>
        <v>1</v>
      </c>
      <c r="AA35" s="1">
        <f t="shared" si="3"/>
        <v>0</v>
      </c>
      <c r="AB35" s="1">
        <f t="shared" si="4"/>
        <v>1</v>
      </c>
      <c r="AC35" s="1">
        <f t="shared" si="5"/>
        <v>1</v>
      </c>
      <c r="AD35" s="1">
        <f t="shared" si="6"/>
        <v>1</v>
      </c>
      <c r="AE35" s="1">
        <f t="shared" si="7"/>
        <v>1</v>
      </c>
      <c r="AF35" s="1">
        <f t="shared" si="8"/>
        <v>0</v>
      </c>
      <c r="AG35" s="1">
        <f t="shared" si="9"/>
        <v>1</v>
      </c>
      <c r="AH35" s="1">
        <f t="shared" si="10"/>
        <v>1</v>
      </c>
      <c r="AI35" s="1">
        <f t="shared" si="11"/>
        <v>1</v>
      </c>
      <c r="AJ35" s="1">
        <f>SUMXMY2(Z35:AI35, Occurrence!B$3:K$3)</f>
        <v>5</v>
      </c>
      <c r="AK35" s="1">
        <f t="shared" si="12"/>
        <v>5</v>
      </c>
    </row>
    <row r="36" spans="1:37">
      <c r="A36" s="1">
        <v>35</v>
      </c>
      <c r="B36" s="1">
        <v>4252034</v>
      </c>
      <c r="C36" s="6">
        <v>801</v>
      </c>
      <c r="D36" s="1">
        <v>0.05</v>
      </c>
      <c r="E36" s="1">
        <v>0.01</v>
      </c>
      <c r="F36" s="1">
        <v>0.95</v>
      </c>
      <c r="G36" s="1">
        <v>0.99</v>
      </c>
      <c r="H36" s="1">
        <v>0.99</v>
      </c>
      <c r="I36" s="1">
        <v>0.25</v>
      </c>
      <c r="J36" s="1">
        <v>0.05</v>
      </c>
      <c r="K36" s="1">
        <v>0.2</v>
      </c>
      <c r="L36" s="1">
        <v>0.05</v>
      </c>
      <c r="M36" s="1">
        <v>0.09</v>
      </c>
      <c r="N36" s="1">
        <f>(Occurrence!B$3-D36)^2</f>
        <v>2.5000000000000005E-3</v>
      </c>
      <c r="O36" s="1">
        <f>(Occurrence!C$3-E36)^2</f>
        <v>1E-4</v>
      </c>
      <c r="P36" s="1">
        <f>(Occurrence!D$3-F36)^2</f>
        <v>2.5000000000000044E-3</v>
      </c>
      <c r="Q36" s="1">
        <f>(Occurrence!E$3-G36)^2</f>
        <v>1.0000000000000018E-4</v>
      </c>
      <c r="R36" s="1">
        <f>(Occurrence!F$3-H36)^2</f>
        <v>0.98009999999999997</v>
      </c>
      <c r="S36" s="1">
        <f>(Occurrence!G$3-I36)^2</f>
        <v>6.25E-2</v>
      </c>
      <c r="T36" s="1">
        <f>(Occurrence!H$3-J36)^2</f>
        <v>0.90249999999999997</v>
      </c>
      <c r="U36" s="1">
        <f>(Occurrence!I$3-K36)^2</f>
        <v>0.64000000000000012</v>
      </c>
      <c r="V36" s="1">
        <f>(Occurrence!J$3-L36)^2</f>
        <v>2.5000000000000005E-3</v>
      </c>
      <c r="W36" s="1">
        <f>(Occurrence!K$3-M36)^2</f>
        <v>0.82810000000000006</v>
      </c>
      <c r="X36" s="1">
        <f t="shared" si="1"/>
        <v>3.4209000000000001</v>
      </c>
      <c r="Z36" s="1">
        <f t="shared" si="2"/>
        <v>0</v>
      </c>
      <c r="AA36" s="1">
        <f t="shared" si="3"/>
        <v>0</v>
      </c>
      <c r="AB36" s="1">
        <f t="shared" si="4"/>
        <v>1</v>
      </c>
      <c r="AC36" s="1">
        <f t="shared" si="5"/>
        <v>1</v>
      </c>
      <c r="AD36" s="1">
        <f t="shared" si="6"/>
        <v>1</v>
      </c>
      <c r="AE36" s="1">
        <f t="shared" si="7"/>
        <v>0</v>
      </c>
      <c r="AF36" s="1">
        <f t="shared" si="8"/>
        <v>0</v>
      </c>
      <c r="AG36" s="1">
        <f t="shared" si="9"/>
        <v>0</v>
      </c>
      <c r="AH36" s="1">
        <f t="shared" si="10"/>
        <v>0</v>
      </c>
      <c r="AI36" s="1">
        <f t="shared" si="11"/>
        <v>0</v>
      </c>
      <c r="AJ36" s="1">
        <f>SUMXMY2(Z36:AI36, Occurrence!B$3:K$3)</f>
        <v>4</v>
      </c>
      <c r="AK36" s="1">
        <f t="shared" si="12"/>
        <v>6</v>
      </c>
    </row>
    <row r="37" spans="1:37">
      <c r="A37" s="1">
        <v>36</v>
      </c>
      <c r="B37" s="1">
        <v>4252035</v>
      </c>
      <c r="C37" s="6">
        <v>801</v>
      </c>
      <c r="D37" s="1">
        <v>0.2</v>
      </c>
      <c r="E37" s="1">
        <v>0.6</v>
      </c>
      <c r="F37" s="1">
        <v>0.3</v>
      </c>
      <c r="G37" s="1">
        <v>0.6</v>
      </c>
      <c r="H37" s="1">
        <v>0.25</v>
      </c>
      <c r="I37" s="1">
        <v>0.44</v>
      </c>
      <c r="J37" s="1">
        <v>0.67</v>
      </c>
      <c r="K37" s="1">
        <v>0.22</v>
      </c>
      <c r="L37" s="1">
        <v>1E-3</v>
      </c>
      <c r="M37" s="1">
        <v>0.28999999999999998</v>
      </c>
      <c r="N37" s="1">
        <f>(Occurrence!B$3-D37)^2</f>
        <v>4.0000000000000008E-2</v>
      </c>
      <c r="O37" s="1">
        <f>(Occurrence!C$3-E37)^2</f>
        <v>0.36</v>
      </c>
      <c r="P37" s="1">
        <f>(Occurrence!D$3-F37)^2</f>
        <v>0.48999999999999994</v>
      </c>
      <c r="Q37" s="1">
        <f>(Occurrence!E$3-G37)^2</f>
        <v>0.16000000000000003</v>
      </c>
      <c r="R37" s="1">
        <f>(Occurrence!F$3-H37)^2</f>
        <v>6.25E-2</v>
      </c>
      <c r="S37" s="1">
        <f>(Occurrence!G$3-I37)^2</f>
        <v>0.19359999999999999</v>
      </c>
      <c r="T37" s="1">
        <f>(Occurrence!H$3-J37)^2</f>
        <v>0.10889999999999997</v>
      </c>
      <c r="U37" s="1">
        <f>(Occurrence!I$3-K37)^2</f>
        <v>0.60840000000000005</v>
      </c>
      <c r="V37" s="1">
        <f>(Occurrence!J$3-L37)^2</f>
        <v>9.9999999999999995E-7</v>
      </c>
      <c r="W37" s="1">
        <f>(Occurrence!K$3-M37)^2</f>
        <v>0.50409999999999999</v>
      </c>
      <c r="X37" s="1">
        <f t="shared" si="1"/>
        <v>2.527501</v>
      </c>
      <c r="Z37" s="1">
        <f t="shared" si="2"/>
        <v>0</v>
      </c>
      <c r="AA37" s="1">
        <f t="shared" si="3"/>
        <v>1</v>
      </c>
      <c r="AB37" s="1">
        <f t="shared" si="4"/>
        <v>0</v>
      </c>
      <c r="AC37" s="1">
        <f t="shared" si="5"/>
        <v>1</v>
      </c>
      <c r="AD37" s="1">
        <f t="shared" si="6"/>
        <v>0</v>
      </c>
      <c r="AE37" s="1">
        <f t="shared" si="7"/>
        <v>0</v>
      </c>
      <c r="AF37" s="1">
        <f t="shared" si="8"/>
        <v>1</v>
      </c>
      <c r="AG37" s="1">
        <f t="shared" si="9"/>
        <v>0</v>
      </c>
      <c r="AH37" s="1">
        <f t="shared" si="10"/>
        <v>0</v>
      </c>
      <c r="AI37" s="1">
        <f t="shared" si="11"/>
        <v>0</v>
      </c>
      <c r="AJ37" s="1">
        <f>SUMXMY2(Z37:AI37, Occurrence!B$3:K$3)</f>
        <v>4</v>
      </c>
      <c r="AK37" s="1">
        <f t="shared" si="12"/>
        <v>6</v>
      </c>
    </row>
    <row r="38" spans="1:37">
      <c r="A38" s="1">
        <v>37</v>
      </c>
      <c r="B38" s="1">
        <v>4252036</v>
      </c>
      <c r="C38" s="6">
        <v>801</v>
      </c>
      <c r="D38" s="1">
        <v>0.19289999999999999</v>
      </c>
      <c r="E38" s="1">
        <v>0.23230000000000001</v>
      </c>
      <c r="F38" s="1">
        <v>0.64570000000000005</v>
      </c>
      <c r="G38" s="1">
        <v>0.73619999999999997</v>
      </c>
      <c r="H38" s="1">
        <v>0.83860000000000001</v>
      </c>
      <c r="I38" s="1">
        <v>0.09</v>
      </c>
      <c r="J38" s="1">
        <v>1</v>
      </c>
      <c r="K38" s="1">
        <v>0.99990000000000001</v>
      </c>
      <c r="L38" s="1">
        <v>0</v>
      </c>
      <c r="M38" s="1">
        <v>0.88880000000000003</v>
      </c>
      <c r="N38" s="1">
        <f>(Occurrence!B$3-D38)^2</f>
        <v>3.7210409999999992E-2</v>
      </c>
      <c r="O38" s="1">
        <f>(Occurrence!C$3-E38)^2</f>
        <v>5.3963290000000004E-2</v>
      </c>
      <c r="P38" s="1">
        <f>(Occurrence!D$3-F38)^2</f>
        <v>0.12552848999999996</v>
      </c>
      <c r="Q38" s="1">
        <f>(Occurrence!E$3-G38)^2</f>
        <v>6.9590440000000017E-2</v>
      </c>
      <c r="R38" s="1">
        <f>(Occurrence!F$3-H38)^2</f>
        <v>0.70324996000000006</v>
      </c>
      <c r="S38" s="1">
        <f>(Occurrence!G$3-I38)^2</f>
        <v>8.0999999999999996E-3</v>
      </c>
      <c r="T38" s="1">
        <f>(Occurrence!H$3-J38)^2</f>
        <v>0</v>
      </c>
      <c r="U38" s="1">
        <f>(Occurrence!I$3-K38)^2</f>
        <v>9.9999999999977966E-9</v>
      </c>
      <c r="V38" s="1">
        <f>(Occurrence!J$3-L38)^2</f>
        <v>0</v>
      </c>
      <c r="W38" s="1">
        <f>(Occurrence!K$3-M38)^2</f>
        <v>1.2365439999999993E-2</v>
      </c>
      <c r="X38" s="1">
        <f t="shared" si="1"/>
        <v>1.0100080400000002</v>
      </c>
      <c r="Z38" s="1">
        <f t="shared" si="2"/>
        <v>0</v>
      </c>
      <c r="AA38" s="1">
        <f t="shared" si="3"/>
        <v>0</v>
      </c>
      <c r="AB38" s="1">
        <f t="shared" si="4"/>
        <v>1</v>
      </c>
      <c r="AC38" s="1">
        <f t="shared" si="5"/>
        <v>1</v>
      </c>
      <c r="AD38" s="1">
        <f t="shared" si="6"/>
        <v>1</v>
      </c>
      <c r="AE38" s="1">
        <f t="shared" si="7"/>
        <v>0</v>
      </c>
      <c r="AF38" s="1">
        <f t="shared" si="8"/>
        <v>1</v>
      </c>
      <c r="AG38" s="1">
        <f t="shared" si="9"/>
        <v>1</v>
      </c>
      <c r="AH38" s="1">
        <f t="shared" si="10"/>
        <v>0</v>
      </c>
      <c r="AI38" s="1">
        <f t="shared" si="11"/>
        <v>1</v>
      </c>
      <c r="AJ38" s="1">
        <f>SUMXMY2(Z38:AI38, Occurrence!B$3:K$3)</f>
        <v>1</v>
      </c>
      <c r="AK38" s="1">
        <f t="shared" si="12"/>
        <v>9</v>
      </c>
    </row>
    <row r="39" spans="1:37">
      <c r="A39" s="1">
        <v>38</v>
      </c>
      <c r="B39" s="1">
        <v>4252037</v>
      </c>
      <c r="C39" s="6">
        <v>801</v>
      </c>
      <c r="D39" s="1">
        <v>0.29820000000000002</v>
      </c>
      <c r="E39" s="1">
        <v>0.23269999999999999</v>
      </c>
      <c r="F39" s="1">
        <v>0.56000000000000005</v>
      </c>
      <c r="G39" s="1">
        <v>0.62549999999999994</v>
      </c>
      <c r="H39" s="1">
        <v>0.14180000000000001</v>
      </c>
      <c r="I39" s="1">
        <v>0</v>
      </c>
      <c r="J39" s="1">
        <v>1</v>
      </c>
      <c r="K39" s="1">
        <v>0.99990000000000001</v>
      </c>
      <c r="L39" s="1">
        <v>0.06</v>
      </c>
      <c r="M39" s="1">
        <v>0.85599999999999998</v>
      </c>
      <c r="N39" s="1">
        <f>(Occurrence!B$3-D39)^2</f>
        <v>8.8923240000000014E-2</v>
      </c>
      <c r="O39" s="1">
        <f>(Occurrence!C$3-E39)^2</f>
        <v>5.4149289999999996E-2</v>
      </c>
      <c r="P39" s="1">
        <f>(Occurrence!D$3-F39)^2</f>
        <v>0.19359999999999997</v>
      </c>
      <c r="Q39" s="1">
        <f>(Occurrence!E$3-G39)^2</f>
        <v>0.14025025000000005</v>
      </c>
      <c r="R39" s="1">
        <f>(Occurrence!F$3-H39)^2</f>
        <v>2.0107240000000002E-2</v>
      </c>
      <c r="S39" s="1">
        <f>(Occurrence!G$3-I39)^2</f>
        <v>0</v>
      </c>
      <c r="T39" s="1">
        <f>(Occurrence!H$3-J39)^2</f>
        <v>0</v>
      </c>
      <c r="U39" s="1">
        <f>(Occurrence!I$3-K39)^2</f>
        <v>9.9999999999977966E-9</v>
      </c>
      <c r="V39" s="1">
        <f>(Occurrence!J$3-L39)^2</f>
        <v>3.5999999999999999E-3</v>
      </c>
      <c r="W39" s="1">
        <f>(Occurrence!K$3-M39)^2</f>
        <v>2.0736000000000004E-2</v>
      </c>
      <c r="X39" s="1">
        <f t="shared" si="1"/>
        <v>0.52136603000000004</v>
      </c>
      <c r="Z39" s="1">
        <f t="shared" si="2"/>
        <v>0</v>
      </c>
      <c r="AA39" s="1">
        <f t="shared" si="3"/>
        <v>0</v>
      </c>
      <c r="AB39" s="1">
        <f t="shared" si="4"/>
        <v>1</v>
      </c>
      <c r="AC39" s="1">
        <f t="shared" si="5"/>
        <v>1</v>
      </c>
      <c r="AD39" s="1">
        <f t="shared" si="6"/>
        <v>0</v>
      </c>
      <c r="AE39" s="1">
        <f t="shared" si="7"/>
        <v>0</v>
      </c>
      <c r="AF39" s="1">
        <f t="shared" si="8"/>
        <v>1</v>
      </c>
      <c r="AG39" s="1">
        <f t="shared" si="9"/>
        <v>1</v>
      </c>
      <c r="AH39" s="1">
        <f t="shared" si="10"/>
        <v>0</v>
      </c>
      <c r="AI39" s="1">
        <f t="shared" si="11"/>
        <v>1</v>
      </c>
      <c r="AJ39" s="1">
        <f>SUMXMY2(Z39:AI39, Occurrence!B$3:K$3)</f>
        <v>0</v>
      </c>
      <c r="AK39" s="1">
        <f t="shared" si="12"/>
        <v>10</v>
      </c>
    </row>
    <row r="40" spans="1:37">
      <c r="A40" s="1">
        <v>39</v>
      </c>
      <c r="B40" s="1">
        <v>4252038</v>
      </c>
      <c r="C40" s="6">
        <v>801</v>
      </c>
      <c r="D40" s="1">
        <v>0.25</v>
      </c>
      <c r="E40" s="1">
        <v>0.25</v>
      </c>
      <c r="F40" s="1">
        <v>0.5</v>
      </c>
      <c r="G40" s="1">
        <v>0.6</v>
      </c>
      <c r="H40" s="1">
        <v>0.9</v>
      </c>
      <c r="I40" s="1">
        <v>0.5</v>
      </c>
      <c r="J40" s="1">
        <v>0.5</v>
      </c>
      <c r="K40" s="1">
        <v>0.9</v>
      </c>
      <c r="L40" s="1">
        <v>0.95</v>
      </c>
      <c r="M40" s="1">
        <v>0.8</v>
      </c>
      <c r="N40" s="1">
        <f>(Occurrence!B$3-D40)^2</f>
        <v>6.25E-2</v>
      </c>
      <c r="O40" s="1">
        <f>(Occurrence!C$3-E40)^2</f>
        <v>6.25E-2</v>
      </c>
      <c r="P40" s="1">
        <f>(Occurrence!D$3-F40)^2</f>
        <v>0.25</v>
      </c>
      <c r="Q40" s="1">
        <f>(Occurrence!E$3-G40)^2</f>
        <v>0.16000000000000003</v>
      </c>
      <c r="R40" s="1">
        <f>(Occurrence!F$3-H40)^2</f>
        <v>0.81</v>
      </c>
      <c r="S40" s="1">
        <f>(Occurrence!G$3-I40)^2</f>
        <v>0.25</v>
      </c>
      <c r="T40" s="1">
        <f>(Occurrence!H$3-J40)^2</f>
        <v>0.25</v>
      </c>
      <c r="U40" s="1">
        <f>(Occurrence!I$3-K40)^2</f>
        <v>9.999999999999995E-3</v>
      </c>
      <c r="V40" s="1">
        <f>(Occurrence!J$3-L40)^2</f>
        <v>0.90249999999999997</v>
      </c>
      <c r="W40" s="1">
        <f>(Occurrence!K$3-M40)^2</f>
        <v>3.999999999999998E-2</v>
      </c>
      <c r="X40" s="1">
        <f t="shared" si="1"/>
        <v>2.7975000000000003</v>
      </c>
      <c r="Z40" s="1">
        <f t="shared" si="2"/>
        <v>0</v>
      </c>
      <c r="AA40" s="1">
        <f t="shared" si="3"/>
        <v>0</v>
      </c>
      <c r="AB40" s="1">
        <f t="shared" si="4"/>
        <v>1</v>
      </c>
      <c r="AC40" s="1">
        <f t="shared" si="5"/>
        <v>1</v>
      </c>
      <c r="AD40" s="1">
        <f t="shared" si="6"/>
        <v>1</v>
      </c>
      <c r="AE40" s="1">
        <f t="shared" si="7"/>
        <v>1</v>
      </c>
      <c r="AF40" s="1">
        <f t="shared" si="8"/>
        <v>1</v>
      </c>
      <c r="AG40" s="1">
        <f t="shared" si="9"/>
        <v>1</v>
      </c>
      <c r="AH40" s="1">
        <f t="shared" si="10"/>
        <v>1</v>
      </c>
      <c r="AI40" s="1">
        <f t="shared" si="11"/>
        <v>1</v>
      </c>
      <c r="AJ40" s="1">
        <f>SUMXMY2(Z40:AI40, Occurrence!B$3:K$3)</f>
        <v>3</v>
      </c>
      <c r="AK40" s="1">
        <f t="shared" si="12"/>
        <v>7</v>
      </c>
    </row>
    <row r="41" spans="1:37">
      <c r="A41" s="1">
        <v>40</v>
      </c>
      <c r="B41" s="1">
        <v>4252039</v>
      </c>
      <c r="C41" s="6">
        <v>801</v>
      </c>
      <c r="D41" s="1">
        <v>0.5</v>
      </c>
      <c r="E41" s="1">
        <v>0.4</v>
      </c>
      <c r="F41" s="1">
        <v>0.5</v>
      </c>
      <c r="G41" s="1">
        <v>0.6</v>
      </c>
      <c r="H41" s="1">
        <v>0.1</v>
      </c>
      <c r="I41" s="1">
        <v>0.2</v>
      </c>
      <c r="J41" s="1">
        <v>1</v>
      </c>
      <c r="K41" s="1">
        <v>0.9</v>
      </c>
      <c r="L41" s="1">
        <v>0.5</v>
      </c>
      <c r="M41" s="1">
        <v>0.75</v>
      </c>
      <c r="N41" s="1">
        <f>(Occurrence!B$3-D41)^2</f>
        <v>0.25</v>
      </c>
      <c r="O41" s="1">
        <f>(Occurrence!C$3-E41)^2</f>
        <v>0.16000000000000003</v>
      </c>
      <c r="P41" s="1">
        <f>(Occurrence!D$3-F41)^2</f>
        <v>0.25</v>
      </c>
      <c r="Q41" s="1">
        <f>(Occurrence!E$3-G41)^2</f>
        <v>0.16000000000000003</v>
      </c>
      <c r="R41" s="1">
        <f>(Occurrence!F$3-H41)^2</f>
        <v>1.0000000000000002E-2</v>
      </c>
      <c r="S41" s="1">
        <f>(Occurrence!G$3-I41)^2</f>
        <v>4.0000000000000008E-2</v>
      </c>
      <c r="T41" s="1">
        <f>(Occurrence!H$3-J41)^2</f>
        <v>0</v>
      </c>
      <c r="U41" s="1">
        <f>(Occurrence!I$3-K41)^2</f>
        <v>9.999999999999995E-3</v>
      </c>
      <c r="V41" s="1">
        <f>(Occurrence!J$3-L41)^2</f>
        <v>0.25</v>
      </c>
      <c r="W41" s="1">
        <f>(Occurrence!K$3-M41)^2</f>
        <v>6.25E-2</v>
      </c>
      <c r="X41" s="1">
        <f t="shared" si="1"/>
        <v>1.1925000000000001</v>
      </c>
      <c r="Z41" s="1">
        <f t="shared" si="2"/>
        <v>1</v>
      </c>
      <c r="AA41" s="1">
        <f t="shared" si="3"/>
        <v>0</v>
      </c>
      <c r="AB41" s="1">
        <f t="shared" si="4"/>
        <v>1</v>
      </c>
      <c r="AC41" s="1">
        <f t="shared" si="5"/>
        <v>1</v>
      </c>
      <c r="AD41" s="1">
        <f t="shared" si="6"/>
        <v>0</v>
      </c>
      <c r="AE41" s="1">
        <f t="shared" si="7"/>
        <v>0</v>
      </c>
      <c r="AF41" s="1">
        <f t="shared" si="8"/>
        <v>1</v>
      </c>
      <c r="AG41" s="1">
        <f t="shared" si="9"/>
        <v>1</v>
      </c>
      <c r="AH41" s="1">
        <f t="shared" si="10"/>
        <v>1</v>
      </c>
      <c r="AI41" s="1">
        <f t="shared" si="11"/>
        <v>1</v>
      </c>
      <c r="AJ41" s="1">
        <f>SUMXMY2(Z41:AI41, Occurrence!B$3:K$3)</f>
        <v>2</v>
      </c>
      <c r="AK41" s="1">
        <f t="shared" si="12"/>
        <v>8</v>
      </c>
    </row>
    <row r="42" spans="1:37">
      <c r="A42" s="1">
        <v>41</v>
      </c>
      <c r="B42" s="1">
        <v>4252040</v>
      </c>
      <c r="C42" s="6">
        <v>801</v>
      </c>
      <c r="D42" s="1">
        <v>0.50009999999999999</v>
      </c>
      <c r="E42" s="1">
        <v>0.6028</v>
      </c>
      <c r="F42" s="1">
        <v>0.49990000000000001</v>
      </c>
      <c r="G42" s="1">
        <v>0.3972</v>
      </c>
      <c r="H42" s="1">
        <v>0.5</v>
      </c>
      <c r="I42" s="1">
        <v>0.9</v>
      </c>
      <c r="J42" s="1">
        <v>4.9000000000000002E-2</v>
      </c>
      <c r="K42" s="1">
        <v>0.17019999999999999</v>
      </c>
      <c r="L42" s="1">
        <v>0.1</v>
      </c>
      <c r="M42" s="1">
        <v>0.8</v>
      </c>
      <c r="N42" s="1">
        <f>(Occurrence!B$3-D42)^2</f>
        <v>0.25010000999999998</v>
      </c>
      <c r="O42" s="1">
        <f>(Occurrence!C$3-E42)^2</f>
        <v>0.36336784</v>
      </c>
      <c r="P42" s="1">
        <f>(Occurrence!D$3-F42)^2</f>
        <v>0.25010000999999998</v>
      </c>
      <c r="Q42" s="1">
        <f>(Occurrence!E$3-G42)^2</f>
        <v>0.36336784</v>
      </c>
      <c r="R42" s="1">
        <f>(Occurrence!F$3-H42)^2</f>
        <v>0.25</v>
      </c>
      <c r="S42" s="1">
        <f>(Occurrence!G$3-I42)^2</f>
        <v>0.81</v>
      </c>
      <c r="T42" s="1">
        <f>(Occurrence!H$3-J42)^2</f>
        <v>0.9044009999999999</v>
      </c>
      <c r="U42" s="1">
        <f>(Occurrence!I$3-K42)^2</f>
        <v>0.68856803999999994</v>
      </c>
      <c r="V42" s="1">
        <f>(Occurrence!J$3-L42)^2</f>
        <v>1.0000000000000002E-2</v>
      </c>
      <c r="W42" s="1">
        <f>(Occurrence!K$3-M42)^2</f>
        <v>3.999999999999998E-2</v>
      </c>
      <c r="X42" s="1">
        <f t="shared" si="1"/>
        <v>3.9299047399999996</v>
      </c>
      <c r="Z42" s="1">
        <f t="shared" si="2"/>
        <v>1</v>
      </c>
      <c r="AA42" s="1">
        <f t="shared" si="3"/>
        <v>1</v>
      </c>
      <c r="AB42" s="1">
        <f t="shared" si="4"/>
        <v>0</v>
      </c>
      <c r="AC42" s="1">
        <f t="shared" si="5"/>
        <v>0</v>
      </c>
      <c r="AD42" s="1">
        <f t="shared" si="6"/>
        <v>1</v>
      </c>
      <c r="AE42" s="1">
        <f t="shared" si="7"/>
        <v>1</v>
      </c>
      <c r="AF42" s="1">
        <f t="shared" si="8"/>
        <v>0</v>
      </c>
      <c r="AG42" s="1">
        <f t="shared" si="9"/>
        <v>0</v>
      </c>
      <c r="AH42" s="1">
        <f t="shared" si="10"/>
        <v>0</v>
      </c>
      <c r="AI42" s="1">
        <f t="shared" si="11"/>
        <v>1</v>
      </c>
      <c r="AJ42" s="1">
        <f>SUMXMY2(Z42:AI42, Occurrence!B$3:K$3)</f>
        <v>8</v>
      </c>
      <c r="AK42" s="1">
        <f t="shared" si="12"/>
        <v>2</v>
      </c>
    </row>
    <row r="43" spans="1:37">
      <c r="A43" s="1">
        <v>42</v>
      </c>
      <c r="B43" s="1">
        <v>4252041</v>
      </c>
      <c r="C43" s="6">
        <v>801</v>
      </c>
      <c r="D43" s="1">
        <v>0.40889999999999999</v>
      </c>
      <c r="E43" s="1">
        <v>0.5</v>
      </c>
      <c r="F43" s="1">
        <v>0.34</v>
      </c>
      <c r="G43" s="1">
        <v>7.0000000000000007E-2</v>
      </c>
      <c r="H43" s="1">
        <v>0.56000000000000005</v>
      </c>
      <c r="I43" s="1">
        <v>7.0000000000000007E-2</v>
      </c>
      <c r="J43" s="1">
        <v>0.89</v>
      </c>
      <c r="K43" s="1">
        <v>0.55000000000000004</v>
      </c>
      <c r="L43" s="1">
        <v>0.46</v>
      </c>
      <c r="M43" s="1">
        <v>0.17</v>
      </c>
      <c r="N43" s="1">
        <f>(Occurrence!B$3-D43)^2</f>
        <v>0.16719920999999999</v>
      </c>
      <c r="O43" s="1">
        <f>(Occurrence!C$3-E43)^2</f>
        <v>0.25</v>
      </c>
      <c r="P43" s="1">
        <f>(Occurrence!D$3-F43)^2</f>
        <v>0.43559999999999988</v>
      </c>
      <c r="Q43" s="1">
        <f>(Occurrence!E$3-G43)^2</f>
        <v>0.86489999999999989</v>
      </c>
      <c r="R43" s="1">
        <f>(Occurrence!F$3-H43)^2</f>
        <v>0.31360000000000005</v>
      </c>
      <c r="S43" s="1">
        <f>(Occurrence!G$3-I43)^2</f>
        <v>4.9000000000000007E-3</v>
      </c>
      <c r="T43" s="1">
        <f>(Occurrence!H$3-J43)^2</f>
        <v>1.2099999999999998E-2</v>
      </c>
      <c r="U43" s="1">
        <f>(Occurrence!I$3-K43)^2</f>
        <v>0.20249999999999996</v>
      </c>
      <c r="V43" s="1">
        <f>(Occurrence!J$3-L43)^2</f>
        <v>0.21160000000000001</v>
      </c>
      <c r="W43" s="1">
        <f>(Occurrence!K$3-M43)^2</f>
        <v>0.68889999999999996</v>
      </c>
      <c r="X43" s="1">
        <f t="shared" si="1"/>
        <v>3.1512992099999999</v>
      </c>
      <c r="Z43" s="1">
        <f t="shared" si="2"/>
        <v>0</v>
      </c>
      <c r="AA43" s="1">
        <f t="shared" si="3"/>
        <v>1</v>
      </c>
      <c r="AB43" s="1">
        <f t="shared" si="4"/>
        <v>0</v>
      </c>
      <c r="AC43" s="1">
        <f t="shared" si="5"/>
        <v>0</v>
      </c>
      <c r="AD43" s="1">
        <f t="shared" si="6"/>
        <v>1</v>
      </c>
      <c r="AE43" s="1">
        <f t="shared" si="7"/>
        <v>0</v>
      </c>
      <c r="AF43" s="1">
        <f t="shared" si="8"/>
        <v>1</v>
      </c>
      <c r="AG43" s="1">
        <f t="shared" si="9"/>
        <v>1</v>
      </c>
      <c r="AH43" s="1">
        <f t="shared" si="10"/>
        <v>0</v>
      </c>
      <c r="AI43" s="1">
        <f t="shared" si="11"/>
        <v>0</v>
      </c>
      <c r="AJ43" s="1">
        <f>SUMXMY2(Z43:AI43, Occurrence!B$3:K$3)</f>
        <v>5</v>
      </c>
      <c r="AK43" s="1">
        <f t="shared" si="12"/>
        <v>5</v>
      </c>
    </row>
    <row r="44" spans="1:37">
      <c r="A44" s="1">
        <v>43</v>
      </c>
      <c r="B44" s="1">
        <v>4252042</v>
      </c>
      <c r="C44" s="6">
        <v>802</v>
      </c>
      <c r="D44" s="1">
        <v>0.2</v>
      </c>
      <c r="E44" s="1">
        <v>0.27</v>
      </c>
      <c r="F44" s="1">
        <v>0.48</v>
      </c>
      <c r="G44" s="1">
        <v>0.67</v>
      </c>
      <c r="H44" s="1">
        <v>0.32</v>
      </c>
      <c r="I44" s="1">
        <v>0.15</v>
      </c>
      <c r="J44" s="1">
        <v>0.999</v>
      </c>
      <c r="K44" s="1">
        <v>0.96</v>
      </c>
      <c r="L44" s="1">
        <v>0.8</v>
      </c>
      <c r="M44" s="1">
        <v>0.9</v>
      </c>
      <c r="N44" s="1">
        <f>(Occurrence!B$3-D44)^2</f>
        <v>4.0000000000000008E-2</v>
      </c>
      <c r="O44" s="1">
        <f>(Occurrence!C$3-E44)^2</f>
        <v>7.2900000000000006E-2</v>
      </c>
      <c r="P44" s="1">
        <f>(Occurrence!D$3-F44)^2</f>
        <v>0.27040000000000003</v>
      </c>
      <c r="Q44" s="1">
        <f>(Occurrence!E$3-G44)^2</f>
        <v>0.10889999999999997</v>
      </c>
      <c r="R44" s="1">
        <f>(Occurrence!F$3-H44)^2</f>
        <v>0.1024</v>
      </c>
      <c r="S44" s="1">
        <f>(Occurrence!G$3-I44)^2</f>
        <v>2.2499999999999999E-2</v>
      </c>
      <c r="T44" s="1">
        <f>(Occurrence!H$3-J44)^2</f>
        <v>1.0000000000000019E-6</v>
      </c>
      <c r="U44" s="1">
        <f>(Occurrence!I$3-K44)^2</f>
        <v>1.6000000000000029E-3</v>
      </c>
      <c r="V44" s="1">
        <f>(Occurrence!J$3-L44)^2</f>
        <v>0.64000000000000012</v>
      </c>
      <c r="W44" s="1">
        <f>(Occurrence!K$3-M44)^2</f>
        <v>9.999999999999995E-3</v>
      </c>
      <c r="X44" s="1">
        <f t="shared" si="1"/>
        <v>1.2687010000000003</v>
      </c>
      <c r="Z44" s="1">
        <f t="shared" si="2"/>
        <v>0</v>
      </c>
      <c r="AA44" s="1">
        <f t="shared" si="3"/>
        <v>0</v>
      </c>
      <c r="AB44" s="1">
        <f t="shared" si="4"/>
        <v>0</v>
      </c>
      <c r="AC44" s="1">
        <f t="shared" si="5"/>
        <v>1</v>
      </c>
      <c r="AD44" s="1">
        <f t="shared" si="6"/>
        <v>0</v>
      </c>
      <c r="AE44" s="1">
        <f t="shared" si="7"/>
        <v>0</v>
      </c>
      <c r="AF44" s="1">
        <f t="shared" si="8"/>
        <v>1</v>
      </c>
      <c r="AG44" s="1">
        <f t="shared" si="9"/>
        <v>1</v>
      </c>
      <c r="AH44" s="1">
        <f t="shared" si="10"/>
        <v>1</v>
      </c>
      <c r="AI44" s="1">
        <f t="shared" si="11"/>
        <v>1</v>
      </c>
      <c r="AJ44" s="1">
        <f>SUMXMY2(Z44:AI44, Occurrence!B$3:K$3)</f>
        <v>2</v>
      </c>
      <c r="AK44" s="1">
        <f t="shared" si="12"/>
        <v>8</v>
      </c>
    </row>
    <row r="45" spans="1:37">
      <c r="A45" s="1">
        <v>44</v>
      </c>
      <c r="B45" s="1">
        <v>4252043</v>
      </c>
      <c r="C45" s="6">
        <v>802</v>
      </c>
      <c r="D45" s="1">
        <v>0.17449999999999999</v>
      </c>
      <c r="E45" s="1">
        <v>3.49E-2</v>
      </c>
      <c r="F45" s="1">
        <v>1.745E-2</v>
      </c>
      <c r="G45" s="1">
        <v>3.49E-3</v>
      </c>
      <c r="H45" s="1">
        <v>0.15705</v>
      </c>
      <c r="I45" s="1">
        <v>0.91149999999999998</v>
      </c>
      <c r="J45" s="1">
        <v>5.3800000000000001E-2</v>
      </c>
      <c r="K45" s="1">
        <v>0.37680000000000002</v>
      </c>
      <c r="L45" s="1">
        <v>0.67520000000000002</v>
      </c>
      <c r="M45" s="1">
        <v>0.1598</v>
      </c>
      <c r="N45" s="1">
        <f>(Occurrence!B$3-D45)^2</f>
        <v>3.0450249999999995E-2</v>
      </c>
      <c r="O45" s="1">
        <f>(Occurrence!C$3-E45)^2</f>
        <v>1.2180100000000001E-3</v>
      </c>
      <c r="P45" s="1">
        <f>(Occurrence!D$3-F45)^2</f>
        <v>0.96540450250000009</v>
      </c>
      <c r="Q45" s="1">
        <f>(Occurrence!E$3-G45)^2</f>
        <v>0.99303218010000005</v>
      </c>
      <c r="R45" s="1">
        <f>(Occurrence!F$3-H45)^2</f>
        <v>2.46647025E-2</v>
      </c>
      <c r="S45" s="1">
        <f>(Occurrence!G$3-I45)^2</f>
        <v>0.83083224999999994</v>
      </c>
      <c r="T45" s="1">
        <f>(Occurrence!H$3-J45)^2</f>
        <v>0.89529444000000002</v>
      </c>
      <c r="U45" s="1">
        <f>(Occurrence!I$3-K45)^2</f>
        <v>0.38837823999999999</v>
      </c>
      <c r="V45" s="1">
        <f>(Occurrence!J$3-L45)^2</f>
        <v>0.45589504000000003</v>
      </c>
      <c r="W45" s="1">
        <f>(Occurrence!K$3-M45)^2</f>
        <v>0.7059360400000001</v>
      </c>
      <c r="X45" s="1">
        <f t="shared" si="1"/>
        <v>5.2911056551</v>
      </c>
      <c r="Z45" s="1">
        <f t="shared" si="2"/>
        <v>0</v>
      </c>
      <c r="AA45" s="1">
        <f t="shared" si="3"/>
        <v>0</v>
      </c>
      <c r="AB45" s="1">
        <f t="shared" si="4"/>
        <v>0</v>
      </c>
      <c r="AC45" s="1">
        <f t="shared" si="5"/>
        <v>0</v>
      </c>
      <c r="AD45" s="1">
        <f t="shared" si="6"/>
        <v>0</v>
      </c>
      <c r="AE45" s="1">
        <f t="shared" si="7"/>
        <v>1</v>
      </c>
      <c r="AF45" s="1">
        <f t="shared" si="8"/>
        <v>0</v>
      </c>
      <c r="AG45" s="1">
        <f t="shared" si="9"/>
        <v>0</v>
      </c>
      <c r="AH45" s="1">
        <f t="shared" si="10"/>
        <v>1</v>
      </c>
      <c r="AI45" s="1">
        <f t="shared" si="11"/>
        <v>0</v>
      </c>
      <c r="AJ45" s="1">
        <f>SUMXMY2(Z45:AI45, Occurrence!B$3:K$3)</f>
        <v>7</v>
      </c>
      <c r="AK45" s="1">
        <f t="shared" si="12"/>
        <v>3</v>
      </c>
    </row>
    <row r="46" spans="1:37">
      <c r="A46" s="1">
        <v>45</v>
      </c>
      <c r="B46" s="1">
        <v>4252044</v>
      </c>
      <c r="C46" s="6">
        <v>802</v>
      </c>
      <c r="D46" s="1">
        <v>0.26</v>
      </c>
      <c r="E46" s="1">
        <v>4.4999999999999998E-2</v>
      </c>
      <c r="F46" s="1">
        <v>1.4999999999999999E-2</v>
      </c>
      <c r="G46" s="1">
        <v>6.4000000000000001E-2</v>
      </c>
      <c r="H46" s="1">
        <v>1.4E-2</v>
      </c>
      <c r="I46" s="1">
        <v>0.6</v>
      </c>
      <c r="J46" s="1">
        <v>0.54</v>
      </c>
      <c r="K46" s="1">
        <v>0.67</v>
      </c>
      <c r="L46" s="1">
        <v>6.0000000000000001E-3</v>
      </c>
      <c r="M46" s="1">
        <v>5.6000000000000001E-2</v>
      </c>
      <c r="N46" s="1">
        <f>(Occurrence!B$3-D46)^2</f>
        <v>6.7600000000000007E-2</v>
      </c>
      <c r="O46" s="1">
        <f>(Occurrence!C$3-E46)^2</f>
        <v>2.0249999999999999E-3</v>
      </c>
      <c r="P46" s="1">
        <f>(Occurrence!D$3-F46)^2</f>
        <v>0.970225</v>
      </c>
      <c r="Q46" s="1">
        <f>(Occurrence!E$3-G46)^2</f>
        <v>0.87609599999999987</v>
      </c>
      <c r="R46" s="1">
        <f>(Occurrence!F$3-H46)^2</f>
        <v>1.9600000000000002E-4</v>
      </c>
      <c r="S46" s="1">
        <f>(Occurrence!G$3-I46)^2</f>
        <v>0.36</v>
      </c>
      <c r="T46" s="1">
        <f>(Occurrence!H$3-J46)^2</f>
        <v>0.21159999999999995</v>
      </c>
      <c r="U46" s="1">
        <f>(Occurrence!I$3-K46)^2</f>
        <v>0.10889999999999997</v>
      </c>
      <c r="V46" s="1">
        <f>(Occurrence!J$3-L46)^2</f>
        <v>3.6000000000000001E-5</v>
      </c>
      <c r="W46" s="1">
        <f>(Occurrence!K$3-M46)^2</f>
        <v>0.89113599999999993</v>
      </c>
      <c r="X46" s="1">
        <f t="shared" si="1"/>
        <v>3.4878139999999997</v>
      </c>
      <c r="Z46" s="1">
        <f t="shared" si="2"/>
        <v>0</v>
      </c>
      <c r="AA46" s="1">
        <f t="shared" si="3"/>
        <v>0</v>
      </c>
      <c r="AB46" s="1">
        <f t="shared" si="4"/>
        <v>0</v>
      </c>
      <c r="AC46" s="1">
        <f t="shared" si="5"/>
        <v>0</v>
      </c>
      <c r="AD46" s="1">
        <f t="shared" si="6"/>
        <v>0</v>
      </c>
      <c r="AE46" s="1">
        <f t="shared" si="7"/>
        <v>1</v>
      </c>
      <c r="AF46" s="1">
        <f t="shared" si="8"/>
        <v>1</v>
      </c>
      <c r="AG46" s="1">
        <f t="shared" si="9"/>
        <v>1</v>
      </c>
      <c r="AH46" s="1">
        <f t="shared" si="10"/>
        <v>0</v>
      </c>
      <c r="AI46" s="1">
        <f t="shared" si="11"/>
        <v>0</v>
      </c>
      <c r="AJ46" s="1">
        <f>SUMXMY2(Z46:AI46, Occurrence!B$3:K$3)</f>
        <v>4</v>
      </c>
      <c r="AK46" s="1">
        <f t="shared" si="12"/>
        <v>6</v>
      </c>
    </row>
    <row r="47" spans="1:37">
      <c r="A47" s="1">
        <v>46</v>
      </c>
      <c r="B47" s="1">
        <v>4252045</v>
      </c>
      <c r="C47" s="6">
        <v>802</v>
      </c>
      <c r="D47" s="1">
        <v>6.3200000000000006E-2</v>
      </c>
      <c r="E47" s="1">
        <v>0.86960000000000004</v>
      </c>
      <c r="F47" s="1">
        <v>0.747</v>
      </c>
      <c r="G47" s="1">
        <v>0.85770000000000002</v>
      </c>
      <c r="H47" s="1">
        <v>0.73309999999999997</v>
      </c>
      <c r="I47" s="1">
        <v>0.68389999999999995</v>
      </c>
      <c r="J47" s="1">
        <v>0.57879999999999998</v>
      </c>
      <c r="K47" s="1">
        <v>0.2238</v>
      </c>
      <c r="L47" s="1">
        <v>0.64729999999999999</v>
      </c>
      <c r="M47" s="1">
        <v>0.31109999999999999</v>
      </c>
      <c r="N47" s="1">
        <f>(Occurrence!B$3-D47)^2</f>
        <v>3.9942400000000005E-3</v>
      </c>
      <c r="O47" s="1">
        <f>(Occurrence!C$3-E47)^2</f>
        <v>0.75620416000000001</v>
      </c>
      <c r="P47" s="1">
        <f>(Occurrence!D$3-F47)^2</f>
        <v>6.4008999999999996E-2</v>
      </c>
      <c r="Q47" s="1">
        <f>(Occurrence!E$3-G47)^2</f>
        <v>2.0249289999999996E-2</v>
      </c>
      <c r="R47" s="1">
        <f>(Occurrence!F$3-H47)^2</f>
        <v>0.53743560999999995</v>
      </c>
      <c r="S47" s="1">
        <f>(Occurrence!G$3-I47)^2</f>
        <v>0.46771920999999994</v>
      </c>
      <c r="T47" s="1">
        <f>(Occurrence!H$3-J47)^2</f>
        <v>0.17740944000000003</v>
      </c>
      <c r="U47" s="1">
        <f>(Occurrence!I$3-K47)^2</f>
        <v>0.60248643999999996</v>
      </c>
      <c r="V47" s="1">
        <f>(Occurrence!J$3-L47)^2</f>
        <v>0.41899728999999997</v>
      </c>
      <c r="W47" s="1">
        <f>(Occurrence!K$3-M47)^2</f>
        <v>0.47458321000000009</v>
      </c>
      <c r="X47" s="1">
        <f t="shared" si="1"/>
        <v>3.5230878899999998</v>
      </c>
      <c r="Z47" s="1">
        <f t="shared" si="2"/>
        <v>0</v>
      </c>
      <c r="AA47" s="1">
        <f t="shared" si="3"/>
        <v>1</v>
      </c>
      <c r="AB47" s="1">
        <f t="shared" si="4"/>
        <v>1</v>
      </c>
      <c r="AC47" s="1">
        <f t="shared" si="5"/>
        <v>1</v>
      </c>
      <c r="AD47" s="1">
        <f t="shared" si="6"/>
        <v>1</v>
      </c>
      <c r="AE47" s="1">
        <f t="shared" si="7"/>
        <v>1</v>
      </c>
      <c r="AF47" s="1">
        <f t="shared" si="8"/>
        <v>1</v>
      </c>
      <c r="AG47" s="1">
        <f t="shared" si="9"/>
        <v>0</v>
      </c>
      <c r="AH47" s="1">
        <f t="shared" si="10"/>
        <v>1</v>
      </c>
      <c r="AI47" s="1">
        <f t="shared" si="11"/>
        <v>0</v>
      </c>
      <c r="AJ47" s="1">
        <f>SUMXMY2(Z47:AI47, Occurrence!B$3:K$3)</f>
        <v>6</v>
      </c>
      <c r="AK47" s="1">
        <f t="shared" si="12"/>
        <v>4</v>
      </c>
    </row>
    <row r="48" spans="1:37">
      <c r="A48" s="1">
        <v>47</v>
      </c>
      <c r="B48" s="1">
        <v>4252046</v>
      </c>
      <c r="C48" s="6">
        <v>802</v>
      </c>
      <c r="D48" s="1">
        <v>0.48</v>
      </c>
      <c r="E48" s="1">
        <v>0.23</v>
      </c>
      <c r="F48" s="1">
        <v>0.52</v>
      </c>
      <c r="G48" s="1">
        <v>0.77</v>
      </c>
      <c r="H48" s="1">
        <v>1</v>
      </c>
      <c r="I48" s="1">
        <v>0.67</v>
      </c>
      <c r="J48" s="1">
        <v>0.43</v>
      </c>
      <c r="K48" s="1">
        <v>0.67</v>
      </c>
      <c r="L48" s="1">
        <v>0.54</v>
      </c>
      <c r="M48" s="1">
        <v>0.33</v>
      </c>
      <c r="N48" s="1">
        <f>(Occurrence!B$3-D48)^2</f>
        <v>0.23039999999999999</v>
      </c>
      <c r="O48" s="1">
        <f>(Occurrence!C$3-E48)^2</f>
        <v>5.2900000000000003E-2</v>
      </c>
      <c r="P48" s="1">
        <f>(Occurrence!D$3-F48)^2</f>
        <v>0.23039999999999999</v>
      </c>
      <c r="Q48" s="1">
        <f>(Occurrence!E$3-G48)^2</f>
        <v>5.2899999999999989E-2</v>
      </c>
      <c r="R48" s="1">
        <f>(Occurrence!F$3-H48)^2</f>
        <v>1</v>
      </c>
      <c r="S48" s="1">
        <f>(Occurrence!G$3-I48)^2</f>
        <v>0.44890000000000008</v>
      </c>
      <c r="T48" s="1">
        <f>(Occurrence!H$3-J48)^2</f>
        <v>0.32490000000000008</v>
      </c>
      <c r="U48" s="1">
        <f>(Occurrence!I$3-K48)^2</f>
        <v>0.10889999999999997</v>
      </c>
      <c r="V48" s="1">
        <f>(Occurrence!J$3-L48)^2</f>
        <v>0.29160000000000003</v>
      </c>
      <c r="W48" s="1">
        <f>(Occurrence!K$3-M48)^2</f>
        <v>0.44889999999999991</v>
      </c>
      <c r="X48" s="1">
        <f t="shared" si="1"/>
        <v>3.1898</v>
      </c>
      <c r="Z48" s="1">
        <f t="shared" si="2"/>
        <v>0</v>
      </c>
      <c r="AA48" s="1">
        <f t="shared" si="3"/>
        <v>0</v>
      </c>
      <c r="AB48" s="1">
        <f t="shared" si="4"/>
        <v>1</v>
      </c>
      <c r="AC48" s="1">
        <f t="shared" si="5"/>
        <v>1</v>
      </c>
      <c r="AD48" s="1">
        <f t="shared" si="6"/>
        <v>1</v>
      </c>
      <c r="AE48" s="1">
        <f t="shared" si="7"/>
        <v>1</v>
      </c>
      <c r="AF48" s="1">
        <f t="shared" si="8"/>
        <v>0</v>
      </c>
      <c r="AG48" s="1">
        <f t="shared" si="9"/>
        <v>1</v>
      </c>
      <c r="AH48" s="1">
        <f t="shared" si="10"/>
        <v>1</v>
      </c>
      <c r="AI48" s="1">
        <f t="shared" si="11"/>
        <v>0</v>
      </c>
      <c r="AJ48" s="1">
        <f>SUMXMY2(Z48:AI48, Occurrence!B$3:K$3)</f>
        <v>5</v>
      </c>
      <c r="AK48" s="1">
        <f t="shared" si="12"/>
        <v>5</v>
      </c>
    </row>
    <row r="49" spans="1:37">
      <c r="A49" s="1">
        <v>48</v>
      </c>
      <c r="B49" s="1">
        <v>4252047</v>
      </c>
      <c r="C49" s="6">
        <v>802</v>
      </c>
      <c r="D49" s="1">
        <v>0.15</v>
      </c>
      <c r="E49" s="1">
        <v>0.2</v>
      </c>
      <c r="F49" s="1">
        <v>0.5</v>
      </c>
      <c r="G49" s="1">
        <v>0.6</v>
      </c>
      <c r="H49" s="1">
        <v>0.35</v>
      </c>
      <c r="I49" s="1">
        <v>0.14000000000000001</v>
      </c>
      <c r="J49" s="1">
        <v>0.63</v>
      </c>
      <c r="K49" s="1">
        <v>0.72</v>
      </c>
      <c r="L49" s="1">
        <v>0.65</v>
      </c>
      <c r="M49" s="1">
        <v>0.68</v>
      </c>
      <c r="N49" s="1">
        <f>(Occurrence!B$3-D49)^2</f>
        <v>2.2499999999999999E-2</v>
      </c>
      <c r="O49" s="1">
        <f>(Occurrence!C$3-E49)^2</f>
        <v>4.0000000000000008E-2</v>
      </c>
      <c r="P49" s="1">
        <f>(Occurrence!D$3-F49)^2</f>
        <v>0.25</v>
      </c>
      <c r="Q49" s="1">
        <f>(Occurrence!E$3-G49)^2</f>
        <v>0.16000000000000003</v>
      </c>
      <c r="R49" s="1">
        <f>(Occurrence!F$3-H49)^2</f>
        <v>0.12249999999999998</v>
      </c>
      <c r="S49" s="1">
        <f>(Occurrence!G$3-I49)^2</f>
        <v>1.9600000000000003E-2</v>
      </c>
      <c r="T49" s="1">
        <f>(Occurrence!H$3-J49)^2</f>
        <v>0.13689999999999999</v>
      </c>
      <c r="U49" s="1">
        <f>(Occurrence!I$3-K49)^2</f>
        <v>7.8400000000000011E-2</v>
      </c>
      <c r="V49" s="1">
        <f>(Occurrence!J$3-L49)^2</f>
        <v>0.42250000000000004</v>
      </c>
      <c r="W49" s="1">
        <f>(Occurrence!K$3-M49)^2</f>
        <v>0.10239999999999996</v>
      </c>
      <c r="X49" s="1">
        <f t="shared" si="1"/>
        <v>1.3548</v>
      </c>
      <c r="Z49" s="1">
        <f t="shared" si="2"/>
        <v>0</v>
      </c>
      <c r="AA49" s="1">
        <f t="shared" si="3"/>
        <v>0</v>
      </c>
      <c r="AB49" s="1">
        <f t="shared" si="4"/>
        <v>1</v>
      </c>
      <c r="AC49" s="1">
        <f t="shared" si="5"/>
        <v>1</v>
      </c>
      <c r="AD49" s="1">
        <f t="shared" si="6"/>
        <v>0</v>
      </c>
      <c r="AE49" s="1">
        <f t="shared" si="7"/>
        <v>0</v>
      </c>
      <c r="AF49" s="1">
        <f t="shared" si="8"/>
        <v>1</v>
      </c>
      <c r="AG49" s="1">
        <f t="shared" si="9"/>
        <v>1</v>
      </c>
      <c r="AH49" s="1">
        <f t="shared" si="10"/>
        <v>1</v>
      </c>
      <c r="AI49" s="1">
        <f t="shared" si="11"/>
        <v>1</v>
      </c>
      <c r="AJ49" s="1">
        <f>SUMXMY2(Z49:AI49, Occurrence!B$3:K$3)</f>
        <v>1</v>
      </c>
      <c r="AK49" s="1">
        <f t="shared" si="12"/>
        <v>9</v>
      </c>
    </row>
    <row r="50" spans="1:37">
      <c r="A50" s="1">
        <v>49</v>
      </c>
      <c r="B50" s="1">
        <v>4252048</v>
      </c>
      <c r="C50" s="6">
        <v>802</v>
      </c>
      <c r="D50" s="1">
        <v>0.25969999999999999</v>
      </c>
      <c r="E50" s="1">
        <v>0.44140000000000001</v>
      </c>
      <c r="F50" s="1">
        <v>0.44750000000000001</v>
      </c>
      <c r="G50" s="1">
        <v>0.58560000000000001</v>
      </c>
      <c r="H50" s="1">
        <v>0.70720000000000005</v>
      </c>
      <c r="I50" s="1">
        <v>0</v>
      </c>
      <c r="J50" s="1">
        <v>1</v>
      </c>
      <c r="K50" s="1">
        <v>1</v>
      </c>
      <c r="L50" s="1">
        <v>0.25</v>
      </c>
      <c r="M50" s="1">
        <v>1</v>
      </c>
      <c r="N50" s="1">
        <f>(Occurrence!B$3-D50)^2</f>
        <v>6.7444089999999998E-2</v>
      </c>
      <c r="O50" s="1">
        <f>(Occurrence!C$3-E50)^2</f>
        <v>0.19483396</v>
      </c>
      <c r="P50" s="1">
        <f>(Occurrence!D$3-F50)^2</f>
        <v>0.30525625000000001</v>
      </c>
      <c r="Q50" s="1">
        <f>(Occurrence!E$3-G50)^2</f>
        <v>0.17172736</v>
      </c>
      <c r="R50" s="1">
        <f>(Occurrence!F$3-H50)^2</f>
        <v>0.50013184000000011</v>
      </c>
      <c r="S50" s="1">
        <f>(Occurrence!G$3-I50)^2</f>
        <v>0</v>
      </c>
      <c r="T50" s="1">
        <f>(Occurrence!H$3-J50)^2</f>
        <v>0</v>
      </c>
      <c r="U50" s="1">
        <f>(Occurrence!I$3-K50)^2</f>
        <v>0</v>
      </c>
      <c r="V50" s="1">
        <f>(Occurrence!J$3-L50)^2</f>
        <v>6.25E-2</v>
      </c>
      <c r="W50" s="1">
        <f>(Occurrence!K$3-M50)^2</f>
        <v>0</v>
      </c>
      <c r="X50" s="1">
        <f t="shared" si="1"/>
        <v>1.3018935</v>
      </c>
      <c r="Z50" s="1">
        <f t="shared" si="2"/>
        <v>0</v>
      </c>
      <c r="AA50" s="1">
        <f t="shared" si="3"/>
        <v>0</v>
      </c>
      <c r="AB50" s="1">
        <f t="shared" si="4"/>
        <v>0</v>
      </c>
      <c r="AC50" s="1">
        <f t="shared" si="5"/>
        <v>1</v>
      </c>
      <c r="AD50" s="1">
        <f t="shared" si="6"/>
        <v>1</v>
      </c>
      <c r="AE50" s="1">
        <f t="shared" si="7"/>
        <v>0</v>
      </c>
      <c r="AF50" s="1">
        <f t="shared" si="8"/>
        <v>1</v>
      </c>
      <c r="AG50" s="1">
        <f t="shared" si="9"/>
        <v>1</v>
      </c>
      <c r="AH50" s="1">
        <f t="shared" si="10"/>
        <v>0</v>
      </c>
      <c r="AI50" s="1">
        <f t="shared" si="11"/>
        <v>1</v>
      </c>
      <c r="AJ50" s="1">
        <f>SUMXMY2(Z50:AI50, Occurrence!B$3:K$3)</f>
        <v>2</v>
      </c>
      <c r="AK50" s="1">
        <f t="shared" si="12"/>
        <v>8</v>
      </c>
    </row>
    <row r="51" spans="1:37">
      <c r="A51" s="1">
        <v>50</v>
      </c>
      <c r="B51" s="1">
        <v>4252049</v>
      </c>
      <c r="C51" s="6">
        <v>802</v>
      </c>
      <c r="D51" s="1">
        <v>0</v>
      </c>
      <c r="E51" s="1">
        <v>0</v>
      </c>
      <c r="F51" s="1">
        <v>0.98409999999999997</v>
      </c>
      <c r="G51" s="1">
        <v>0.98939999999999995</v>
      </c>
      <c r="H51" s="1">
        <v>1.5900000000000001E-2</v>
      </c>
      <c r="I51" s="1">
        <v>0.33329999999999999</v>
      </c>
      <c r="J51" s="1">
        <v>0</v>
      </c>
      <c r="K51" s="1">
        <v>0.95</v>
      </c>
      <c r="L51" s="1">
        <v>0.25</v>
      </c>
      <c r="M51" s="1">
        <v>0.8</v>
      </c>
      <c r="N51" s="1">
        <f>(Occurrence!B$3-D51)^2</f>
        <v>0</v>
      </c>
      <c r="O51" s="1">
        <f>(Occurrence!C$3-E51)^2</f>
        <v>0</v>
      </c>
      <c r="P51" s="1">
        <f>(Occurrence!D$3-F51)^2</f>
        <v>2.5281000000000083E-4</v>
      </c>
      <c r="Q51" s="1">
        <f>(Occurrence!E$3-G51)^2</f>
        <v>1.1236000000000114E-4</v>
      </c>
      <c r="R51" s="1">
        <f>(Occurrence!F$3-H51)^2</f>
        <v>2.5281000000000001E-4</v>
      </c>
      <c r="S51" s="1">
        <f>(Occurrence!G$3-I51)^2</f>
        <v>0.11108889</v>
      </c>
      <c r="T51" s="1">
        <f>(Occurrence!H$3-J51)^2</f>
        <v>1</v>
      </c>
      <c r="U51" s="1">
        <f>(Occurrence!I$3-K51)^2</f>
        <v>2.5000000000000044E-3</v>
      </c>
      <c r="V51" s="1">
        <f>(Occurrence!J$3-L51)^2</f>
        <v>6.25E-2</v>
      </c>
      <c r="W51" s="1">
        <f>(Occurrence!K$3-M51)^2</f>
        <v>3.999999999999998E-2</v>
      </c>
      <c r="X51" s="1">
        <f t="shared" si="1"/>
        <v>1.2167068699999999</v>
      </c>
      <c r="Z51" s="1">
        <f t="shared" si="2"/>
        <v>0</v>
      </c>
      <c r="AA51" s="1">
        <f t="shared" si="3"/>
        <v>0</v>
      </c>
      <c r="AB51" s="1">
        <f t="shared" si="4"/>
        <v>1</v>
      </c>
      <c r="AC51" s="1">
        <f t="shared" si="5"/>
        <v>1</v>
      </c>
      <c r="AD51" s="1">
        <f t="shared" si="6"/>
        <v>0</v>
      </c>
      <c r="AE51" s="1">
        <f t="shared" si="7"/>
        <v>0</v>
      </c>
      <c r="AF51" s="1">
        <f t="shared" si="8"/>
        <v>0</v>
      </c>
      <c r="AG51" s="1">
        <f t="shared" si="9"/>
        <v>1</v>
      </c>
      <c r="AH51" s="1">
        <f t="shared" si="10"/>
        <v>0</v>
      </c>
      <c r="AI51" s="1">
        <f t="shared" si="11"/>
        <v>1</v>
      </c>
      <c r="AJ51" s="1">
        <f>SUMXMY2(Z51:AI51, Occurrence!B$3:K$3)</f>
        <v>1</v>
      </c>
      <c r="AK51" s="1">
        <f t="shared" si="12"/>
        <v>9</v>
      </c>
    </row>
    <row r="52" spans="1:37">
      <c r="A52" s="1">
        <v>51</v>
      </c>
      <c r="B52" s="1">
        <v>4252050</v>
      </c>
      <c r="C52" s="6">
        <v>802</v>
      </c>
      <c r="D52" s="1">
        <v>0.30809999999999998</v>
      </c>
      <c r="E52" s="1">
        <v>0.26850000000000002</v>
      </c>
      <c r="F52" s="1">
        <v>0.72430000000000005</v>
      </c>
      <c r="G52" s="1">
        <v>0.76390000000000002</v>
      </c>
      <c r="H52" s="1">
        <v>1</v>
      </c>
      <c r="I52" s="1">
        <v>0.23</v>
      </c>
      <c r="J52" s="1">
        <v>0.9899</v>
      </c>
      <c r="K52" s="1">
        <v>0.9899</v>
      </c>
      <c r="L52" s="1">
        <v>3.4500000000000003E-2</v>
      </c>
      <c r="M52" s="1">
        <v>0.8276</v>
      </c>
      <c r="N52" s="1">
        <f>(Occurrence!B$3-D52)^2</f>
        <v>9.4925609999999994E-2</v>
      </c>
      <c r="O52" s="1">
        <f>(Occurrence!C$3-E52)^2</f>
        <v>7.209225000000001E-2</v>
      </c>
      <c r="P52" s="1">
        <f>(Occurrence!D$3-F52)^2</f>
        <v>7.6010489999999972E-2</v>
      </c>
      <c r="Q52" s="1">
        <f>(Occurrence!E$3-G52)^2</f>
        <v>5.5743209999999987E-2</v>
      </c>
      <c r="R52" s="1">
        <f>(Occurrence!F$3-H52)^2</f>
        <v>1</v>
      </c>
      <c r="S52" s="1">
        <f>(Occurrence!G$3-I52)^2</f>
        <v>5.2900000000000003E-2</v>
      </c>
      <c r="T52" s="1">
        <f>(Occurrence!H$3-J52)^2</f>
        <v>1.0200999999999995E-4</v>
      </c>
      <c r="U52" s="1">
        <f>(Occurrence!I$3-K52)^2</f>
        <v>1.0200999999999995E-4</v>
      </c>
      <c r="V52" s="1">
        <f>(Occurrence!J$3-L52)^2</f>
        <v>1.1902500000000001E-3</v>
      </c>
      <c r="W52" s="1">
        <f>(Occurrence!K$3-M52)^2</f>
        <v>2.972176E-2</v>
      </c>
      <c r="X52" s="1">
        <f t="shared" si="1"/>
        <v>1.38278759</v>
      </c>
      <c r="Z52" s="1">
        <f t="shared" si="2"/>
        <v>0</v>
      </c>
      <c r="AA52" s="1">
        <f t="shared" si="3"/>
        <v>0</v>
      </c>
      <c r="AB52" s="1">
        <f t="shared" si="4"/>
        <v>1</v>
      </c>
      <c r="AC52" s="1">
        <f t="shared" si="5"/>
        <v>1</v>
      </c>
      <c r="AD52" s="1">
        <f t="shared" si="6"/>
        <v>1</v>
      </c>
      <c r="AE52" s="1">
        <f t="shared" si="7"/>
        <v>0</v>
      </c>
      <c r="AF52" s="1">
        <f t="shared" si="8"/>
        <v>1</v>
      </c>
      <c r="AG52" s="1">
        <f t="shared" si="9"/>
        <v>1</v>
      </c>
      <c r="AH52" s="1">
        <f t="shared" si="10"/>
        <v>0</v>
      </c>
      <c r="AI52" s="1">
        <f t="shared" si="11"/>
        <v>1</v>
      </c>
      <c r="AJ52" s="1">
        <f>SUMXMY2(Z52:AI52, Occurrence!B$3:K$3)</f>
        <v>1</v>
      </c>
      <c r="AK52" s="1">
        <f t="shared" si="12"/>
        <v>9</v>
      </c>
    </row>
    <row r="53" spans="1:37">
      <c r="A53" s="1">
        <v>52</v>
      </c>
      <c r="B53" s="1">
        <v>4252051</v>
      </c>
      <c r="C53" s="6">
        <v>802</v>
      </c>
      <c r="D53" s="1">
        <v>1E-4</v>
      </c>
      <c r="E53" s="1">
        <v>1E-4</v>
      </c>
      <c r="F53" s="1">
        <v>0.98419999999999996</v>
      </c>
      <c r="G53" s="1">
        <v>0.98950000000000005</v>
      </c>
      <c r="H53" s="1">
        <v>0.98939999999999995</v>
      </c>
      <c r="I53" s="1">
        <v>0.92</v>
      </c>
      <c r="J53" s="1">
        <v>0.95</v>
      </c>
      <c r="K53" s="1">
        <v>0.9</v>
      </c>
      <c r="L53" s="1">
        <v>0.09</v>
      </c>
      <c r="M53" s="1">
        <v>0.85</v>
      </c>
      <c r="N53" s="1">
        <f>(Occurrence!B$3-D53)^2</f>
        <v>1E-8</v>
      </c>
      <c r="O53" s="1">
        <f>(Occurrence!C$3-E53)^2</f>
        <v>1E-8</v>
      </c>
      <c r="P53" s="1">
        <f>(Occurrence!D$3-F53)^2</f>
        <v>2.4964000000000117E-4</v>
      </c>
      <c r="Q53" s="1">
        <f>(Occurrence!E$3-G53)^2</f>
        <v>1.1024999999999903E-4</v>
      </c>
      <c r="R53" s="1">
        <f>(Occurrence!F$3-H53)^2</f>
        <v>0.97891235999999993</v>
      </c>
      <c r="S53" s="1">
        <f>(Occurrence!G$3-I53)^2</f>
        <v>0.84640000000000004</v>
      </c>
      <c r="T53" s="1">
        <f>(Occurrence!H$3-J53)^2</f>
        <v>2.5000000000000044E-3</v>
      </c>
      <c r="U53" s="1">
        <f>(Occurrence!I$3-K53)^2</f>
        <v>9.999999999999995E-3</v>
      </c>
      <c r="V53" s="1">
        <f>(Occurrence!J$3-L53)^2</f>
        <v>8.0999999999999996E-3</v>
      </c>
      <c r="W53" s="1">
        <f>(Occurrence!K$3-M53)^2</f>
        <v>2.2500000000000006E-2</v>
      </c>
      <c r="X53" s="1">
        <f t="shared" si="1"/>
        <v>1.86877227</v>
      </c>
      <c r="Z53" s="1">
        <f t="shared" si="2"/>
        <v>0</v>
      </c>
      <c r="AA53" s="1">
        <f t="shared" si="3"/>
        <v>0</v>
      </c>
      <c r="AB53" s="1">
        <f t="shared" si="4"/>
        <v>1</v>
      </c>
      <c r="AC53" s="1">
        <f t="shared" si="5"/>
        <v>1</v>
      </c>
      <c r="AD53" s="1">
        <f t="shared" si="6"/>
        <v>1</v>
      </c>
      <c r="AE53" s="1">
        <f t="shared" si="7"/>
        <v>1</v>
      </c>
      <c r="AF53" s="1">
        <f t="shared" si="8"/>
        <v>1</v>
      </c>
      <c r="AG53" s="1">
        <f t="shared" si="9"/>
        <v>1</v>
      </c>
      <c r="AH53" s="1">
        <f t="shared" si="10"/>
        <v>0</v>
      </c>
      <c r="AI53" s="1">
        <f t="shared" si="11"/>
        <v>1</v>
      </c>
      <c r="AJ53" s="1">
        <f>SUMXMY2(Z53:AI53, Occurrence!B$3:K$3)</f>
        <v>2</v>
      </c>
      <c r="AK53" s="1">
        <f t="shared" si="12"/>
        <v>8</v>
      </c>
    </row>
    <row r="54" spans="1:37">
      <c r="A54" s="1">
        <v>53</v>
      </c>
      <c r="B54" s="1">
        <v>4252052</v>
      </c>
      <c r="C54" s="6">
        <v>802</v>
      </c>
      <c r="D54" s="1">
        <v>5.0000000000000001E-3</v>
      </c>
      <c r="E54" s="1">
        <v>0.01</v>
      </c>
      <c r="F54" s="1">
        <v>0.995</v>
      </c>
      <c r="G54" s="1">
        <v>0.99</v>
      </c>
      <c r="H54" s="1">
        <v>0.16539999999999999</v>
      </c>
      <c r="I54" s="1">
        <v>0.64470000000000005</v>
      </c>
      <c r="J54" s="1">
        <v>0.88229999999999997</v>
      </c>
      <c r="K54" s="1">
        <v>0.72499999999999998</v>
      </c>
      <c r="L54" s="1">
        <v>0.13250000000000001</v>
      </c>
      <c r="M54" s="1">
        <v>0.67500000000000004</v>
      </c>
      <c r="N54" s="1">
        <f>(Occurrence!B$3-D54)^2</f>
        <v>2.5000000000000001E-5</v>
      </c>
      <c r="O54" s="1">
        <f>(Occurrence!C$3-E54)^2</f>
        <v>1E-4</v>
      </c>
      <c r="P54" s="1">
        <f>(Occurrence!D$3-F54)^2</f>
        <v>2.5000000000000045E-5</v>
      </c>
      <c r="Q54" s="1">
        <f>(Occurrence!E$3-G54)^2</f>
        <v>1.0000000000000018E-4</v>
      </c>
      <c r="R54" s="1">
        <f>(Occurrence!F$3-H54)^2</f>
        <v>2.7357159999999998E-2</v>
      </c>
      <c r="S54" s="1">
        <f>(Occurrence!G$3-I54)^2</f>
        <v>0.41563809000000007</v>
      </c>
      <c r="T54" s="1">
        <f>(Occurrence!H$3-J54)^2</f>
        <v>1.3853290000000006E-2</v>
      </c>
      <c r="U54" s="1">
        <f>(Occurrence!I$3-K54)^2</f>
        <v>7.5625000000000012E-2</v>
      </c>
      <c r="V54" s="1">
        <f>(Occurrence!J$3-L54)^2</f>
        <v>1.7556250000000002E-2</v>
      </c>
      <c r="W54" s="1">
        <f>(Occurrence!K$3-M54)^2</f>
        <v>0.10562499999999997</v>
      </c>
      <c r="X54" s="1">
        <f t="shared" si="1"/>
        <v>0.65590479000000013</v>
      </c>
      <c r="Z54" s="1">
        <f t="shared" si="2"/>
        <v>0</v>
      </c>
      <c r="AA54" s="1">
        <f t="shared" si="3"/>
        <v>0</v>
      </c>
      <c r="AB54" s="1">
        <f t="shared" si="4"/>
        <v>1</v>
      </c>
      <c r="AC54" s="1">
        <f t="shared" si="5"/>
        <v>1</v>
      </c>
      <c r="AD54" s="1">
        <f t="shared" si="6"/>
        <v>0</v>
      </c>
      <c r="AE54" s="1">
        <f t="shared" si="7"/>
        <v>1</v>
      </c>
      <c r="AF54" s="1">
        <f t="shared" si="8"/>
        <v>1</v>
      </c>
      <c r="AG54" s="1">
        <f t="shared" si="9"/>
        <v>1</v>
      </c>
      <c r="AH54" s="1">
        <f t="shared" si="10"/>
        <v>0</v>
      </c>
      <c r="AI54" s="1">
        <f t="shared" si="11"/>
        <v>1</v>
      </c>
      <c r="AJ54" s="1">
        <f>SUMXMY2(Z54:AI54, Occurrence!B$3:K$3)</f>
        <v>1</v>
      </c>
      <c r="AK54" s="1">
        <f t="shared" si="12"/>
        <v>9</v>
      </c>
    </row>
    <row r="55" spans="1:37">
      <c r="A55" s="1">
        <v>54</v>
      </c>
      <c r="B55" s="1">
        <v>4252053</v>
      </c>
      <c r="C55" s="6">
        <v>802</v>
      </c>
      <c r="D55" s="1">
        <v>3.4500000000000003E-2</v>
      </c>
      <c r="E55" s="1">
        <v>0</v>
      </c>
      <c r="F55" s="1">
        <v>1</v>
      </c>
      <c r="G55" s="1">
        <v>1</v>
      </c>
      <c r="H55" s="1">
        <v>0.96550000000000002</v>
      </c>
      <c r="I55" s="1">
        <v>0.20499999999999999</v>
      </c>
      <c r="J55" s="1">
        <v>1</v>
      </c>
      <c r="K55" s="1">
        <v>1</v>
      </c>
      <c r="L55" s="1">
        <v>0.3</v>
      </c>
      <c r="M55" s="1">
        <v>0.7</v>
      </c>
      <c r="N55" s="1">
        <f>(Occurrence!B$3-D55)^2</f>
        <v>1.1902500000000001E-3</v>
      </c>
      <c r="O55" s="1">
        <f>(Occurrence!C$3-E55)^2</f>
        <v>0</v>
      </c>
      <c r="P55" s="1">
        <f>(Occurrence!D$3-F55)^2</f>
        <v>0</v>
      </c>
      <c r="Q55" s="1">
        <f>(Occurrence!E$3-G55)^2</f>
        <v>0</v>
      </c>
      <c r="R55" s="1">
        <f>(Occurrence!F$3-H55)^2</f>
        <v>0.93219025</v>
      </c>
      <c r="S55" s="1">
        <f>(Occurrence!G$3-I55)^2</f>
        <v>4.2024999999999993E-2</v>
      </c>
      <c r="T55" s="1">
        <f>(Occurrence!H$3-J55)^2</f>
        <v>0</v>
      </c>
      <c r="U55" s="1">
        <f>(Occurrence!I$3-K55)^2</f>
        <v>0</v>
      </c>
      <c r="V55" s="1">
        <f>(Occurrence!J$3-L55)^2</f>
        <v>0.09</v>
      </c>
      <c r="W55" s="1">
        <f>(Occurrence!K$3-M55)^2</f>
        <v>9.0000000000000024E-2</v>
      </c>
      <c r="X55" s="1">
        <f t="shared" si="1"/>
        <v>1.1554055000000001</v>
      </c>
      <c r="Z55" s="1">
        <f t="shared" si="2"/>
        <v>0</v>
      </c>
      <c r="AA55" s="1">
        <f t="shared" si="3"/>
        <v>0</v>
      </c>
      <c r="AB55" s="1">
        <f t="shared" si="4"/>
        <v>1</v>
      </c>
      <c r="AC55" s="1">
        <f t="shared" si="5"/>
        <v>1</v>
      </c>
      <c r="AD55" s="1">
        <f t="shared" si="6"/>
        <v>1</v>
      </c>
      <c r="AE55" s="1">
        <f t="shared" si="7"/>
        <v>0</v>
      </c>
      <c r="AF55" s="1">
        <f t="shared" si="8"/>
        <v>1</v>
      </c>
      <c r="AG55" s="1">
        <f t="shared" si="9"/>
        <v>1</v>
      </c>
      <c r="AH55" s="1">
        <f t="shared" si="10"/>
        <v>0</v>
      </c>
      <c r="AI55" s="1">
        <f t="shared" si="11"/>
        <v>1</v>
      </c>
      <c r="AJ55" s="1">
        <f>SUMXMY2(Z55:AI55, Occurrence!B$3:K$3)</f>
        <v>1</v>
      </c>
      <c r="AK55" s="1">
        <f t="shared" si="12"/>
        <v>9</v>
      </c>
    </row>
    <row r="56" spans="1:37">
      <c r="A56" s="1">
        <v>55</v>
      </c>
      <c r="B56" s="1">
        <v>4252054</v>
      </c>
      <c r="C56" s="6">
        <v>802</v>
      </c>
      <c r="D56" s="1">
        <v>0.15</v>
      </c>
      <c r="E56" s="1">
        <v>0.1</v>
      </c>
      <c r="F56" s="1">
        <v>0.85</v>
      </c>
      <c r="G56" s="1">
        <v>0.72</v>
      </c>
      <c r="H56" s="1">
        <v>0.8</v>
      </c>
      <c r="I56" s="1">
        <v>0</v>
      </c>
      <c r="J56" s="1">
        <v>0.54</v>
      </c>
      <c r="K56" s="1">
        <v>0.2</v>
      </c>
      <c r="L56" s="1">
        <v>0.28000000000000003</v>
      </c>
      <c r="M56" s="1">
        <v>0.82</v>
      </c>
      <c r="N56" s="1">
        <f>(Occurrence!B$3-D56)^2</f>
        <v>2.2499999999999999E-2</v>
      </c>
      <c r="O56" s="1">
        <f>(Occurrence!C$3-E56)^2</f>
        <v>1.0000000000000002E-2</v>
      </c>
      <c r="P56" s="1">
        <f>(Occurrence!D$3-F56)^2</f>
        <v>2.2500000000000006E-2</v>
      </c>
      <c r="Q56" s="1">
        <f>(Occurrence!E$3-G56)^2</f>
        <v>7.8400000000000011E-2</v>
      </c>
      <c r="R56" s="1">
        <f>(Occurrence!F$3-H56)^2</f>
        <v>0.64000000000000012</v>
      </c>
      <c r="S56" s="1">
        <f>(Occurrence!G$3-I56)^2</f>
        <v>0</v>
      </c>
      <c r="T56" s="1">
        <f>(Occurrence!H$3-J56)^2</f>
        <v>0.21159999999999995</v>
      </c>
      <c r="U56" s="1">
        <f>(Occurrence!I$3-K56)^2</f>
        <v>0.64000000000000012</v>
      </c>
      <c r="V56" s="1">
        <f>(Occurrence!J$3-L56)^2</f>
        <v>7.8400000000000011E-2</v>
      </c>
      <c r="W56" s="1">
        <f>(Occurrence!K$3-M56)^2</f>
        <v>3.2400000000000019E-2</v>
      </c>
      <c r="X56" s="1">
        <f t="shared" si="1"/>
        <v>1.7358000000000002</v>
      </c>
      <c r="Z56" s="1">
        <f t="shared" si="2"/>
        <v>0</v>
      </c>
      <c r="AA56" s="1">
        <f t="shared" si="3"/>
        <v>0</v>
      </c>
      <c r="AB56" s="1">
        <f t="shared" si="4"/>
        <v>1</v>
      </c>
      <c r="AC56" s="1">
        <f t="shared" si="5"/>
        <v>1</v>
      </c>
      <c r="AD56" s="1">
        <f t="shared" si="6"/>
        <v>1</v>
      </c>
      <c r="AE56" s="1">
        <f t="shared" si="7"/>
        <v>0</v>
      </c>
      <c r="AF56" s="1">
        <f t="shared" si="8"/>
        <v>1</v>
      </c>
      <c r="AG56" s="1">
        <f t="shared" si="9"/>
        <v>0</v>
      </c>
      <c r="AH56" s="1">
        <f t="shared" si="10"/>
        <v>0</v>
      </c>
      <c r="AI56" s="1">
        <f t="shared" si="11"/>
        <v>1</v>
      </c>
      <c r="AJ56" s="1">
        <f>SUMXMY2(Z56:AI56, Occurrence!B$3:K$3)</f>
        <v>2</v>
      </c>
      <c r="AK56" s="1">
        <f t="shared" si="12"/>
        <v>8</v>
      </c>
    </row>
    <row r="57" spans="1:37">
      <c r="A57" s="1">
        <v>56</v>
      </c>
      <c r="B57" s="1">
        <v>4252055</v>
      </c>
      <c r="C57" s="6">
        <v>802</v>
      </c>
      <c r="D57" s="1">
        <v>0</v>
      </c>
      <c r="E57" s="1">
        <v>0</v>
      </c>
      <c r="F57" s="1">
        <v>0.98421052600000003</v>
      </c>
      <c r="G57" s="1">
        <v>0.98947368400000002</v>
      </c>
      <c r="H57" s="1">
        <v>1.5789474000000001E-2</v>
      </c>
      <c r="I57" s="1">
        <v>0.04</v>
      </c>
      <c r="J57" s="1">
        <v>0.92</v>
      </c>
      <c r="K57" s="1">
        <v>0.8</v>
      </c>
      <c r="L57" s="1">
        <v>0.75</v>
      </c>
      <c r="M57" s="1">
        <v>0.89</v>
      </c>
      <c r="N57" s="1">
        <f>(Occurrence!B$3-D57)^2</f>
        <v>0</v>
      </c>
      <c r="O57" s="1">
        <f>(Occurrence!C$3-E57)^2</f>
        <v>0</v>
      </c>
      <c r="P57" s="1">
        <f>(Occurrence!D$3-F57)^2</f>
        <v>2.4930748919667507E-4</v>
      </c>
      <c r="Q57" s="1">
        <f>(Occurrence!E$3-G57)^2</f>
        <v>1.1080332853185559E-4</v>
      </c>
      <c r="R57" s="1">
        <f>(Occurrence!F$3-H57)^2</f>
        <v>2.4930748919667605E-4</v>
      </c>
      <c r="S57" s="1">
        <f>(Occurrence!G$3-I57)^2</f>
        <v>1.6000000000000001E-3</v>
      </c>
      <c r="T57" s="1">
        <f>(Occurrence!H$3-J57)^2</f>
        <v>6.3999999999999934E-3</v>
      </c>
      <c r="U57" s="1">
        <f>(Occurrence!I$3-K57)^2</f>
        <v>3.999999999999998E-2</v>
      </c>
      <c r="V57" s="1">
        <f>(Occurrence!J$3-L57)^2</f>
        <v>0.5625</v>
      </c>
      <c r="W57" s="1">
        <f>(Occurrence!K$3-M57)^2</f>
        <v>1.2099999999999998E-2</v>
      </c>
      <c r="X57" s="1">
        <f t="shared" si="1"/>
        <v>0.62320941830692522</v>
      </c>
      <c r="Z57" s="1">
        <f t="shared" si="2"/>
        <v>0</v>
      </c>
      <c r="AA57" s="1">
        <f t="shared" si="3"/>
        <v>0</v>
      </c>
      <c r="AB57" s="1">
        <f t="shared" si="4"/>
        <v>1</v>
      </c>
      <c r="AC57" s="1">
        <f t="shared" si="5"/>
        <v>1</v>
      </c>
      <c r="AD57" s="1">
        <f t="shared" si="6"/>
        <v>0</v>
      </c>
      <c r="AE57" s="1">
        <f t="shared" si="7"/>
        <v>0</v>
      </c>
      <c r="AF57" s="1">
        <f t="shared" si="8"/>
        <v>1</v>
      </c>
      <c r="AG57" s="1">
        <f t="shared" si="9"/>
        <v>1</v>
      </c>
      <c r="AH57" s="1">
        <f t="shared" si="10"/>
        <v>1</v>
      </c>
      <c r="AI57" s="1">
        <f t="shared" si="11"/>
        <v>1</v>
      </c>
      <c r="AJ57" s="1">
        <f>SUMXMY2(Z57:AI57, Occurrence!B$3:K$3)</f>
        <v>1</v>
      </c>
      <c r="AK57" s="1">
        <f t="shared" si="12"/>
        <v>9</v>
      </c>
    </row>
    <row r="58" spans="1:37">
      <c r="A58" s="1">
        <v>57</v>
      </c>
      <c r="B58" s="1">
        <v>4252056</v>
      </c>
      <c r="C58" s="6">
        <v>802</v>
      </c>
      <c r="D58" s="1">
        <v>0.15</v>
      </c>
      <c r="E58" s="1">
        <v>0.2</v>
      </c>
      <c r="F58" s="1">
        <v>0.15</v>
      </c>
      <c r="G58" s="1">
        <v>0.3</v>
      </c>
      <c r="H58" s="1">
        <v>0.7</v>
      </c>
      <c r="I58" s="1">
        <v>0.56999999999999995</v>
      </c>
      <c r="J58" s="1">
        <v>0.11</v>
      </c>
      <c r="K58" s="1">
        <v>0.05</v>
      </c>
      <c r="L58" s="1">
        <v>0.67</v>
      </c>
      <c r="M58" s="1">
        <v>0.49</v>
      </c>
      <c r="N58" s="1">
        <f>(Occurrence!B$3-D58)^2</f>
        <v>2.2499999999999999E-2</v>
      </c>
      <c r="O58" s="1">
        <f>(Occurrence!C$3-E58)^2</f>
        <v>4.0000000000000008E-2</v>
      </c>
      <c r="P58" s="1">
        <f>(Occurrence!D$3-F58)^2</f>
        <v>0.72249999999999992</v>
      </c>
      <c r="Q58" s="1">
        <f>(Occurrence!E$3-G58)^2</f>
        <v>0.48999999999999994</v>
      </c>
      <c r="R58" s="1">
        <f>(Occurrence!F$3-H58)^2</f>
        <v>0.48999999999999994</v>
      </c>
      <c r="S58" s="1">
        <f>(Occurrence!G$3-I58)^2</f>
        <v>0.32489999999999997</v>
      </c>
      <c r="T58" s="1">
        <f>(Occurrence!H$3-J58)^2</f>
        <v>0.79210000000000003</v>
      </c>
      <c r="U58" s="1">
        <f>(Occurrence!I$3-K58)^2</f>
        <v>0.90249999999999997</v>
      </c>
      <c r="V58" s="1">
        <f>(Occurrence!J$3-L58)^2</f>
        <v>0.44890000000000008</v>
      </c>
      <c r="W58" s="1">
        <f>(Occurrence!K$3-M58)^2</f>
        <v>0.2601</v>
      </c>
      <c r="X58" s="1">
        <f t="shared" si="1"/>
        <v>4.4934999999999992</v>
      </c>
      <c r="Z58" s="1">
        <f t="shared" si="2"/>
        <v>0</v>
      </c>
      <c r="AA58" s="1">
        <f t="shared" si="3"/>
        <v>0</v>
      </c>
      <c r="AB58" s="1">
        <f t="shared" si="4"/>
        <v>0</v>
      </c>
      <c r="AC58" s="1">
        <f t="shared" si="5"/>
        <v>0</v>
      </c>
      <c r="AD58" s="1">
        <f t="shared" si="6"/>
        <v>1</v>
      </c>
      <c r="AE58" s="1">
        <f t="shared" si="7"/>
        <v>1</v>
      </c>
      <c r="AF58" s="1">
        <f t="shared" si="8"/>
        <v>0</v>
      </c>
      <c r="AG58" s="1">
        <f t="shared" si="9"/>
        <v>0</v>
      </c>
      <c r="AH58" s="1">
        <f t="shared" si="10"/>
        <v>1</v>
      </c>
      <c r="AI58" s="1">
        <f t="shared" si="11"/>
        <v>0</v>
      </c>
      <c r="AJ58" s="1">
        <f>SUMXMY2(Z58:AI58, Occurrence!B$3:K$3)</f>
        <v>8</v>
      </c>
      <c r="AK58" s="1">
        <f t="shared" si="12"/>
        <v>2</v>
      </c>
    </row>
    <row r="59" spans="1:37">
      <c r="A59" s="1">
        <v>58</v>
      </c>
      <c r="B59" s="1">
        <v>4252057</v>
      </c>
      <c r="C59" s="6">
        <v>802</v>
      </c>
      <c r="D59" s="1">
        <v>0.17</v>
      </c>
      <c r="E59" s="1">
        <v>0.03</v>
      </c>
      <c r="F59" s="1">
        <v>0.01</v>
      </c>
      <c r="G59" s="1">
        <v>3.0000000000000001E-3</v>
      </c>
      <c r="H59" s="1">
        <v>0.09</v>
      </c>
      <c r="I59" s="1">
        <v>0</v>
      </c>
      <c r="J59" s="1">
        <v>2.2000000000000001E-3</v>
      </c>
      <c r="K59" s="1">
        <v>0.9</v>
      </c>
      <c r="L59" s="1">
        <v>0.76</v>
      </c>
      <c r="M59" s="1">
        <v>0.92</v>
      </c>
      <c r="N59" s="1">
        <f>(Occurrence!B$3-D59)^2</f>
        <v>2.8900000000000006E-2</v>
      </c>
      <c r="O59" s="1">
        <f>(Occurrence!C$3-E59)^2</f>
        <v>8.9999999999999998E-4</v>
      </c>
      <c r="P59" s="1">
        <f>(Occurrence!D$3-F59)^2</f>
        <v>0.98009999999999997</v>
      </c>
      <c r="Q59" s="1">
        <f>(Occurrence!E$3-G59)^2</f>
        <v>0.99400900000000003</v>
      </c>
      <c r="R59" s="1">
        <f>(Occurrence!F$3-H59)^2</f>
        <v>8.0999999999999996E-3</v>
      </c>
      <c r="S59" s="1">
        <f>(Occurrence!G$3-I59)^2</f>
        <v>0</v>
      </c>
      <c r="T59" s="1">
        <f>(Occurrence!H$3-J59)^2</f>
        <v>0.99560484000000005</v>
      </c>
      <c r="U59" s="1">
        <f>(Occurrence!I$3-K59)^2</f>
        <v>9.999999999999995E-3</v>
      </c>
      <c r="V59" s="1">
        <f>(Occurrence!J$3-L59)^2</f>
        <v>0.5776</v>
      </c>
      <c r="W59" s="1">
        <f>(Occurrence!K$3-M59)^2</f>
        <v>6.3999999999999934E-3</v>
      </c>
      <c r="X59" s="1">
        <f t="shared" si="1"/>
        <v>3.6016138400000002</v>
      </c>
      <c r="Z59" s="1">
        <f t="shared" si="2"/>
        <v>0</v>
      </c>
      <c r="AA59" s="1">
        <f t="shared" si="3"/>
        <v>0</v>
      </c>
      <c r="AB59" s="1">
        <f t="shared" si="4"/>
        <v>0</v>
      </c>
      <c r="AC59" s="1">
        <f t="shared" si="5"/>
        <v>0</v>
      </c>
      <c r="AD59" s="1">
        <f t="shared" si="6"/>
        <v>0</v>
      </c>
      <c r="AE59" s="1">
        <f t="shared" si="7"/>
        <v>0</v>
      </c>
      <c r="AF59" s="1">
        <f t="shared" si="8"/>
        <v>0</v>
      </c>
      <c r="AG59" s="1">
        <f t="shared" si="9"/>
        <v>1</v>
      </c>
      <c r="AH59" s="1">
        <f t="shared" si="10"/>
        <v>1</v>
      </c>
      <c r="AI59" s="1">
        <f t="shared" si="11"/>
        <v>1</v>
      </c>
      <c r="AJ59" s="1">
        <f>SUMXMY2(Z59:AI59, Occurrence!B$3:K$3)</f>
        <v>4</v>
      </c>
      <c r="AK59" s="1">
        <f t="shared" si="12"/>
        <v>6</v>
      </c>
    </row>
    <row r="60" spans="1:37">
      <c r="A60" s="1">
        <v>59</v>
      </c>
      <c r="B60" s="1">
        <v>4252058</v>
      </c>
      <c r="C60" s="6">
        <v>802</v>
      </c>
      <c r="D60" s="1">
        <v>0.158</v>
      </c>
      <c r="E60" s="1">
        <v>0.3972</v>
      </c>
      <c r="F60" s="1">
        <v>0.64680000000000004</v>
      </c>
      <c r="G60" s="1">
        <v>0.6028</v>
      </c>
      <c r="H60" s="1">
        <v>0.79759999999999998</v>
      </c>
      <c r="I60" s="1">
        <v>0.5</v>
      </c>
      <c r="J60" s="1">
        <v>1</v>
      </c>
      <c r="K60" s="1">
        <v>0.5</v>
      </c>
      <c r="L60" s="1">
        <v>0.5</v>
      </c>
      <c r="M60" s="1">
        <v>0.5</v>
      </c>
      <c r="N60" s="1">
        <f>(Occurrence!B$3-D60)^2</f>
        <v>2.4964E-2</v>
      </c>
      <c r="O60" s="1">
        <f>(Occurrence!C$3-E60)^2</f>
        <v>0.15776783999999999</v>
      </c>
      <c r="P60" s="1">
        <f>(Occurrence!D$3-F60)^2</f>
        <v>0.12475023999999997</v>
      </c>
      <c r="Q60" s="1">
        <f>(Occurrence!E$3-G60)^2</f>
        <v>0.15776783999999999</v>
      </c>
      <c r="R60" s="1">
        <f>(Occurrence!F$3-H60)^2</f>
        <v>0.63616575999999991</v>
      </c>
      <c r="S60" s="1">
        <f>(Occurrence!G$3-I60)^2</f>
        <v>0.25</v>
      </c>
      <c r="T60" s="1">
        <f>(Occurrence!H$3-J60)^2</f>
        <v>0</v>
      </c>
      <c r="U60" s="1">
        <f>(Occurrence!I$3-K60)^2</f>
        <v>0.25</v>
      </c>
      <c r="V60" s="1">
        <f>(Occurrence!J$3-L60)^2</f>
        <v>0.25</v>
      </c>
      <c r="W60" s="1">
        <f>(Occurrence!K$3-M60)^2</f>
        <v>0.25</v>
      </c>
      <c r="X60" s="1">
        <f t="shared" si="1"/>
        <v>2.1014156799999997</v>
      </c>
      <c r="Z60" s="1">
        <f t="shared" si="2"/>
        <v>0</v>
      </c>
      <c r="AA60" s="1">
        <f t="shared" si="3"/>
        <v>0</v>
      </c>
      <c r="AB60" s="1">
        <f t="shared" si="4"/>
        <v>1</v>
      </c>
      <c r="AC60" s="1">
        <f t="shared" si="5"/>
        <v>1</v>
      </c>
      <c r="AD60" s="1">
        <f t="shared" si="6"/>
        <v>1</v>
      </c>
      <c r="AE60" s="1">
        <f t="shared" si="7"/>
        <v>1</v>
      </c>
      <c r="AF60" s="1">
        <f t="shared" si="8"/>
        <v>1</v>
      </c>
      <c r="AG60" s="1">
        <f t="shared" si="9"/>
        <v>1</v>
      </c>
      <c r="AH60" s="1">
        <f t="shared" si="10"/>
        <v>1</v>
      </c>
      <c r="AI60" s="1">
        <f t="shared" si="11"/>
        <v>1</v>
      </c>
      <c r="AJ60" s="1">
        <f>SUMXMY2(Z60:AI60, Occurrence!B$3:K$3)</f>
        <v>3</v>
      </c>
      <c r="AK60" s="1">
        <f t="shared" si="12"/>
        <v>7</v>
      </c>
    </row>
    <row r="61" spans="1:37">
      <c r="A61" s="1">
        <v>60</v>
      </c>
      <c r="B61" s="1">
        <v>4252059</v>
      </c>
      <c r="C61" s="6">
        <v>802</v>
      </c>
      <c r="D61" s="1">
        <v>0.36840000000000001</v>
      </c>
      <c r="E61" s="1">
        <v>0.33329999999999999</v>
      </c>
      <c r="F61" s="1">
        <v>0.66669999999999996</v>
      </c>
      <c r="G61" s="1">
        <v>0.66669999999999996</v>
      </c>
      <c r="H61" s="1">
        <v>0.23430000000000001</v>
      </c>
      <c r="I61" s="1">
        <v>1.7500000000000002E-2</v>
      </c>
      <c r="J61" s="1">
        <v>0.34239999999999998</v>
      </c>
      <c r="K61" s="1">
        <v>0.5</v>
      </c>
      <c r="L61" s="1">
        <v>0.85</v>
      </c>
      <c r="M61" s="1">
        <v>0.1343</v>
      </c>
      <c r="N61" s="1">
        <f>(Occurrence!B$3-D61)^2</f>
        <v>0.13571856000000002</v>
      </c>
      <c r="O61" s="1">
        <f>(Occurrence!C$3-E61)^2</f>
        <v>0.11108889</v>
      </c>
      <c r="P61" s="1">
        <f>(Occurrence!D$3-F61)^2</f>
        <v>0.11108889000000002</v>
      </c>
      <c r="Q61" s="1">
        <f>(Occurrence!E$3-G61)^2</f>
        <v>0.11108889000000002</v>
      </c>
      <c r="R61" s="1">
        <f>(Occurrence!F$3-H61)^2</f>
        <v>5.4896490000000006E-2</v>
      </c>
      <c r="S61" s="1">
        <f>(Occurrence!G$3-I61)^2</f>
        <v>3.0625000000000004E-4</v>
      </c>
      <c r="T61" s="1">
        <f>(Occurrence!H$3-J61)^2</f>
        <v>0.43243775999999995</v>
      </c>
      <c r="U61" s="1">
        <f>(Occurrence!I$3-K61)^2</f>
        <v>0.25</v>
      </c>
      <c r="V61" s="1">
        <f>(Occurrence!J$3-L61)^2</f>
        <v>0.72249999999999992</v>
      </c>
      <c r="W61" s="1">
        <f>(Occurrence!K$3-M61)^2</f>
        <v>0.74943649000000001</v>
      </c>
      <c r="X61" s="1">
        <f t="shared" si="1"/>
        <v>2.6785622199999999</v>
      </c>
      <c r="Z61" s="1">
        <f t="shared" si="2"/>
        <v>0</v>
      </c>
      <c r="AA61" s="1">
        <f t="shared" si="3"/>
        <v>0</v>
      </c>
      <c r="AB61" s="1">
        <f t="shared" si="4"/>
        <v>1</v>
      </c>
      <c r="AC61" s="1">
        <f t="shared" si="5"/>
        <v>1</v>
      </c>
      <c r="AD61" s="1">
        <f t="shared" si="6"/>
        <v>0</v>
      </c>
      <c r="AE61" s="1">
        <f t="shared" si="7"/>
        <v>0</v>
      </c>
      <c r="AF61" s="1">
        <f t="shared" si="8"/>
        <v>0</v>
      </c>
      <c r="AG61" s="1">
        <f t="shared" si="9"/>
        <v>1</v>
      </c>
      <c r="AH61" s="1">
        <f t="shared" si="10"/>
        <v>1</v>
      </c>
      <c r="AI61" s="1">
        <f t="shared" si="11"/>
        <v>0</v>
      </c>
      <c r="AJ61" s="1">
        <f>SUMXMY2(Z61:AI61, Occurrence!B$3:K$3)</f>
        <v>3</v>
      </c>
      <c r="AK61" s="1">
        <f t="shared" si="12"/>
        <v>7</v>
      </c>
    </row>
    <row r="62" spans="1:37">
      <c r="A62" s="1">
        <v>61</v>
      </c>
      <c r="B62" s="1">
        <v>4252060</v>
      </c>
      <c r="C62" s="6">
        <v>802</v>
      </c>
      <c r="D62" s="1">
        <v>0.3</v>
      </c>
      <c r="E62" s="1">
        <v>0.26</v>
      </c>
      <c r="F62" s="1">
        <v>0.44</v>
      </c>
      <c r="G62" s="1">
        <v>0.1</v>
      </c>
      <c r="H62" s="1">
        <v>0.26</v>
      </c>
      <c r="I62" s="1">
        <v>0.25</v>
      </c>
      <c r="J62" s="1">
        <v>0.1</v>
      </c>
      <c r="K62" s="1">
        <v>0.8</v>
      </c>
      <c r="L62" s="1">
        <v>0.74</v>
      </c>
      <c r="M62" s="1">
        <v>0.6</v>
      </c>
      <c r="N62" s="1">
        <f>(Occurrence!B$3-D62)^2</f>
        <v>0.09</v>
      </c>
      <c r="O62" s="1">
        <f>(Occurrence!C$3-E62)^2</f>
        <v>6.7600000000000007E-2</v>
      </c>
      <c r="P62" s="1">
        <f>(Occurrence!D$3-F62)^2</f>
        <v>0.31360000000000005</v>
      </c>
      <c r="Q62" s="1">
        <f>(Occurrence!E$3-G62)^2</f>
        <v>0.81</v>
      </c>
      <c r="R62" s="1">
        <f>(Occurrence!F$3-H62)^2</f>
        <v>6.7600000000000007E-2</v>
      </c>
      <c r="S62" s="1">
        <f>(Occurrence!G$3-I62)^2</f>
        <v>6.25E-2</v>
      </c>
      <c r="T62" s="1">
        <f>(Occurrence!H$3-J62)^2</f>
        <v>0.81</v>
      </c>
      <c r="U62" s="1">
        <f>(Occurrence!I$3-K62)^2</f>
        <v>3.999999999999998E-2</v>
      </c>
      <c r="V62" s="1">
        <f>(Occurrence!J$3-L62)^2</f>
        <v>0.54759999999999998</v>
      </c>
      <c r="W62" s="1">
        <f>(Occurrence!K$3-M62)^2</f>
        <v>0.16000000000000003</v>
      </c>
      <c r="X62" s="1">
        <f t="shared" si="1"/>
        <v>2.9689000000000005</v>
      </c>
      <c r="Z62" s="1">
        <f t="shared" si="2"/>
        <v>0</v>
      </c>
      <c r="AA62" s="1">
        <f t="shared" si="3"/>
        <v>0</v>
      </c>
      <c r="AB62" s="1">
        <f t="shared" si="4"/>
        <v>0</v>
      </c>
      <c r="AC62" s="1">
        <f t="shared" si="5"/>
        <v>0</v>
      </c>
      <c r="AD62" s="1">
        <f t="shared" si="6"/>
        <v>0</v>
      </c>
      <c r="AE62" s="1">
        <f t="shared" si="7"/>
        <v>0</v>
      </c>
      <c r="AF62" s="1">
        <f t="shared" si="8"/>
        <v>0</v>
      </c>
      <c r="AG62" s="1">
        <f t="shared" si="9"/>
        <v>1</v>
      </c>
      <c r="AH62" s="1">
        <f t="shared" si="10"/>
        <v>1</v>
      </c>
      <c r="AI62" s="1">
        <f t="shared" si="11"/>
        <v>1</v>
      </c>
      <c r="AJ62" s="1">
        <f>SUMXMY2(Z62:AI62, Occurrence!B$3:K$3)</f>
        <v>4</v>
      </c>
      <c r="AK62" s="1">
        <f t="shared" si="12"/>
        <v>6</v>
      </c>
    </row>
    <row r="63" spans="1:37">
      <c r="A63" s="1">
        <v>62</v>
      </c>
      <c r="B63" s="1">
        <v>4252061</v>
      </c>
      <c r="C63" s="6">
        <v>802</v>
      </c>
      <c r="D63" s="1">
        <v>0.96</v>
      </c>
      <c r="E63" s="1">
        <v>0.97</v>
      </c>
      <c r="F63" s="1">
        <v>0.87</v>
      </c>
      <c r="G63" s="1">
        <v>0.79</v>
      </c>
      <c r="H63" s="1">
        <v>0.92</v>
      </c>
      <c r="I63" s="1">
        <v>0.78</v>
      </c>
      <c r="J63" s="1">
        <v>0.69</v>
      </c>
      <c r="K63" s="1">
        <v>0.48</v>
      </c>
      <c r="L63" s="1">
        <v>0.64</v>
      </c>
      <c r="M63" s="1">
        <v>0.47</v>
      </c>
      <c r="N63" s="1">
        <f>(Occurrence!B$3-D63)^2</f>
        <v>0.92159999999999997</v>
      </c>
      <c r="O63" s="1">
        <f>(Occurrence!C$3-E63)^2</f>
        <v>0.94089999999999996</v>
      </c>
      <c r="P63" s="1">
        <f>(Occurrence!D$3-F63)^2</f>
        <v>1.6900000000000002E-2</v>
      </c>
      <c r="Q63" s="1">
        <f>(Occurrence!E$3-G63)^2</f>
        <v>4.4099999999999986E-2</v>
      </c>
      <c r="R63" s="1">
        <f>(Occurrence!F$3-H63)^2</f>
        <v>0.84640000000000004</v>
      </c>
      <c r="S63" s="1">
        <f>(Occurrence!G$3-I63)^2</f>
        <v>0.60840000000000005</v>
      </c>
      <c r="T63" s="1">
        <f>(Occurrence!H$3-J63)^2</f>
        <v>9.6100000000000033E-2</v>
      </c>
      <c r="U63" s="1">
        <f>(Occurrence!I$3-K63)^2</f>
        <v>0.27040000000000003</v>
      </c>
      <c r="V63" s="1">
        <f>(Occurrence!J$3-L63)^2</f>
        <v>0.40960000000000002</v>
      </c>
      <c r="W63" s="1">
        <f>(Occurrence!K$3-M63)^2</f>
        <v>0.28090000000000004</v>
      </c>
      <c r="X63" s="1">
        <f t="shared" si="1"/>
        <v>4.4352999999999998</v>
      </c>
      <c r="Z63" s="1">
        <f t="shared" si="2"/>
        <v>1</v>
      </c>
      <c r="AA63" s="1">
        <f t="shared" si="3"/>
        <v>1</v>
      </c>
      <c r="AB63" s="1">
        <f t="shared" si="4"/>
        <v>1</v>
      </c>
      <c r="AC63" s="1">
        <f t="shared" si="5"/>
        <v>1</v>
      </c>
      <c r="AD63" s="1">
        <f t="shared" si="6"/>
        <v>1</v>
      </c>
      <c r="AE63" s="1">
        <f t="shared" si="7"/>
        <v>1</v>
      </c>
      <c r="AF63" s="1">
        <f t="shared" si="8"/>
        <v>1</v>
      </c>
      <c r="AG63" s="1">
        <f t="shared" si="9"/>
        <v>0</v>
      </c>
      <c r="AH63" s="1">
        <f t="shared" si="10"/>
        <v>1</v>
      </c>
      <c r="AI63" s="1">
        <f t="shared" si="11"/>
        <v>0</v>
      </c>
      <c r="AJ63" s="1">
        <f>SUMXMY2(Z63:AI63, Occurrence!B$3:K$3)</f>
        <v>7</v>
      </c>
      <c r="AK63" s="1">
        <f t="shared" si="12"/>
        <v>3</v>
      </c>
    </row>
    <row r="64" spans="1:37">
      <c r="A64" s="1">
        <v>63</v>
      </c>
      <c r="B64" s="1">
        <v>4252062</v>
      </c>
      <c r="C64" s="6">
        <v>803</v>
      </c>
      <c r="D64" s="1">
        <v>0.21</v>
      </c>
      <c r="E64" s="1">
        <v>0.47</v>
      </c>
      <c r="F64" s="1">
        <v>0.24</v>
      </c>
      <c r="G64" s="1">
        <v>0.53</v>
      </c>
      <c r="H64" s="1">
        <v>0.76</v>
      </c>
      <c r="I64" s="1">
        <v>0.11</v>
      </c>
      <c r="J64" s="1">
        <v>0.44</v>
      </c>
      <c r="K64" s="1">
        <v>0.94</v>
      </c>
      <c r="L64" s="1">
        <v>0.62</v>
      </c>
      <c r="M64" s="1">
        <v>0.52</v>
      </c>
      <c r="N64" s="1">
        <f>(Occurrence!B$3-D64)^2</f>
        <v>4.4099999999999993E-2</v>
      </c>
      <c r="O64" s="1">
        <f>(Occurrence!C$3-E64)^2</f>
        <v>0.22089999999999999</v>
      </c>
      <c r="P64" s="1">
        <f>(Occurrence!D$3-F64)^2</f>
        <v>0.5776</v>
      </c>
      <c r="Q64" s="1">
        <f>(Occurrence!E$3-G64)^2</f>
        <v>0.22089999999999999</v>
      </c>
      <c r="R64" s="1">
        <f>(Occurrence!F$3-H64)^2</f>
        <v>0.5776</v>
      </c>
      <c r="S64" s="1">
        <f>(Occurrence!G$3-I64)^2</f>
        <v>1.21E-2</v>
      </c>
      <c r="T64" s="1">
        <f>(Occurrence!H$3-J64)^2</f>
        <v>0.31360000000000005</v>
      </c>
      <c r="U64" s="1">
        <f>(Occurrence!I$3-K64)^2</f>
        <v>3.6000000000000064E-3</v>
      </c>
      <c r="V64" s="1">
        <f>(Occurrence!J$3-L64)^2</f>
        <v>0.38440000000000002</v>
      </c>
      <c r="W64" s="1">
        <f>(Occurrence!K$3-M64)^2</f>
        <v>0.23039999999999999</v>
      </c>
      <c r="X64" s="1">
        <f t="shared" si="1"/>
        <v>2.5851999999999999</v>
      </c>
      <c r="Z64" s="1">
        <f t="shared" si="2"/>
        <v>0</v>
      </c>
      <c r="AA64" s="1">
        <f t="shared" si="3"/>
        <v>0</v>
      </c>
      <c r="AB64" s="1">
        <f t="shared" si="4"/>
        <v>0</v>
      </c>
      <c r="AC64" s="1">
        <f t="shared" si="5"/>
        <v>1</v>
      </c>
      <c r="AD64" s="1">
        <f t="shared" si="6"/>
        <v>1</v>
      </c>
      <c r="AE64" s="1">
        <f t="shared" si="7"/>
        <v>0</v>
      </c>
      <c r="AF64" s="1">
        <f t="shared" si="8"/>
        <v>0</v>
      </c>
      <c r="AG64" s="1">
        <f t="shared" si="9"/>
        <v>1</v>
      </c>
      <c r="AH64" s="1">
        <f t="shared" si="10"/>
        <v>1</v>
      </c>
      <c r="AI64" s="1">
        <f t="shared" si="11"/>
        <v>1</v>
      </c>
      <c r="AJ64" s="1">
        <f>SUMXMY2(Z64:AI64, Occurrence!B$3:K$3)</f>
        <v>4</v>
      </c>
      <c r="AK64" s="1">
        <f t="shared" si="12"/>
        <v>6</v>
      </c>
    </row>
    <row r="65" spans="1:37">
      <c r="A65" s="1">
        <v>64</v>
      </c>
      <c r="B65" s="1">
        <v>4252063</v>
      </c>
      <c r="C65" s="6">
        <v>803</v>
      </c>
      <c r="D65" s="1">
        <v>0.5</v>
      </c>
      <c r="E65" s="1">
        <v>0.1</v>
      </c>
      <c r="F65" s="1">
        <v>0.6</v>
      </c>
      <c r="G65" s="1">
        <v>0.4</v>
      </c>
      <c r="H65" s="1">
        <v>0.5</v>
      </c>
      <c r="I65" s="1">
        <v>0.8</v>
      </c>
      <c r="J65" s="1">
        <v>0.3</v>
      </c>
      <c r="K65" s="1">
        <v>0.1</v>
      </c>
      <c r="L65" s="1">
        <v>0.7</v>
      </c>
      <c r="M65" s="1">
        <v>0.4</v>
      </c>
      <c r="N65" s="1">
        <f>(Occurrence!B$3-D65)^2</f>
        <v>0.25</v>
      </c>
      <c r="O65" s="1">
        <f>(Occurrence!C$3-E65)^2</f>
        <v>1.0000000000000002E-2</v>
      </c>
      <c r="P65" s="1">
        <f>(Occurrence!D$3-F65)^2</f>
        <v>0.16000000000000003</v>
      </c>
      <c r="Q65" s="1">
        <f>(Occurrence!E$3-G65)^2</f>
        <v>0.36</v>
      </c>
      <c r="R65" s="1">
        <f>(Occurrence!F$3-H65)^2</f>
        <v>0.25</v>
      </c>
      <c r="S65" s="1">
        <f>(Occurrence!G$3-I65)^2</f>
        <v>0.64000000000000012</v>
      </c>
      <c r="T65" s="1">
        <f>(Occurrence!H$3-J65)^2</f>
        <v>0.48999999999999994</v>
      </c>
      <c r="U65" s="1">
        <f>(Occurrence!I$3-K65)^2</f>
        <v>0.81</v>
      </c>
      <c r="V65" s="1">
        <f>(Occurrence!J$3-L65)^2</f>
        <v>0.48999999999999994</v>
      </c>
      <c r="W65" s="1">
        <f>(Occurrence!K$3-M65)^2</f>
        <v>0.36</v>
      </c>
      <c r="X65" s="1">
        <f t="shared" si="1"/>
        <v>3.82</v>
      </c>
      <c r="Z65" s="1">
        <f t="shared" si="2"/>
        <v>1</v>
      </c>
      <c r="AA65" s="1">
        <f t="shared" si="3"/>
        <v>0</v>
      </c>
      <c r="AB65" s="1">
        <f t="shared" si="4"/>
        <v>1</v>
      </c>
      <c r="AC65" s="1">
        <f t="shared" si="5"/>
        <v>0</v>
      </c>
      <c r="AD65" s="1">
        <f t="shared" si="6"/>
        <v>1</v>
      </c>
      <c r="AE65" s="1">
        <f t="shared" si="7"/>
        <v>1</v>
      </c>
      <c r="AF65" s="1">
        <f t="shared" si="8"/>
        <v>0</v>
      </c>
      <c r="AG65" s="1">
        <f t="shared" si="9"/>
        <v>0</v>
      </c>
      <c r="AH65" s="1">
        <f t="shared" si="10"/>
        <v>1</v>
      </c>
      <c r="AI65" s="1">
        <f t="shared" si="11"/>
        <v>0</v>
      </c>
      <c r="AJ65" s="1">
        <f>SUMXMY2(Z65:AI65, Occurrence!B$3:K$3)</f>
        <v>8</v>
      </c>
      <c r="AK65" s="1">
        <f t="shared" si="12"/>
        <v>2</v>
      </c>
    </row>
    <row r="66" spans="1:37">
      <c r="A66" s="1">
        <v>65</v>
      </c>
      <c r="B66" s="1">
        <v>4252064</v>
      </c>
      <c r="C66" s="6">
        <v>803</v>
      </c>
      <c r="D66" s="1">
        <v>0.3</v>
      </c>
      <c r="E66" s="1">
        <v>0.5</v>
      </c>
      <c r="F66" s="1">
        <v>0.2</v>
      </c>
      <c r="G66" s="1">
        <v>0.4</v>
      </c>
      <c r="H66" s="1">
        <v>0.1</v>
      </c>
      <c r="I66" s="1">
        <v>0.3</v>
      </c>
      <c r="J66" s="1">
        <v>0.2</v>
      </c>
      <c r="K66" s="1">
        <v>0.4</v>
      </c>
      <c r="L66" s="1">
        <v>0.3</v>
      </c>
      <c r="M66" s="1">
        <v>0.23</v>
      </c>
      <c r="N66" s="1">
        <f>(Occurrence!B$3-D66)^2</f>
        <v>0.09</v>
      </c>
      <c r="O66" s="1">
        <f>(Occurrence!C$3-E66)^2</f>
        <v>0.25</v>
      </c>
      <c r="P66" s="1">
        <f>(Occurrence!D$3-F66)^2</f>
        <v>0.64000000000000012</v>
      </c>
      <c r="Q66" s="1">
        <f>(Occurrence!E$3-G66)^2</f>
        <v>0.36</v>
      </c>
      <c r="R66" s="1">
        <f>(Occurrence!F$3-H66)^2</f>
        <v>1.0000000000000002E-2</v>
      </c>
      <c r="S66" s="1">
        <f>(Occurrence!G$3-I66)^2</f>
        <v>0.09</v>
      </c>
      <c r="T66" s="1">
        <f>(Occurrence!H$3-J66)^2</f>
        <v>0.64000000000000012</v>
      </c>
      <c r="U66" s="1">
        <f>(Occurrence!I$3-K66)^2</f>
        <v>0.36</v>
      </c>
      <c r="V66" s="1">
        <f>(Occurrence!J$3-L66)^2</f>
        <v>0.09</v>
      </c>
      <c r="W66" s="1">
        <f>(Occurrence!K$3-M66)^2</f>
        <v>0.59289999999999998</v>
      </c>
      <c r="X66" s="1">
        <f t="shared" si="1"/>
        <v>3.1228999999999996</v>
      </c>
      <c r="Z66" s="1">
        <f t="shared" si="2"/>
        <v>0</v>
      </c>
      <c r="AA66" s="1">
        <f t="shared" si="3"/>
        <v>1</v>
      </c>
      <c r="AB66" s="1">
        <f t="shared" si="4"/>
        <v>0</v>
      </c>
      <c r="AC66" s="1">
        <f t="shared" si="5"/>
        <v>0</v>
      </c>
      <c r="AD66" s="1">
        <f t="shared" si="6"/>
        <v>0</v>
      </c>
      <c r="AE66" s="1">
        <f t="shared" si="7"/>
        <v>0</v>
      </c>
      <c r="AF66" s="1">
        <f t="shared" si="8"/>
        <v>0</v>
      </c>
      <c r="AG66" s="1">
        <f t="shared" si="9"/>
        <v>0</v>
      </c>
      <c r="AH66" s="1">
        <f t="shared" si="10"/>
        <v>0</v>
      </c>
      <c r="AI66" s="1">
        <f t="shared" si="11"/>
        <v>0</v>
      </c>
      <c r="AJ66" s="1">
        <f>SUMXMY2(Z66:AI66, Occurrence!B$3:K$3)</f>
        <v>6</v>
      </c>
      <c r="AK66" s="1">
        <f t="shared" si="12"/>
        <v>4</v>
      </c>
    </row>
    <row r="67" spans="1:37">
      <c r="A67" s="1">
        <v>66</v>
      </c>
      <c r="B67" s="1">
        <v>4252065</v>
      </c>
      <c r="C67" s="6">
        <v>803</v>
      </c>
      <c r="D67" s="1">
        <v>0.4</v>
      </c>
      <c r="E67" s="1">
        <v>0.01</v>
      </c>
      <c r="F67" s="1">
        <v>0.5</v>
      </c>
      <c r="G67" s="1">
        <v>0.2</v>
      </c>
      <c r="H67" s="1">
        <v>0.4</v>
      </c>
      <c r="I67" s="1">
        <v>0.3</v>
      </c>
      <c r="J67" s="1">
        <v>0.2</v>
      </c>
      <c r="K67" s="1">
        <v>0.1</v>
      </c>
      <c r="L67" s="1">
        <v>0.4</v>
      </c>
      <c r="M67" s="1">
        <v>0.4</v>
      </c>
      <c r="N67" s="1">
        <f>(Occurrence!B$3-D67)^2</f>
        <v>0.16000000000000003</v>
      </c>
      <c r="O67" s="1">
        <f>(Occurrence!C$3-E67)^2</f>
        <v>1E-4</v>
      </c>
      <c r="P67" s="1">
        <f>(Occurrence!D$3-F67)^2</f>
        <v>0.25</v>
      </c>
      <c r="Q67" s="1">
        <f>(Occurrence!E$3-G67)^2</f>
        <v>0.64000000000000012</v>
      </c>
      <c r="R67" s="1">
        <f>(Occurrence!F$3-H67)^2</f>
        <v>0.16000000000000003</v>
      </c>
      <c r="S67" s="1">
        <f>(Occurrence!G$3-I67)^2</f>
        <v>0.09</v>
      </c>
      <c r="T67" s="1">
        <f>(Occurrence!H$3-J67)^2</f>
        <v>0.64000000000000012</v>
      </c>
      <c r="U67" s="1">
        <f>(Occurrence!I$3-K67)^2</f>
        <v>0.81</v>
      </c>
      <c r="V67" s="1">
        <f>(Occurrence!J$3-L67)^2</f>
        <v>0.16000000000000003</v>
      </c>
      <c r="W67" s="1">
        <f>(Occurrence!K$3-M67)^2</f>
        <v>0.36</v>
      </c>
      <c r="X67" s="1">
        <f t="shared" ref="X67:X130" si="13">SUM(N67:W67)</f>
        <v>3.2701000000000007</v>
      </c>
      <c r="Z67" s="1">
        <f t="shared" ref="Z67:Z130" si="14">ROUND(D67, 0)</f>
        <v>0</v>
      </c>
      <c r="AA67" s="1">
        <f t="shared" ref="AA67:AA130" si="15">ROUND(E67, 0)</f>
        <v>0</v>
      </c>
      <c r="AB67" s="1">
        <f t="shared" ref="AB67:AB130" si="16">ROUND(F67, 0)</f>
        <v>1</v>
      </c>
      <c r="AC67" s="1">
        <f t="shared" ref="AC67:AC130" si="17">ROUND(G67, 0)</f>
        <v>0</v>
      </c>
      <c r="AD67" s="1">
        <f t="shared" ref="AD67:AD130" si="18">ROUND(H67, 0)</f>
        <v>0</v>
      </c>
      <c r="AE67" s="1">
        <f t="shared" ref="AE67:AE130" si="19">ROUND(I67, 0)</f>
        <v>0</v>
      </c>
      <c r="AF67" s="1">
        <f t="shared" ref="AF67:AF130" si="20">ROUND(J67, 0)</f>
        <v>0</v>
      </c>
      <c r="AG67" s="1">
        <f t="shared" ref="AG67:AG130" si="21">ROUND(K67, 0)</f>
        <v>0</v>
      </c>
      <c r="AH67" s="1">
        <f t="shared" ref="AH67:AH130" si="22">ROUND(L67, 0)</f>
        <v>0</v>
      </c>
      <c r="AI67" s="1">
        <f t="shared" ref="AI67:AI130" si="23">ROUND(M67, 0)</f>
        <v>0</v>
      </c>
      <c r="AJ67" s="1">
        <f>SUMXMY2(Z67:AI67, Occurrence!B$3:K$3)</f>
        <v>4</v>
      </c>
      <c r="AK67" s="1">
        <f t="shared" ref="AK67:AK130" si="24">10-AJ67</f>
        <v>6</v>
      </c>
    </row>
    <row r="68" spans="1:37">
      <c r="A68" s="1">
        <v>67</v>
      </c>
      <c r="B68" s="1">
        <v>4252066</v>
      </c>
      <c r="C68" s="6">
        <v>803</v>
      </c>
      <c r="D68" s="1">
        <v>0.3</v>
      </c>
      <c r="E68" s="1">
        <v>0.4</v>
      </c>
      <c r="F68" s="1">
        <v>0.5</v>
      </c>
      <c r="G68" s="1">
        <v>0.3</v>
      </c>
      <c r="H68" s="1">
        <v>0.4</v>
      </c>
      <c r="I68" s="1">
        <v>0.5</v>
      </c>
      <c r="J68" s="1">
        <v>0.3</v>
      </c>
      <c r="K68" s="1">
        <v>0.4</v>
      </c>
      <c r="L68" s="1">
        <v>0.4</v>
      </c>
      <c r="M68" s="1">
        <v>0.2</v>
      </c>
      <c r="N68" s="1">
        <f>(Occurrence!B$3-D68)^2</f>
        <v>0.09</v>
      </c>
      <c r="O68" s="1">
        <f>(Occurrence!C$3-E68)^2</f>
        <v>0.16000000000000003</v>
      </c>
      <c r="P68" s="1">
        <f>(Occurrence!D$3-F68)^2</f>
        <v>0.25</v>
      </c>
      <c r="Q68" s="1">
        <f>(Occurrence!E$3-G68)^2</f>
        <v>0.48999999999999994</v>
      </c>
      <c r="R68" s="1">
        <f>(Occurrence!F$3-H68)^2</f>
        <v>0.16000000000000003</v>
      </c>
      <c r="S68" s="1">
        <f>(Occurrence!G$3-I68)^2</f>
        <v>0.25</v>
      </c>
      <c r="T68" s="1">
        <f>(Occurrence!H$3-J68)^2</f>
        <v>0.48999999999999994</v>
      </c>
      <c r="U68" s="1">
        <f>(Occurrence!I$3-K68)^2</f>
        <v>0.36</v>
      </c>
      <c r="V68" s="1">
        <f>(Occurrence!J$3-L68)^2</f>
        <v>0.16000000000000003</v>
      </c>
      <c r="W68" s="1">
        <f>(Occurrence!K$3-M68)^2</f>
        <v>0.64000000000000012</v>
      </c>
      <c r="X68" s="1">
        <f t="shared" si="13"/>
        <v>3.0500000000000003</v>
      </c>
      <c r="Z68" s="1">
        <f t="shared" si="14"/>
        <v>0</v>
      </c>
      <c r="AA68" s="1">
        <f t="shared" si="15"/>
        <v>0</v>
      </c>
      <c r="AB68" s="1">
        <f t="shared" si="16"/>
        <v>1</v>
      </c>
      <c r="AC68" s="1">
        <f t="shared" si="17"/>
        <v>0</v>
      </c>
      <c r="AD68" s="1">
        <f t="shared" si="18"/>
        <v>0</v>
      </c>
      <c r="AE68" s="1">
        <f t="shared" si="19"/>
        <v>1</v>
      </c>
      <c r="AF68" s="1">
        <f t="shared" si="20"/>
        <v>0</v>
      </c>
      <c r="AG68" s="1">
        <f t="shared" si="21"/>
        <v>0</v>
      </c>
      <c r="AH68" s="1">
        <f t="shared" si="22"/>
        <v>0</v>
      </c>
      <c r="AI68" s="1">
        <f t="shared" si="23"/>
        <v>0</v>
      </c>
      <c r="AJ68" s="1">
        <f>SUMXMY2(Z68:AI68, Occurrence!B$3:K$3)</f>
        <v>5</v>
      </c>
      <c r="AK68" s="1">
        <f t="shared" si="24"/>
        <v>5</v>
      </c>
    </row>
    <row r="69" spans="1:37">
      <c r="A69" s="1">
        <v>68</v>
      </c>
      <c r="B69" s="1">
        <v>4252067</v>
      </c>
      <c r="C69" s="6">
        <v>803</v>
      </c>
      <c r="D69" s="1">
        <v>0.1</v>
      </c>
      <c r="E69" s="1">
        <v>0.9</v>
      </c>
      <c r="F69" s="1">
        <v>0.1</v>
      </c>
      <c r="G69" s="1">
        <v>0.9</v>
      </c>
      <c r="H69" s="1">
        <v>1</v>
      </c>
      <c r="I69" s="1">
        <v>0</v>
      </c>
      <c r="J69" s="1">
        <v>0.5</v>
      </c>
      <c r="K69" s="1">
        <v>1</v>
      </c>
      <c r="L69" s="1">
        <v>0</v>
      </c>
      <c r="M69" s="1">
        <v>0.5</v>
      </c>
      <c r="N69" s="1">
        <f>(Occurrence!B$3-D69)^2</f>
        <v>1.0000000000000002E-2</v>
      </c>
      <c r="O69" s="1">
        <f>(Occurrence!C$3-E69)^2</f>
        <v>0.81</v>
      </c>
      <c r="P69" s="1">
        <f>(Occurrence!D$3-F69)^2</f>
        <v>0.81</v>
      </c>
      <c r="Q69" s="1">
        <f>(Occurrence!E$3-G69)^2</f>
        <v>9.999999999999995E-3</v>
      </c>
      <c r="R69" s="1">
        <f>(Occurrence!F$3-H69)^2</f>
        <v>1</v>
      </c>
      <c r="S69" s="1">
        <f>(Occurrence!G$3-I69)^2</f>
        <v>0</v>
      </c>
      <c r="T69" s="1">
        <f>(Occurrence!H$3-J69)^2</f>
        <v>0.25</v>
      </c>
      <c r="U69" s="1">
        <f>(Occurrence!I$3-K69)^2</f>
        <v>0</v>
      </c>
      <c r="V69" s="1">
        <f>(Occurrence!J$3-L69)^2</f>
        <v>0</v>
      </c>
      <c r="W69" s="1">
        <f>(Occurrence!K$3-M69)^2</f>
        <v>0.25</v>
      </c>
      <c r="X69" s="1">
        <f t="shared" si="13"/>
        <v>3.14</v>
      </c>
      <c r="Z69" s="1">
        <f t="shared" si="14"/>
        <v>0</v>
      </c>
      <c r="AA69" s="1">
        <f t="shared" si="15"/>
        <v>1</v>
      </c>
      <c r="AB69" s="1">
        <f t="shared" si="16"/>
        <v>0</v>
      </c>
      <c r="AC69" s="1">
        <f t="shared" si="17"/>
        <v>1</v>
      </c>
      <c r="AD69" s="1">
        <f t="shared" si="18"/>
        <v>1</v>
      </c>
      <c r="AE69" s="1">
        <f t="shared" si="19"/>
        <v>0</v>
      </c>
      <c r="AF69" s="1">
        <f t="shared" si="20"/>
        <v>1</v>
      </c>
      <c r="AG69" s="1">
        <f t="shared" si="21"/>
        <v>1</v>
      </c>
      <c r="AH69" s="1">
        <f t="shared" si="22"/>
        <v>0</v>
      </c>
      <c r="AI69" s="1">
        <f t="shared" si="23"/>
        <v>1</v>
      </c>
      <c r="AJ69" s="1">
        <f>SUMXMY2(Z69:AI69, Occurrence!B$3:K$3)</f>
        <v>3</v>
      </c>
      <c r="AK69" s="1">
        <f t="shared" si="24"/>
        <v>7</v>
      </c>
    </row>
    <row r="70" spans="1:37">
      <c r="A70" s="1">
        <v>69</v>
      </c>
      <c r="B70" s="1">
        <v>4252068</v>
      </c>
      <c r="C70" s="6">
        <v>803</v>
      </c>
      <c r="D70" s="1">
        <v>0.1</v>
      </c>
      <c r="E70" s="1">
        <v>0.2</v>
      </c>
      <c r="F70" s="1">
        <v>0.2</v>
      </c>
      <c r="G70" s="1">
        <v>0.3</v>
      </c>
      <c r="H70" s="1">
        <v>0.7</v>
      </c>
      <c r="I70" s="1">
        <v>0.05</v>
      </c>
      <c r="J70" s="1">
        <v>0.5</v>
      </c>
      <c r="K70" s="1">
        <v>0.3</v>
      </c>
      <c r="L70" s="1">
        <v>0.1</v>
      </c>
      <c r="M70" s="1">
        <v>0.25</v>
      </c>
      <c r="N70" s="1">
        <f>(Occurrence!B$3-D70)^2</f>
        <v>1.0000000000000002E-2</v>
      </c>
      <c r="O70" s="1">
        <f>(Occurrence!C$3-E70)^2</f>
        <v>4.0000000000000008E-2</v>
      </c>
      <c r="P70" s="1">
        <f>(Occurrence!D$3-F70)^2</f>
        <v>0.64000000000000012</v>
      </c>
      <c r="Q70" s="1">
        <f>(Occurrence!E$3-G70)^2</f>
        <v>0.48999999999999994</v>
      </c>
      <c r="R70" s="1">
        <f>(Occurrence!F$3-H70)^2</f>
        <v>0.48999999999999994</v>
      </c>
      <c r="S70" s="1">
        <f>(Occurrence!G$3-I70)^2</f>
        <v>2.5000000000000005E-3</v>
      </c>
      <c r="T70" s="1">
        <f>(Occurrence!H$3-J70)^2</f>
        <v>0.25</v>
      </c>
      <c r="U70" s="1">
        <f>(Occurrence!I$3-K70)^2</f>
        <v>0.48999999999999994</v>
      </c>
      <c r="V70" s="1">
        <f>(Occurrence!J$3-L70)^2</f>
        <v>1.0000000000000002E-2</v>
      </c>
      <c r="W70" s="1">
        <f>(Occurrence!K$3-M70)^2</f>
        <v>0.5625</v>
      </c>
      <c r="X70" s="1">
        <f t="shared" si="13"/>
        <v>2.9849999999999999</v>
      </c>
      <c r="Z70" s="1">
        <f t="shared" si="14"/>
        <v>0</v>
      </c>
      <c r="AA70" s="1">
        <f t="shared" si="15"/>
        <v>0</v>
      </c>
      <c r="AB70" s="1">
        <f t="shared" si="16"/>
        <v>0</v>
      </c>
      <c r="AC70" s="1">
        <f t="shared" si="17"/>
        <v>0</v>
      </c>
      <c r="AD70" s="1">
        <f t="shared" si="18"/>
        <v>1</v>
      </c>
      <c r="AE70" s="1">
        <f t="shared" si="19"/>
        <v>0</v>
      </c>
      <c r="AF70" s="1">
        <f t="shared" si="20"/>
        <v>1</v>
      </c>
      <c r="AG70" s="1">
        <f t="shared" si="21"/>
        <v>0</v>
      </c>
      <c r="AH70" s="1">
        <f t="shared" si="22"/>
        <v>0</v>
      </c>
      <c r="AI70" s="1">
        <f t="shared" si="23"/>
        <v>0</v>
      </c>
      <c r="AJ70" s="1">
        <f>SUMXMY2(Z70:AI70, Occurrence!B$3:K$3)</f>
        <v>5</v>
      </c>
      <c r="AK70" s="1">
        <f t="shared" si="24"/>
        <v>5</v>
      </c>
    </row>
    <row r="71" spans="1:37">
      <c r="A71" s="1">
        <v>70</v>
      </c>
      <c r="B71" s="1">
        <v>4252069</v>
      </c>
      <c r="C71" s="6">
        <v>803</v>
      </c>
      <c r="D71" s="1">
        <v>0.1</v>
      </c>
      <c r="E71" s="1">
        <v>0.08</v>
      </c>
      <c r="F71" s="1">
        <v>0.9</v>
      </c>
      <c r="G71" s="1">
        <v>0.92</v>
      </c>
      <c r="H71" s="1">
        <v>0.16</v>
      </c>
      <c r="I71" s="1">
        <v>0.87</v>
      </c>
      <c r="J71" s="1">
        <v>0.63</v>
      </c>
      <c r="K71" s="1">
        <v>0.74</v>
      </c>
      <c r="L71" s="1">
        <v>0.6</v>
      </c>
      <c r="M71" s="1">
        <v>0.4</v>
      </c>
      <c r="N71" s="1">
        <f>(Occurrence!B$3-D71)^2</f>
        <v>1.0000000000000002E-2</v>
      </c>
      <c r="O71" s="1">
        <f>(Occurrence!C$3-E71)^2</f>
        <v>6.4000000000000003E-3</v>
      </c>
      <c r="P71" s="1">
        <f>(Occurrence!D$3-F71)^2</f>
        <v>9.999999999999995E-3</v>
      </c>
      <c r="Q71" s="1">
        <f>(Occurrence!E$3-G71)^2</f>
        <v>6.3999999999999934E-3</v>
      </c>
      <c r="R71" s="1">
        <f>(Occurrence!F$3-H71)^2</f>
        <v>2.5600000000000001E-2</v>
      </c>
      <c r="S71" s="1">
        <f>(Occurrence!G$3-I71)^2</f>
        <v>0.75690000000000002</v>
      </c>
      <c r="T71" s="1">
        <f>(Occurrence!H$3-J71)^2</f>
        <v>0.13689999999999999</v>
      </c>
      <c r="U71" s="1">
        <f>(Occurrence!I$3-K71)^2</f>
        <v>6.7600000000000007E-2</v>
      </c>
      <c r="V71" s="1">
        <f>(Occurrence!J$3-L71)^2</f>
        <v>0.36</v>
      </c>
      <c r="W71" s="1">
        <f>(Occurrence!K$3-M71)^2</f>
        <v>0.36</v>
      </c>
      <c r="X71" s="1">
        <f t="shared" si="13"/>
        <v>1.7397999999999998</v>
      </c>
      <c r="Z71" s="1">
        <f t="shared" si="14"/>
        <v>0</v>
      </c>
      <c r="AA71" s="1">
        <f t="shared" si="15"/>
        <v>0</v>
      </c>
      <c r="AB71" s="1">
        <f t="shared" si="16"/>
        <v>1</v>
      </c>
      <c r="AC71" s="1">
        <f t="shared" si="17"/>
        <v>1</v>
      </c>
      <c r="AD71" s="1">
        <f t="shared" si="18"/>
        <v>0</v>
      </c>
      <c r="AE71" s="1">
        <f t="shared" si="19"/>
        <v>1</v>
      </c>
      <c r="AF71" s="1">
        <f t="shared" si="20"/>
        <v>1</v>
      </c>
      <c r="AG71" s="1">
        <f t="shared" si="21"/>
        <v>1</v>
      </c>
      <c r="AH71" s="1">
        <f t="shared" si="22"/>
        <v>1</v>
      </c>
      <c r="AI71" s="1">
        <f t="shared" si="23"/>
        <v>0</v>
      </c>
      <c r="AJ71" s="1">
        <f>SUMXMY2(Z71:AI71, Occurrence!B$3:K$3)</f>
        <v>3</v>
      </c>
      <c r="AK71" s="1">
        <f t="shared" si="24"/>
        <v>7</v>
      </c>
    </row>
    <row r="72" spans="1:37">
      <c r="A72" s="1">
        <v>71</v>
      </c>
      <c r="B72" s="1">
        <v>4252070</v>
      </c>
      <c r="C72" s="6">
        <v>803</v>
      </c>
      <c r="D72" s="1">
        <v>0.1</v>
      </c>
      <c r="E72" s="1">
        <v>0.3</v>
      </c>
      <c r="F72" s="1">
        <v>0.6</v>
      </c>
      <c r="G72" s="1">
        <v>0.9</v>
      </c>
      <c r="H72" s="1">
        <v>0.8</v>
      </c>
      <c r="I72" s="1">
        <v>0.3</v>
      </c>
      <c r="J72" s="1">
        <v>0.2</v>
      </c>
      <c r="K72" s="1">
        <v>0.1</v>
      </c>
      <c r="L72" s="1">
        <v>0.2</v>
      </c>
      <c r="M72" s="1">
        <v>0.2</v>
      </c>
      <c r="N72" s="1">
        <f>(Occurrence!B$3-D72)^2</f>
        <v>1.0000000000000002E-2</v>
      </c>
      <c r="O72" s="1">
        <f>(Occurrence!C$3-E72)^2</f>
        <v>0.09</v>
      </c>
      <c r="P72" s="1">
        <f>(Occurrence!D$3-F72)^2</f>
        <v>0.16000000000000003</v>
      </c>
      <c r="Q72" s="1">
        <f>(Occurrence!E$3-G72)^2</f>
        <v>9.999999999999995E-3</v>
      </c>
      <c r="R72" s="1">
        <f>(Occurrence!F$3-H72)^2</f>
        <v>0.64000000000000012</v>
      </c>
      <c r="S72" s="1">
        <f>(Occurrence!G$3-I72)^2</f>
        <v>0.09</v>
      </c>
      <c r="T72" s="1">
        <f>(Occurrence!H$3-J72)^2</f>
        <v>0.64000000000000012</v>
      </c>
      <c r="U72" s="1">
        <f>(Occurrence!I$3-K72)^2</f>
        <v>0.81</v>
      </c>
      <c r="V72" s="1">
        <f>(Occurrence!J$3-L72)^2</f>
        <v>4.0000000000000008E-2</v>
      </c>
      <c r="W72" s="1">
        <f>(Occurrence!K$3-M72)^2</f>
        <v>0.64000000000000012</v>
      </c>
      <c r="X72" s="1">
        <f t="shared" si="13"/>
        <v>3.1300000000000003</v>
      </c>
      <c r="Z72" s="1">
        <f t="shared" si="14"/>
        <v>0</v>
      </c>
      <c r="AA72" s="1">
        <f t="shared" si="15"/>
        <v>0</v>
      </c>
      <c r="AB72" s="1">
        <f t="shared" si="16"/>
        <v>1</v>
      </c>
      <c r="AC72" s="1">
        <f t="shared" si="17"/>
        <v>1</v>
      </c>
      <c r="AD72" s="1">
        <f t="shared" si="18"/>
        <v>1</v>
      </c>
      <c r="AE72" s="1">
        <f t="shared" si="19"/>
        <v>0</v>
      </c>
      <c r="AF72" s="1">
        <f t="shared" si="20"/>
        <v>0</v>
      </c>
      <c r="AG72" s="1">
        <f t="shared" si="21"/>
        <v>0</v>
      </c>
      <c r="AH72" s="1">
        <f t="shared" si="22"/>
        <v>0</v>
      </c>
      <c r="AI72" s="1">
        <f t="shared" si="23"/>
        <v>0</v>
      </c>
      <c r="AJ72" s="1">
        <f>SUMXMY2(Z72:AI72, Occurrence!B$3:K$3)</f>
        <v>4</v>
      </c>
      <c r="AK72" s="1">
        <f t="shared" si="24"/>
        <v>6</v>
      </c>
    </row>
    <row r="73" spans="1:37">
      <c r="A73" s="1">
        <v>72</v>
      </c>
      <c r="B73" s="1">
        <v>4252071</v>
      </c>
      <c r="C73" s="6">
        <v>803</v>
      </c>
      <c r="D73" s="1">
        <v>0.08</v>
      </c>
      <c r="E73" s="1">
        <v>0.11</v>
      </c>
      <c r="F73" s="1">
        <v>0.8</v>
      </c>
      <c r="G73" s="1">
        <v>0.86</v>
      </c>
      <c r="H73" s="1">
        <v>0.91</v>
      </c>
      <c r="I73" s="1">
        <v>0.8</v>
      </c>
      <c r="J73" s="1">
        <v>0.5</v>
      </c>
      <c r="K73" s="1">
        <v>0.6</v>
      </c>
      <c r="L73" s="1">
        <v>0.8</v>
      </c>
      <c r="M73" s="1">
        <v>0.3</v>
      </c>
      <c r="N73" s="1">
        <f>(Occurrence!B$3-D73)^2</f>
        <v>6.4000000000000003E-3</v>
      </c>
      <c r="O73" s="1">
        <f>(Occurrence!C$3-E73)^2</f>
        <v>1.21E-2</v>
      </c>
      <c r="P73" s="1">
        <f>(Occurrence!D$3-F73)^2</f>
        <v>3.999999999999998E-2</v>
      </c>
      <c r="Q73" s="1">
        <f>(Occurrence!E$3-G73)^2</f>
        <v>1.9600000000000003E-2</v>
      </c>
      <c r="R73" s="1">
        <f>(Occurrence!F$3-H73)^2</f>
        <v>0.82810000000000006</v>
      </c>
      <c r="S73" s="1">
        <f>(Occurrence!G$3-I73)^2</f>
        <v>0.64000000000000012</v>
      </c>
      <c r="T73" s="1">
        <f>(Occurrence!H$3-J73)^2</f>
        <v>0.25</v>
      </c>
      <c r="U73" s="1">
        <f>(Occurrence!I$3-K73)^2</f>
        <v>0.16000000000000003</v>
      </c>
      <c r="V73" s="1">
        <f>(Occurrence!J$3-L73)^2</f>
        <v>0.64000000000000012</v>
      </c>
      <c r="W73" s="1">
        <f>(Occurrence!K$3-M73)^2</f>
        <v>0.48999999999999994</v>
      </c>
      <c r="X73" s="1">
        <f t="shared" si="13"/>
        <v>3.0862000000000003</v>
      </c>
      <c r="Z73" s="1">
        <f t="shared" si="14"/>
        <v>0</v>
      </c>
      <c r="AA73" s="1">
        <f t="shared" si="15"/>
        <v>0</v>
      </c>
      <c r="AB73" s="1">
        <f t="shared" si="16"/>
        <v>1</v>
      </c>
      <c r="AC73" s="1">
        <f t="shared" si="17"/>
        <v>1</v>
      </c>
      <c r="AD73" s="1">
        <f t="shared" si="18"/>
        <v>1</v>
      </c>
      <c r="AE73" s="1">
        <f t="shared" si="19"/>
        <v>1</v>
      </c>
      <c r="AF73" s="1">
        <f t="shared" si="20"/>
        <v>1</v>
      </c>
      <c r="AG73" s="1">
        <f t="shared" si="21"/>
        <v>1</v>
      </c>
      <c r="AH73" s="1">
        <f t="shared" si="22"/>
        <v>1</v>
      </c>
      <c r="AI73" s="1">
        <f t="shared" si="23"/>
        <v>0</v>
      </c>
      <c r="AJ73" s="1">
        <f>SUMXMY2(Z73:AI73, Occurrence!B$3:K$3)</f>
        <v>4</v>
      </c>
      <c r="AK73" s="1">
        <f t="shared" si="24"/>
        <v>6</v>
      </c>
    </row>
    <row r="74" spans="1:37">
      <c r="A74" s="1">
        <v>73</v>
      </c>
      <c r="B74" s="1">
        <v>4252072</v>
      </c>
      <c r="C74" s="6">
        <v>803</v>
      </c>
      <c r="D74" s="1">
        <v>0.15</v>
      </c>
      <c r="E74" s="1">
        <v>0.25</v>
      </c>
      <c r="F74" s="1">
        <v>0.2</v>
      </c>
      <c r="G74" s="1">
        <v>0.3</v>
      </c>
      <c r="H74" s="1">
        <v>0.1</v>
      </c>
      <c r="I74" s="1">
        <v>0.5</v>
      </c>
      <c r="J74" s="1">
        <v>0.32</v>
      </c>
      <c r="K74" s="1">
        <v>0.2</v>
      </c>
      <c r="L74" s="1">
        <v>0.15</v>
      </c>
      <c r="M74" s="1">
        <v>0.8</v>
      </c>
      <c r="N74" s="1">
        <f>(Occurrence!B$3-D74)^2</f>
        <v>2.2499999999999999E-2</v>
      </c>
      <c r="O74" s="1">
        <f>(Occurrence!C$3-E74)^2</f>
        <v>6.25E-2</v>
      </c>
      <c r="P74" s="1">
        <f>(Occurrence!D$3-F74)^2</f>
        <v>0.64000000000000012</v>
      </c>
      <c r="Q74" s="1">
        <f>(Occurrence!E$3-G74)^2</f>
        <v>0.48999999999999994</v>
      </c>
      <c r="R74" s="1">
        <f>(Occurrence!F$3-H74)^2</f>
        <v>1.0000000000000002E-2</v>
      </c>
      <c r="S74" s="1">
        <f>(Occurrence!G$3-I74)^2</f>
        <v>0.25</v>
      </c>
      <c r="T74" s="1">
        <f>(Occurrence!H$3-J74)^2</f>
        <v>0.46239999999999992</v>
      </c>
      <c r="U74" s="1">
        <f>(Occurrence!I$3-K74)^2</f>
        <v>0.64000000000000012</v>
      </c>
      <c r="V74" s="1">
        <f>(Occurrence!J$3-L74)^2</f>
        <v>2.2499999999999999E-2</v>
      </c>
      <c r="W74" s="1">
        <f>(Occurrence!K$3-M74)^2</f>
        <v>3.999999999999998E-2</v>
      </c>
      <c r="X74" s="1">
        <f t="shared" si="13"/>
        <v>2.6398999999999999</v>
      </c>
      <c r="Z74" s="1">
        <f t="shared" si="14"/>
        <v>0</v>
      </c>
      <c r="AA74" s="1">
        <f t="shared" si="15"/>
        <v>0</v>
      </c>
      <c r="AB74" s="1">
        <f t="shared" si="16"/>
        <v>0</v>
      </c>
      <c r="AC74" s="1">
        <f t="shared" si="17"/>
        <v>0</v>
      </c>
      <c r="AD74" s="1">
        <f t="shared" si="18"/>
        <v>0</v>
      </c>
      <c r="AE74" s="1">
        <f t="shared" si="19"/>
        <v>1</v>
      </c>
      <c r="AF74" s="1">
        <f t="shared" si="20"/>
        <v>0</v>
      </c>
      <c r="AG74" s="1">
        <f t="shared" si="21"/>
        <v>0</v>
      </c>
      <c r="AH74" s="1">
        <f t="shared" si="22"/>
        <v>0</v>
      </c>
      <c r="AI74" s="1">
        <f t="shared" si="23"/>
        <v>1</v>
      </c>
      <c r="AJ74" s="1">
        <f>SUMXMY2(Z74:AI74, Occurrence!B$3:K$3)</f>
        <v>5</v>
      </c>
      <c r="AK74" s="1">
        <f t="shared" si="24"/>
        <v>5</v>
      </c>
    </row>
    <row r="75" spans="1:37">
      <c r="A75" s="1">
        <v>74</v>
      </c>
      <c r="B75" s="1">
        <v>4252073</v>
      </c>
      <c r="C75" s="6">
        <v>803</v>
      </c>
      <c r="D75" s="1">
        <v>0.05</v>
      </c>
      <c r="E75" s="1">
        <v>0.3</v>
      </c>
      <c r="F75" s="1">
        <v>0.6</v>
      </c>
      <c r="G75" s="1">
        <v>0.65</v>
      </c>
      <c r="H75" s="1">
        <v>0.35</v>
      </c>
      <c r="I75" s="1">
        <v>0.75</v>
      </c>
      <c r="J75" s="1">
        <v>0.56999999999999995</v>
      </c>
      <c r="K75" s="1">
        <v>0.34</v>
      </c>
      <c r="L75" s="1">
        <v>0.67</v>
      </c>
      <c r="M75" s="1">
        <v>0.78</v>
      </c>
      <c r="N75" s="1">
        <f>(Occurrence!B$3-D75)^2</f>
        <v>2.5000000000000005E-3</v>
      </c>
      <c r="O75" s="1">
        <f>(Occurrence!C$3-E75)^2</f>
        <v>0.09</v>
      </c>
      <c r="P75" s="1">
        <f>(Occurrence!D$3-F75)^2</f>
        <v>0.16000000000000003</v>
      </c>
      <c r="Q75" s="1">
        <f>(Occurrence!E$3-G75)^2</f>
        <v>0.12249999999999998</v>
      </c>
      <c r="R75" s="1">
        <f>(Occurrence!F$3-H75)^2</f>
        <v>0.12249999999999998</v>
      </c>
      <c r="S75" s="1">
        <f>(Occurrence!G$3-I75)^2</f>
        <v>0.5625</v>
      </c>
      <c r="T75" s="1">
        <f>(Occurrence!H$3-J75)^2</f>
        <v>0.18490000000000004</v>
      </c>
      <c r="U75" s="1">
        <f>(Occurrence!I$3-K75)^2</f>
        <v>0.43559999999999988</v>
      </c>
      <c r="V75" s="1">
        <f>(Occurrence!J$3-L75)^2</f>
        <v>0.44890000000000008</v>
      </c>
      <c r="W75" s="1">
        <f>(Occurrence!K$3-M75)^2</f>
        <v>4.8399999999999992E-2</v>
      </c>
      <c r="X75" s="1">
        <f t="shared" si="13"/>
        <v>2.1778</v>
      </c>
      <c r="Z75" s="1">
        <f t="shared" si="14"/>
        <v>0</v>
      </c>
      <c r="AA75" s="1">
        <f t="shared" si="15"/>
        <v>0</v>
      </c>
      <c r="AB75" s="1">
        <f t="shared" si="16"/>
        <v>1</v>
      </c>
      <c r="AC75" s="1">
        <f t="shared" si="17"/>
        <v>1</v>
      </c>
      <c r="AD75" s="1">
        <f t="shared" si="18"/>
        <v>0</v>
      </c>
      <c r="AE75" s="1">
        <f t="shared" si="19"/>
        <v>1</v>
      </c>
      <c r="AF75" s="1">
        <f t="shared" si="20"/>
        <v>1</v>
      </c>
      <c r="AG75" s="1">
        <f t="shared" si="21"/>
        <v>0</v>
      </c>
      <c r="AH75" s="1">
        <f t="shared" si="22"/>
        <v>1</v>
      </c>
      <c r="AI75" s="1">
        <f t="shared" si="23"/>
        <v>1</v>
      </c>
      <c r="AJ75" s="1">
        <f>SUMXMY2(Z75:AI75, Occurrence!B$3:K$3)</f>
        <v>3</v>
      </c>
      <c r="AK75" s="1">
        <f t="shared" si="24"/>
        <v>7</v>
      </c>
    </row>
    <row r="76" spans="1:37">
      <c r="A76" s="1">
        <v>75</v>
      </c>
      <c r="B76" s="1">
        <v>4252074</v>
      </c>
      <c r="C76" s="6">
        <v>803</v>
      </c>
      <c r="D76" s="1">
        <v>0.15</v>
      </c>
      <c r="E76" s="1">
        <v>0.4</v>
      </c>
      <c r="F76" s="1">
        <v>0.15</v>
      </c>
      <c r="G76" s="1">
        <v>0.4</v>
      </c>
      <c r="H76" s="1">
        <v>0.7</v>
      </c>
      <c r="I76" s="1">
        <v>0.9</v>
      </c>
      <c r="J76" s="1">
        <v>0.4</v>
      </c>
      <c r="K76" s="1">
        <v>0.6</v>
      </c>
      <c r="L76" s="1">
        <v>0.55000000000000004</v>
      </c>
      <c r="M76" s="1">
        <v>0.7</v>
      </c>
      <c r="N76" s="1">
        <f>(Occurrence!B$3-D76)^2</f>
        <v>2.2499999999999999E-2</v>
      </c>
      <c r="O76" s="1">
        <f>(Occurrence!C$3-E76)^2</f>
        <v>0.16000000000000003</v>
      </c>
      <c r="P76" s="1">
        <f>(Occurrence!D$3-F76)^2</f>
        <v>0.72249999999999992</v>
      </c>
      <c r="Q76" s="1">
        <f>(Occurrence!E$3-G76)^2</f>
        <v>0.36</v>
      </c>
      <c r="R76" s="1">
        <f>(Occurrence!F$3-H76)^2</f>
        <v>0.48999999999999994</v>
      </c>
      <c r="S76" s="1">
        <f>(Occurrence!G$3-I76)^2</f>
        <v>0.81</v>
      </c>
      <c r="T76" s="1">
        <f>(Occurrence!H$3-J76)^2</f>
        <v>0.36</v>
      </c>
      <c r="U76" s="1">
        <f>(Occurrence!I$3-K76)^2</f>
        <v>0.16000000000000003</v>
      </c>
      <c r="V76" s="1">
        <f>(Occurrence!J$3-L76)^2</f>
        <v>0.30250000000000005</v>
      </c>
      <c r="W76" s="1">
        <f>(Occurrence!K$3-M76)^2</f>
        <v>9.0000000000000024E-2</v>
      </c>
      <c r="X76" s="1">
        <f t="shared" si="13"/>
        <v>3.4775</v>
      </c>
      <c r="Z76" s="1">
        <f t="shared" si="14"/>
        <v>0</v>
      </c>
      <c r="AA76" s="1">
        <f t="shared" si="15"/>
        <v>0</v>
      </c>
      <c r="AB76" s="1">
        <f t="shared" si="16"/>
        <v>0</v>
      </c>
      <c r="AC76" s="1">
        <f t="shared" si="17"/>
        <v>0</v>
      </c>
      <c r="AD76" s="1">
        <f t="shared" si="18"/>
        <v>1</v>
      </c>
      <c r="AE76" s="1">
        <f t="shared" si="19"/>
        <v>1</v>
      </c>
      <c r="AF76" s="1">
        <f t="shared" si="20"/>
        <v>0</v>
      </c>
      <c r="AG76" s="1">
        <f t="shared" si="21"/>
        <v>1</v>
      </c>
      <c r="AH76" s="1">
        <f t="shared" si="22"/>
        <v>1</v>
      </c>
      <c r="AI76" s="1">
        <f t="shared" si="23"/>
        <v>1</v>
      </c>
      <c r="AJ76" s="1">
        <f>SUMXMY2(Z76:AI76, Occurrence!B$3:K$3)</f>
        <v>6</v>
      </c>
      <c r="AK76" s="1">
        <f t="shared" si="24"/>
        <v>4</v>
      </c>
    </row>
    <row r="77" spans="1:37">
      <c r="A77" s="1">
        <v>76</v>
      </c>
      <c r="B77" s="1">
        <v>4252075</v>
      </c>
      <c r="C77" s="6">
        <v>803</v>
      </c>
      <c r="D77" s="1">
        <v>0.4</v>
      </c>
      <c r="E77" s="1">
        <v>0.8</v>
      </c>
      <c r="F77" s="1">
        <v>0.8</v>
      </c>
      <c r="G77" s="1">
        <v>0.4</v>
      </c>
      <c r="H77" s="1">
        <v>0.75</v>
      </c>
      <c r="I77" s="1">
        <v>0.1</v>
      </c>
      <c r="J77" s="1">
        <v>0.15</v>
      </c>
      <c r="K77" s="1">
        <v>0.9</v>
      </c>
      <c r="L77" s="1">
        <v>0.25</v>
      </c>
      <c r="M77" s="1">
        <v>0.6</v>
      </c>
      <c r="N77" s="1">
        <f>(Occurrence!B$3-D77)^2</f>
        <v>0.16000000000000003</v>
      </c>
      <c r="O77" s="1">
        <f>(Occurrence!C$3-E77)^2</f>
        <v>0.64000000000000012</v>
      </c>
      <c r="P77" s="1">
        <f>(Occurrence!D$3-F77)^2</f>
        <v>3.999999999999998E-2</v>
      </c>
      <c r="Q77" s="1">
        <f>(Occurrence!E$3-G77)^2</f>
        <v>0.36</v>
      </c>
      <c r="R77" s="1">
        <f>(Occurrence!F$3-H77)^2</f>
        <v>0.5625</v>
      </c>
      <c r="S77" s="1">
        <f>(Occurrence!G$3-I77)^2</f>
        <v>1.0000000000000002E-2</v>
      </c>
      <c r="T77" s="1">
        <f>(Occurrence!H$3-J77)^2</f>
        <v>0.72249999999999992</v>
      </c>
      <c r="U77" s="1">
        <f>(Occurrence!I$3-K77)^2</f>
        <v>9.999999999999995E-3</v>
      </c>
      <c r="V77" s="1">
        <f>(Occurrence!J$3-L77)^2</f>
        <v>6.25E-2</v>
      </c>
      <c r="W77" s="1">
        <f>(Occurrence!K$3-M77)^2</f>
        <v>0.16000000000000003</v>
      </c>
      <c r="X77" s="1">
        <f t="shared" si="13"/>
        <v>2.7275</v>
      </c>
      <c r="Z77" s="1">
        <f t="shared" si="14"/>
        <v>0</v>
      </c>
      <c r="AA77" s="1">
        <f t="shared" si="15"/>
        <v>1</v>
      </c>
      <c r="AB77" s="1">
        <f t="shared" si="16"/>
        <v>1</v>
      </c>
      <c r="AC77" s="1">
        <f t="shared" si="17"/>
        <v>0</v>
      </c>
      <c r="AD77" s="1">
        <f t="shared" si="18"/>
        <v>1</v>
      </c>
      <c r="AE77" s="1">
        <f t="shared" si="19"/>
        <v>0</v>
      </c>
      <c r="AF77" s="1">
        <f t="shared" si="20"/>
        <v>0</v>
      </c>
      <c r="AG77" s="1">
        <f t="shared" si="21"/>
        <v>1</v>
      </c>
      <c r="AH77" s="1">
        <f t="shared" si="22"/>
        <v>0</v>
      </c>
      <c r="AI77" s="1">
        <f t="shared" si="23"/>
        <v>1</v>
      </c>
      <c r="AJ77" s="1">
        <f>SUMXMY2(Z77:AI77, Occurrence!B$3:K$3)</f>
        <v>4</v>
      </c>
      <c r="AK77" s="1">
        <f t="shared" si="24"/>
        <v>6</v>
      </c>
    </row>
    <row r="78" spans="1:37">
      <c r="A78" s="1">
        <v>77</v>
      </c>
      <c r="B78" s="1">
        <v>4252076</v>
      </c>
      <c r="C78" s="6">
        <v>803</v>
      </c>
      <c r="D78" s="1">
        <v>0.1</v>
      </c>
      <c r="E78" s="1">
        <v>0.25</v>
      </c>
      <c r="F78" s="1">
        <v>0.67</v>
      </c>
      <c r="G78" s="1">
        <v>0.9</v>
      </c>
      <c r="H78" s="1">
        <v>0.95</v>
      </c>
      <c r="I78" s="1">
        <v>0.01</v>
      </c>
      <c r="J78" s="1">
        <v>0.7</v>
      </c>
      <c r="K78" s="1">
        <v>0.95</v>
      </c>
      <c r="L78" s="1">
        <v>0.1</v>
      </c>
      <c r="M78" s="1">
        <v>0.85</v>
      </c>
      <c r="N78" s="1">
        <f>(Occurrence!B$3-D78)^2</f>
        <v>1.0000000000000002E-2</v>
      </c>
      <c r="O78" s="1">
        <f>(Occurrence!C$3-E78)^2</f>
        <v>6.25E-2</v>
      </c>
      <c r="P78" s="1">
        <f>(Occurrence!D$3-F78)^2</f>
        <v>0.10889999999999997</v>
      </c>
      <c r="Q78" s="1">
        <f>(Occurrence!E$3-G78)^2</f>
        <v>9.999999999999995E-3</v>
      </c>
      <c r="R78" s="1">
        <f>(Occurrence!F$3-H78)^2</f>
        <v>0.90249999999999997</v>
      </c>
      <c r="S78" s="1">
        <f>(Occurrence!G$3-I78)^2</f>
        <v>1E-4</v>
      </c>
      <c r="T78" s="1">
        <f>(Occurrence!H$3-J78)^2</f>
        <v>9.0000000000000024E-2</v>
      </c>
      <c r="U78" s="1">
        <f>(Occurrence!I$3-K78)^2</f>
        <v>2.5000000000000044E-3</v>
      </c>
      <c r="V78" s="1">
        <f>(Occurrence!J$3-L78)^2</f>
        <v>1.0000000000000002E-2</v>
      </c>
      <c r="W78" s="1">
        <f>(Occurrence!K$3-M78)^2</f>
        <v>2.2500000000000006E-2</v>
      </c>
      <c r="X78" s="1">
        <f t="shared" si="13"/>
        <v>1.2189999999999999</v>
      </c>
      <c r="Z78" s="1">
        <f t="shared" si="14"/>
        <v>0</v>
      </c>
      <c r="AA78" s="1">
        <f t="shared" si="15"/>
        <v>0</v>
      </c>
      <c r="AB78" s="1">
        <f t="shared" si="16"/>
        <v>1</v>
      </c>
      <c r="AC78" s="1">
        <f t="shared" si="17"/>
        <v>1</v>
      </c>
      <c r="AD78" s="1">
        <f t="shared" si="18"/>
        <v>1</v>
      </c>
      <c r="AE78" s="1">
        <f t="shared" si="19"/>
        <v>0</v>
      </c>
      <c r="AF78" s="1">
        <f t="shared" si="20"/>
        <v>1</v>
      </c>
      <c r="AG78" s="1">
        <f t="shared" si="21"/>
        <v>1</v>
      </c>
      <c r="AH78" s="1">
        <f t="shared" si="22"/>
        <v>0</v>
      </c>
      <c r="AI78" s="1">
        <f t="shared" si="23"/>
        <v>1</v>
      </c>
      <c r="AJ78" s="1">
        <f>SUMXMY2(Z78:AI78, Occurrence!B$3:K$3)</f>
        <v>1</v>
      </c>
      <c r="AK78" s="1">
        <f t="shared" si="24"/>
        <v>9</v>
      </c>
    </row>
    <row r="79" spans="1:37">
      <c r="A79" s="1">
        <v>78</v>
      </c>
      <c r="B79" s="1">
        <v>4252077</v>
      </c>
      <c r="C79" s="6">
        <v>803</v>
      </c>
      <c r="D79" s="1">
        <v>5.2499999999999998E-2</v>
      </c>
      <c r="E79" s="1">
        <v>0.53500000000000003</v>
      </c>
      <c r="F79" s="1">
        <v>1.2500000000000001E-2</v>
      </c>
      <c r="G79" s="1">
        <v>0.35399999999999998</v>
      </c>
      <c r="H79" s="1">
        <v>0.25</v>
      </c>
      <c r="I79" s="1">
        <v>0.8</v>
      </c>
      <c r="J79" s="1">
        <v>0.4</v>
      </c>
      <c r="K79" s="1">
        <v>0.3</v>
      </c>
      <c r="L79" s="1">
        <v>0.75</v>
      </c>
      <c r="M79" s="1">
        <v>1.2500000000000001E-2</v>
      </c>
      <c r="N79" s="1">
        <f>(Occurrence!B$3-D79)^2</f>
        <v>2.7562499999999996E-3</v>
      </c>
      <c r="O79" s="1">
        <f>(Occurrence!C$3-E79)^2</f>
        <v>0.28622500000000001</v>
      </c>
      <c r="P79" s="1">
        <f>(Occurrence!D$3-F79)^2</f>
        <v>0.97515625000000006</v>
      </c>
      <c r="Q79" s="1">
        <f>(Occurrence!E$3-G79)^2</f>
        <v>0.41731600000000002</v>
      </c>
      <c r="R79" s="1">
        <f>(Occurrence!F$3-H79)^2</f>
        <v>6.25E-2</v>
      </c>
      <c r="S79" s="1">
        <f>(Occurrence!G$3-I79)^2</f>
        <v>0.64000000000000012</v>
      </c>
      <c r="T79" s="1">
        <f>(Occurrence!H$3-J79)^2</f>
        <v>0.36</v>
      </c>
      <c r="U79" s="1">
        <f>(Occurrence!I$3-K79)^2</f>
        <v>0.48999999999999994</v>
      </c>
      <c r="V79" s="1">
        <f>(Occurrence!J$3-L79)^2</f>
        <v>0.5625</v>
      </c>
      <c r="W79" s="1">
        <f>(Occurrence!K$3-M79)^2</f>
        <v>0.97515625000000006</v>
      </c>
      <c r="X79" s="1">
        <f t="shared" si="13"/>
        <v>4.7716097500000005</v>
      </c>
      <c r="Z79" s="1">
        <f t="shared" si="14"/>
        <v>0</v>
      </c>
      <c r="AA79" s="1">
        <f t="shared" si="15"/>
        <v>1</v>
      </c>
      <c r="AB79" s="1">
        <f t="shared" si="16"/>
        <v>0</v>
      </c>
      <c r="AC79" s="1">
        <f t="shared" si="17"/>
        <v>0</v>
      </c>
      <c r="AD79" s="1">
        <f t="shared" si="18"/>
        <v>0</v>
      </c>
      <c r="AE79" s="1">
        <f t="shared" si="19"/>
        <v>1</v>
      </c>
      <c r="AF79" s="1">
        <f t="shared" si="20"/>
        <v>0</v>
      </c>
      <c r="AG79" s="1">
        <f t="shared" si="21"/>
        <v>0</v>
      </c>
      <c r="AH79" s="1">
        <f t="shared" si="22"/>
        <v>1</v>
      </c>
      <c r="AI79" s="1">
        <f t="shared" si="23"/>
        <v>0</v>
      </c>
      <c r="AJ79" s="1">
        <f>SUMXMY2(Z79:AI79, Occurrence!B$3:K$3)</f>
        <v>8</v>
      </c>
      <c r="AK79" s="1">
        <f t="shared" si="24"/>
        <v>2</v>
      </c>
    </row>
    <row r="80" spans="1:37">
      <c r="A80" s="1">
        <v>79</v>
      </c>
      <c r="B80" s="1">
        <v>4252078</v>
      </c>
      <c r="C80" s="6">
        <v>803</v>
      </c>
      <c r="D80" s="1">
        <v>0.2</v>
      </c>
      <c r="E80" s="1">
        <v>0.35</v>
      </c>
      <c r="F80" s="1">
        <v>0.5</v>
      </c>
      <c r="G80" s="1">
        <v>0.7</v>
      </c>
      <c r="H80" s="1">
        <v>0.3</v>
      </c>
      <c r="I80" s="1">
        <v>0.5</v>
      </c>
      <c r="J80" s="1">
        <v>0.12</v>
      </c>
      <c r="K80" s="1">
        <v>0.05</v>
      </c>
      <c r="L80" s="1">
        <v>0.8</v>
      </c>
      <c r="M80" s="1">
        <v>0.95</v>
      </c>
      <c r="N80" s="1">
        <f>(Occurrence!B$3-D80)^2</f>
        <v>4.0000000000000008E-2</v>
      </c>
      <c r="O80" s="1">
        <f>(Occurrence!C$3-E80)^2</f>
        <v>0.12249999999999998</v>
      </c>
      <c r="P80" s="1">
        <f>(Occurrence!D$3-F80)^2</f>
        <v>0.25</v>
      </c>
      <c r="Q80" s="1">
        <f>(Occurrence!E$3-G80)^2</f>
        <v>9.0000000000000024E-2</v>
      </c>
      <c r="R80" s="1">
        <f>(Occurrence!F$3-H80)^2</f>
        <v>0.09</v>
      </c>
      <c r="S80" s="1">
        <f>(Occurrence!G$3-I80)^2</f>
        <v>0.25</v>
      </c>
      <c r="T80" s="1">
        <f>(Occurrence!H$3-J80)^2</f>
        <v>0.77439999999999998</v>
      </c>
      <c r="U80" s="1">
        <f>(Occurrence!I$3-K80)^2</f>
        <v>0.90249999999999997</v>
      </c>
      <c r="V80" s="1">
        <f>(Occurrence!J$3-L80)^2</f>
        <v>0.64000000000000012</v>
      </c>
      <c r="W80" s="1">
        <f>(Occurrence!K$3-M80)^2</f>
        <v>2.5000000000000044E-3</v>
      </c>
      <c r="X80" s="1">
        <f t="shared" si="13"/>
        <v>3.1618999999999997</v>
      </c>
      <c r="Z80" s="1">
        <f t="shared" si="14"/>
        <v>0</v>
      </c>
      <c r="AA80" s="1">
        <f t="shared" si="15"/>
        <v>0</v>
      </c>
      <c r="AB80" s="1">
        <f t="shared" si="16"/>
        <v>1</v>
      </c>
      <c r="AC80" s="1">
        <f t="shared" si="17"/>
        <v>1</v>
      </c>
      <c r="AD80" s="1">
        <f t="shared" si="18"/>
        <v>0</v>
      </c>
      <c r="AE80" s="1">
        <f t="shared" si="19"/>
        <v>1</v>
      </c>
      <c r="AF80" s="1">
        <f t="shared" si="20"/>
        <v>0</v>
      </c>
      <c r="AG80" s="1">
        <f t="shared" si="21"/>
        <v>0</v>
      </c>
      <c r="AH80" s="1">
        <f t="shared" si="22"/>
        <v>1</v>
      </c>
      <c r="AI80" s="1">
        <f t="shared" si="23"/>
        <v>1</v>
      </c>
      <c r="AJ80" s="1">
        <f>SUMXMY2(Z80:AI80, Occurrence!B$3:K$3)</f>
        <v>4</v>
      </c>
      <c r="AK80" s="1">
        <f t="shared" si="24"/>
        <v>6</v>
      </c>
    </row>
    <row r="81" spans="1:37">
      <c r="A81" s="1">
        <v>80</v>
      </c>
      <c r="B81" s="1">
        <v>4252079</v>
      </c>
      <c r="C81" s="6">
        <v>803</v>
      </c>
      <c r="D81" s="1">
        <v>0.4</v>
      </c>
      <c r="E81" s="1">
        <v>0.8</v>
      </c>
      <c r="F81" s="1">
        <v>0.2</v>
      </c>
      <c r="G81" s="1">
        <v>0.7</v>
      </c>
      <c r="H81" s="1">
        <v>0.25929999999999997</v>
      </c>
      <c r="I81" s="1">
        <v>0.8</v>
      </c>
      <c r="J81" s="1">
        <v>0.15</v>
      </c>
      <c r="K81" s="1">
        <v>0.2</v>
      </c>
      <c r="L81" s="1">
        <v>0.95</v>
      </c>
      <c r="M81" s="1">
        <v>0.11</v>
      </c>
      <c r="N81" s="1">
        <f>(Occurrence!B$3-D81)^2</f>
        <v>0.16000000000000003</v>
      </c>
      <c r="O81" s="1">
        <f>(Occurrence!C$3-E81)^2</f>
        <v>0.64000000000000012</v>
      </c>
      <c r="P81" s="1">
        <f>(Occurrence!D$3-F81)^2</f>
        <v>0.64000000000000012</v>
      </c>
      <c r="Q81" s="1">
        <f>(Occurrence!E$3-G81)^2</f>
        <v>9.0000000000000024E-2</v>
      </c>
      <c r="R81" s="1">
        <f>(Occurrence!F$3-H81)^2</f>
        <v>6.7236489999999982E-2</v>
      </c>
      <c r="S81" s="1">
        <f>(Occurrence!G$3-I81)^2</f>
        <v>0.64000000000000012</v>
      </c>
      <c r="T81" s="1">
        <f>(Occurrence!H$3-J81)^2</f>
        <v>0.72249999999999992</v>
      </c>
      <c r="U81" s="1">
        <f>(Occurrence!I$3-K81)^2</f>
        <v>0.64000000000000012</v>
      </c>
      <c r="V81" s="1">
        <f>(Occurrence!J$3-L81)^2</f>
        <v>0.90249999999999997</v>
      </c>
      <c r="W81" s="1">
        <f>(Occurrence!K$3-M81)^2</f>
        <v>0.79210000000000003</v>
      </c>
      <c r="X81" s="1">
        <f t="shared" si="13"/>
        <v>5.2943364900000009</v>
      </c>
      <c r="Z81" s="1">
        <f t="shared" si="14"/>
        <v>0</v>
      </c>
      <c r="AA81" s="1">
        <f t="shared" si="15"/>
        <v>1</v>
      </c>
      <c r="AB81" s="1">
        <f t="shared" si="16"/>
        <v>0</v>
      </c>
      <c r="AC81" s="1">
        <f t="shared" si="17"/>
        <v>1</v>
      </c>
      <c r="AD81" s="1">
        <f t="shared" si="18"/>
        <v>0</v>
      </c>
      <c r="AE81" s="1">
        <f t="shared" si="19"/>
        <v>1</v>
      </c>
      <c r="AF81" s="1">
        <f t="shared" si="20"/>
        <v>0</v>
      </c>
      <c r="AG81" s="1">
        <f t="shared" si="21"/>
        <v>0</v>
      </c>
      <c r="AH81" s="1">
        <f t="shared" si="22"/>
        <v>1</v>
      </c>
      <c r="AI81" s="1">
        <f t="shared" si="23"/>
        <v>0</v>
      </c>
      <c r="AJ81" s="1">
        <f>SUMXMY2(Z81:AI81, Occurrence!B$3:K$3)</f>
        <v>7</v>
      </c>
      <c r="AK81" s="1">
        <f t="shared" si="24"/>
        <v>3</v>
      </c>
    </row>
    <row r="82" spans="1:37">
      <c r="A82" s="1">
        <v>81</v>
      </c>
      <c r="B82" s="1">
        <v>4252080</v>
      </c>
      <c r="C82" s="6">
        <v>803</v>
      </c>
      <c r="D82" s="1">
        <v>0.05</v>
      </c>
      <c r="E82" s="1">
        <v>0.44</v>
      </c>
      <c r="F82" s="1">
        <v>0.88</v>
      </c>
      <c r="G82" s="1">
        <v>0.12</v>
      </c>
      <c r="H82" s="1">
        <v>7.0000000000000007E-2</v>
      </c>
      <c r="I82" s="1">
        <v>0.89</v>
      </c>
      <c r="J82" s="1">
        <v>0.55000000000000004</v>
      </c>
      <c r="K82" s="1">
        <v>0.87</v>
      </c>
      <c r="L82" s="1">
        <v>0.44</v>
      </c>
      <c r="M82" s="1">
        <v>0.06</v>
      </c>
      <c r="N82" s="1">
        <f>(Occurrence!B$3-D82)^2</f>
        <v>2.5000000000000005E-3</v>
      </c>
      <c r="O82" s="1">
        <f>(Occurrence!C$3-E82)^2</f>
        <v>0.19359999999999999</v>
      </c>
      <c r="P82" s="1">
        <f>(Occurrence!D$3-F82)^2</f>
        <v>1.44E-2</v>
      </c>
      <c r="Q82" s="1">
        <f>(Occurrence!E$3-G82)^2</f>
        <v>0.77439999999999998</v>
      </c>
      <c r="R82" s="1">
        <f>(Occurrence!F$3-H82)^2</f>
        <v>4.9000000000000007E-3</v>
      </c>
      <c r="S82" s="1">
        <f>(Occurrence!G$3-I82)^2</f>
        <v>0.79210000000000003</v>
      </c>
      <c r="T82" s="1">
        <f>(Occurrence!H$3-J82)^2</f>
        <v>0.20249999999999996</v>
      </c>
      <c r="U82" s="1">
        <f>(Occurrence!I$3-K82)^2</f>
        <v>1.6900000000000002E-2</v>
      </c>
      <c r="V82" s="1">
        <f>(Occurrence!J$3-L82)^2</f>
        <v>0.19359999999999999</v>
      </c>
      <c r="W82" s="1">
        <f>(Occurrence!K$3-M82)^2</f>
        <v>0.88359999999999994</v>
      </c>
      <c r="X82" s="1">
        <f t="shared" si="13"/>
        <v>3.0785</v>
      </c>
      <c r="Z82" s="1">
        <f t="shared" si="14"/>
        <v>0</v>
      </c>
      <c r="AA82" s="1">
        <f t="shared" si="15"/>
        <v>0</v>
      </c>
      <c r="AB82" s="1">
        <f t="shared" si="16"/>
        <v>1</v>
      </c>
      <c r="AC82" s="1">
        <f t="shared" si="17"/>
        <v>0</v>
      </c>
      <c r="AD82" s="1">
        <f t="shared" si="18"/>
        <v>0</v>
      </c>
      <c r="AE82" s="1">
        <f t="shared" si="19"/>
        <v>1</v>
      </c>
      <c r="AF82" s="1">
        <f t="shared" si="20"/>
        <v>1</v>
      </c>
      <c r="AG82" s="1">
        <f t="shared" si="21"/>
        <v>1</v>
      </c>
      <c r="AH82" s="1">
        <f t="shared" si="22"/>
        <v>0</v>
      </c>
      <c r="AI82" s="1">
        <f t="shared" si="23"/>
        <v>0</v>
      </c>
      <c r="AJ82" s="1">
        <f>SUMXMY2(Z82:AI82, Occurrence!B$3:K$3)</f>
        <v>3</v>
      </c>
      <c r="AK82" s="1">
        <f t="shared" si="24"/>
        <v>7</v>
      </c>
    </row>
    <row r="83" spans="1:37">
      <c r="A83" s="1">
        <v>82</v>
      </c>
      <c r="B83" s="1">
        <v>4252081</v>
      </c>
      <c r="C83" s="6">
        <v>803</v>
      </c>
      <c r="D83" s="1">
        <v>0.01</v>
      </c>
      <c r="E83" s="1">
        <v>0.03</v>
      </c>
      <c r="F83" s="1">
        <v>0.8</v>
      </c>
      <c r="G83" s="1">
        <v>0.95</v>
      </c>
      <c r="H83" s="1">
        <v>0.81</v>
      </c>
      <c r="I83" s="1">
        <v>0.95</v>
      </c>
      <c r="J83" s="1">
        <v>0.01</v>
      </c>
      <c r="K83" s="1">
        <v>0.95</v>
      </c>
      <c r="L83" s="1">
        <v>0.5</v>
      </c>
      <c r="M83" s="1">
        <v>0.75</v>
      </c>
      <c r="N83" s="1">
        <f>(Occurrence!B$3-D83)^2</f>
        <v>1E-4</v>
      </c>
      <c r="O83" s="1">
        <f>(Occurrence!C$3-E83)^2</f>
        <v>8.9999999999999998E-4</v>
      </c>
      <c r="P83" s="1">
        <f>(Occurrence!D$3-F83)^2</f>
        <v>3.999999999999998E-2</v>
      </c>
      <c r="Q83" s="1">
        <f>(Occurrence!E$3-G83)^2</f>
        <v>2.5000000000000044E-3</v>
      </c>
      <c r="R83" s="1">
        <f>(Occurrence!F$3-H83)^2</f>
        <v>0.65610000000000013</v>
      </c>
      <c r="S83" s="1">
        <f>(Occurrence!G$3-I83)^2</f>
        <v>0.90249999999999997</v>
      </c>
      <c r="T83" s="1">
        <f>(Occurrence!H$3-J83)^2</f>
        <v>0.98009999999999997</v>
      </c>
      <c r="U83" s="1">
        <f>(Occurrence!I$3-K83)^2</f>
        <v>2.5000000000000044E-3</v>
      </c>
      <c r="V83" s="1">
        <f>(Occurrence!J$3-L83)^2</f>
        <v>0.25</v>
      </c>
      <c r="W83" s="1">
        <f>(Occurrence!K$3-M83)^2</f>
        <v>6.25E-2</v>
      </c>
      <c r="X83" s="1">
        <f t="shared" si="13"/>
        <v>2.8972000000000002</v>
      </c>
      <c r="Z83" s="1">
        <f t="shared" si="14"/>
        <v>0</v>
      </c>
      <c r="AA83" s="1">
        <f t="shared" si="15"/>
        <v>0</v>
      </c>
      <c r="AB83" s="1">
        <f t="shared" si="16"/>
        <v>1</v>
      </c>
      <c r="AC83" s="1">
        <f t="shared" si="17"/>
        <v>1</v>
      </c>
      <c r="AD83" s="1">
        <f t="shared" si="18"/>
        <v>1</v>
      </c>
      <c r="AE83" s="1">
        <f t="shared" si="19"/>
        <v>1</v>
      </c>
      <c r="AF83" s="1">
        <f t="shared" si="20"/>
        <v>0</v>
      </c>
      <c r="AG83" s="1">
        <f t="shared" si="21"/>
        <v>1</v>
      </c>
      <c r="AH83" s="1">
        <f t="shared" si="22"/>
        <v>1</v>
      </c>
      <c r="AI83" s="1">
        <f t="shared" si="23"/>
        <v>1</v>
      </c>
      <c r="AJ83" s="1">
        <f>SUMXMY2(Z83:AI83, Occurrence!B$3:K$3)</f>
        <v>4</v>
      </c>
      <c r="AK83" s="1">
        <f t="shared" si="24"/>
        <v>6</v>
      </c>
    </row>
    <row r="84" spans="1:37">
      <c r="A84" s="1">
        <v>83</v>
      </c>
      <c r="B84" s="1">
        <v>4252082</v>
      </c>
      <c r="C84" s="6">
        <v>803</v>
      </c>
      <c r="D84" s="1">
        <v>1E-4</v>
      </c>
      <c r="E84" s="1">
        <v>0.1</v>
      </c>
      <c r="F84" s="1">
        <v>0.2</v>
      </c>
      <c r="G84" s="1">
        <v>0.7</v>
      </c>
      <c r="H84" s="1">
        <v>0.5</v>
      </c>
      <c r="I84" s="1">
        <v>0.15</v>
      </c>
      <c r="J84" s="1">
        <v>0.35</v>
      </c>
      <c r="K84" s="1">
        <v>0.62</v>
      </c>
      <c r="L84" s="1">
        <v>0.85</v>
      </c>
      <c r="M84" s="1">
        <v>0.34</v>
      </c>
      <c r="N84" s="1">
        <f>(Occurrence!B$3-D84)^2</f>
        <v>1E-8</v>
      </c>
      <c r="O84" s="1">
        <f>(Occurrence!C$3-E84)^2</f>
        <v>1.0000000000000002E-2</v>
      </c>
      <c r="P84" s="1">
        <f>(Occurrence!D$3-F84)^2</f>
        <v>0.64000000000000012</v>
      </c>
      <c r="Q84" s="1">
        <f>(Occurrence!E$3-G84)^2</f>
        <v>9.0000000000000024E-2</v>
      </c>
      <c r="R84" s="1">
        <f>(Occurrence!F$3-H84)^2</f>
        <v>0.25</v>
      </c>
      <c r="S84" s="1">
        <f>(Occurrence!G$3-I84)^2</f>
        <v>2.2499999999999999E-2</v>
      </c>
      <c r="T84" s="1">
        <f>(Occurrence!H$3-J84)^2</f>
        <v>0.42250000000000004</v>
      </c>
      <c r="U84" s="1">
        <f>(Occurrence!I$3-K84)^2</f>
        <v>0.1444</v>
      </c>
      <c r="V84" s="1">
        <f>(Occurrence!J$3-L84)^2</f>
        <v>0.72249999999999992</v>
      </c>
      <c r="W84" s="1">
        <f>(Occurrence!K$3-M84)^2</f>
        <v>0.43559999999999988</v>
      </c>
      <c r="X84" s="1">
        <f t="shared" si="13"/>
        <v>2.7375000100000002</v>
      </c>
      <c r="Z84" s="1">
        <f t="shared" si="14"/>
        <v>0</v>
      </c>
      <c r="AA84" s="1">
        <f t="shared" si="15"/>
        <v>0</v>
      </c>
      <c r="AB84" s="1">
        <f t="shared" si="16"/>
        <v>0</v>
      </c>
      <c r="AC84" s="1">
        <f t="shared" si="17"/>
        <v>1</v>
      </c>
      <c r="AD84" s="1">
        <f t="shared" si="18"/>
        <v>1</v>
      </c>
      <c r="AE84" s="1">
        <f t="shared" si="19"/>
        <v>0</v>
      </c>
      <c r="AF84" s="1">
        <f t="shared" si="20"/>
        <v>0</v>
      </c>
      <c r="AG84" s="1">
        <f t="shared" si="21"/>
        <v>1</v>
      </c>
      <c r="AH84" s="1">
        <f t="shared" si="22"/>
        <v>1</v>
      </c>
      <c r="AI84" s="1">
        <f t="shared" si="23"/>
        <v>0</v>
      </c>
      <c r="AJ84" s="1">
        <f>SUMXMY2(Z84:AI84, Occurrence!B$3:K$3)</f>
        <v>5</v>
      </c>
      <c r="AK84" s="1">
        <f t="shared" si="24"/>
        <v>5</v>
      </c>
    </row>
    <row r="85" spans="1:37">
      <c r="A85" s="1">
        <v>84</v>
      </c>
      <c r="B85" s="1">
        <v>4252083</v>
      </c>
      <c r="C85" s="6">
        <v>803</v>
      </c>
      <c r="D85" s="1">
        <v>0.1</v>
      </c>
      <c r="E85" s="1">
        <v>0.54</v>
      </c>
      <c r="F85" s="1">
        <v>0.01</v>
      </c>
      <c r="G85" s="1">
        <v>0.3</v>
      </c>
      <c r="H85" s="1">
        <v>0.4</v>
      </c>
      <c r="I85" s="1">
        <v>0.1</v>
      </c>
      <c r="J85" s="1">
        <v>0.8</v>
      </c>
      <c r="K85" s="1">
        <v>0.6</v>
      </c>
      <c r="L85" s="1">
        <v>0.32</v>
      </c>
      <c r="M85" s="1">
        <v>0.7</v>
      </c>
      <c r="N85" s="1">
        <f>(Occurrence!B$3-D85)^2</f>
        <v>1.0000000000000002E-2</v>
      </c>
      <c r="O85" s="1">
        <f>(Occurrence!C$3-E85)^2</f>
        <v>0.29160000000000003</v>
      </c>
      <c r="P85" s="1">
        <f>(Occurrence!D$3-F85)^2</f>
        <v>0.98009999999999997</v>
      </c>
      <c r="Q85" s="1">
        <f>(Occurrence!E$3-G85)^2</f>
        <v>0.48999999999999994</v>
      </c>
      <c r="R85" s="1">
        <f>(Occurrence!F$3-H85)^2</f>
        <v>0.16000000000000003</v>
      </c>
      <c r="S85" s="1">
        <f>(Occurrence!G$3-I85)^2</f>
        <v>1.0000000000000002E-2</v>
      </c>
      <c r="T85" s="1">
        <f>(Occurrence!H$3-J85)^2</f>
        <v>3.999999999999998E-2</v>
      </c>
      <c r="U85" s="1">
        <f>(Occurrence!I$3-K85)^2</f>
        <v>0.16000000000000003</v>
      </c>
      <c r="V85" s="1">
        <f>(Occurrence!J$3-L85)^2</f>
        <v>0.1024</v>
      </c>
      <c r="W85" s="1">
        <f>(Occurrence!K$3-M85)^2</f>
        <v>9.0000000000000024E-2</v>
      </c>
      <c r="X85" s="1">
        <f t="shared" si="13"/>
        <v>2.3340999999999998</v>
      </c>
      <c r="Z85" s="1">
        <f t="shared" si="14"/>
        <v>0</v>
      </c>
      <c r="AA85" s="1">
        <f t="shared" si="15"/>
        <v>1</v>
      </c>
      <c r="AB85" s="1">
        <f t="shared" si="16"/>
        <v>0</v>
      </c>
      <c r="AC85" s="1">
        <f t="shared" si="17"/>
        <v>0</v>
      </c>
      <c r="AD85" s="1">
        <f t="shared" si="18"/>
        <v>0</v>
      </c>
      <c r="AE85" s="1">
        <f t="shared" si="19"/>
        <v>0</v>
      </c>
      <c r="AF85" s="1">
        <f t="shared" si="20"/>
        <v>1</v>
      </c>
      <c r="AG85" s="1">
        <f t="shared" si="21"/>
        <v>1</v>
      </c>
      <c r="AH85" s="1">
        <f t="shared" si="22"/>
        <v>0</v>
      </c>
      <c r="AI85" s="1">
        <f t="shared" si="23"/>
        <v>1</v>
      </c>
      <c r="AJ85" s="1">
        <f>SUMXMY2(Z85:AI85, Occurrence!B$3:K$3)</f>
        <v>3</v>
      </c>
      <c r="AK85" s="1">
        <f t="shared" si="24"/>
        <v>7</v>
      </c>
    </row>
    <row r="86" spans="1:37">
      <c r="A86" s="1">
        <v>85</v>
      </c>
      <c r="B86" s="1">
        <v>4252084</v>
      </c>
      <c r="C86" s="6">
        <v>803</v>
      </c>
      <c r="D86" s="1">
        <v>0.46</v>
      </c>
      <c r="E86" s="1">
        <v>0.63</v>
      </c>
      <c r="F86" s="1">
        <v>0.34</v>
      </c>
      <c r="G86" s="1">
        <v>0.57999999999999996</v>
      </c>
      <c r="H86" s="1">
        <v>0.2</v>
      </c>
      <c r="I86" s="1">
        <v>0</v>
      </c>
      <c r="J86" s="1">
        <v>1</v>
      </c>
      <c r="K86" s="1">
        <v>1</v>
      </c>
      <c r="L86" s="1">
        <v>1</v>
      </c>
      <c r="M86" s="1">
        <v>1</v>
      </c>
      <c r="N86" s="1">
        <f>(Occurrence!B$3-D86)^2</f>
        <v>0.21160000000000001</v>
      </c>
      <c r="O86" s="1">
        <f>(Occurrence!C$3-E86)^2</f>
        <v>0.39690000000000003</v>
      </c>
      <c r="P86" s="1">
        <f>(Occurrence!D$3-F86)^2</f>
        <v>0.43559999999999988</v>
      </c>
      <c r="Q86" s="1">
        <f>(Occurrence!E$3-G86)^2</f>
        <v>0.17640000000000003</v>
      </c>
      <c r="R86" s="1">
        <f>(Occurrence!F$3-H86)^2</f>
        <v>4.0000000000000008E-2</v>
      </c>
      <c r="S86" s="1">
        <f>(Occurrence!G$3-I86)^2</f>
        <v>0</v>
      </c>
      <c r="T86" s="1">
        <f>(Occurrence!H$3-J86)^2</f>
        <v>0</v>
      </c>
      <c r="U86" s="1">
        <f>(Occurrence!I$3-K86)^2</f>
        <v>0</v>
      </c>
      <c r="V86" s="1">
        <f>(Occurrence!J$3-L86)^2</f>
        <v>1</v>
      </c>
      <c r="W86" s="1">
        <f>(Occurrence!K$3-M86)^2</f>
        <v>0</v>
      </c>
      <c r="X86" s="1">
        <f t="shared" si="13"/>
        <v>2.2605</v>
      </c>
      <c r="Z86" s="1">
        <f t="shared" si="14"/>
        <v>0</v>
      </c>
      <c r="AA86" s="1">
        <f t="shared" si="15"/>
        <v>1</v>
      </c>
      <c r="AB86" s="1">
        <f t="shared" si="16"/>
        <v>0</v>
      </c>
      <c r="AC86" s="1">
        <f t="shared" si="17"/>
        <v>1</v>
      </c>
      <c r="AD86" s="1">
        <f t="shared" si="18"/>
        <v>0</v>
      </c>
      <c r="AE86" s="1">
        <f t="shared" si="19"/>
        <v>0</v>
      </c>
      <c r="AF86" s="1">
        <f t="shared" si="20"/>
        <v>1</v>
      </c>
      <c r="AG86" s="1">
        <f t="shared" si="21"/>
        <v>1</v>
      </c>
      <c r="AH86" s="1">
        <f t="shared" si="22"/>
        <v>1</v>
      </c>
      <c r="AI86" s="1">
        <f t="shared" si="23"/>
        <v>1</v>
      </c>
      <c r="AJ86" s="1">
        <f>SUMXMY2(Z86:AI86, Occurrence!B$3:K$3)</f>
        <v>3</v>
      </c>
      <c r="AK86" s="1">
        <f t="shared" si="24"/>
        <v>7</v>
      </c>
    </row>
    <row r="87" spans="1:37">
      <c r="A87" s="1">
        <v>86</v>
      </c>
      <c r="B87" s="1">
        <v>4252085</v>
      </c>
      <c r="C87" s="6">
        <v>803</v>
      </c>
      <c r="D87" s="1">
        <v>0.05</v>
      </c>
      <c r="E87" s="1">
        <v>0.15</v>
      </c>
      <c r="F87" s="1">
        <v>0.25</v>
      </c>
      <c r="G87" s="1">
        <v>0.85</v>
      </c>
      <c r="H87" s="1">
        <v>0.7</v>
      </c>
      <c r="I87" s="1">
        <v>0.33</v>
      </c>
      <c r="J87" s="1">
        <v>0.89</v>
      </c>
      <c r="K87" s="1">
        <v>0.95</v>
      </c>
      <c r="L87" s="1">
        <v>0.11</v>
      </c>
      <c r="M87" s="1">
        <v>0.87</v>
      </c>
      <c r="N87" s="1">
        <f>(Occurrence!B$3-D87)^2</f>
        <v>2.5000000000000005E-3</v>
      </c>
      <c r="O87" s="1">
        <f>(Occurrence!C$3-E87)^2</f>
        <v>2.2499999999999999E-2</v>
      </c>
      <c r="P87" s="1">
        <f>(Occurrence!D$3-F87)^2</f>
        <v>0.5625</v>
      </c>
      <c r="Q87" s="1">
        <f>(Occurrence!E$3-G87)^2</f>
        <v>2.2500000000000006E-2</v>
      </c>
      <c r="R87" s="1">
        <f>(Occurrence!F$3-H87)^2</f>
        <v>0.48999999999999994</v>
      </c>
      <c r="S87" s="1">
        <f>(Occurrence!G$3-I87)^2</f>
        <v>0.10890000000000001</v>
      </c>
      <c r="T87" s="1">
        <f>(Occurrence!H$3-J87)^2</f>
        <v>1.2099999999999998E-2</v>
      </c>
      <c r="U87" s="1">
        <f>(Occurrence!I$3-K87)^2</f>
        <v>2.5000000000000044E-3</v>
      </c>
      <c r="V87" s="1">
        <f>(Occurrence!J$3-L87)^2</f>
        <v>1.21E-2</v>
      </c>
      <c r="W87" s="1">
        <f>(Occurrence!K$3-M87)^2</f>
        <v>1.6900000000000002E-2</v>
      </c>
      <c r="X87" s="1">
        <f t="shared" si="13"/>
        <v>1.2524999999999997</v>
      </c>
      <c r="Z87" s="1">
        <f t="shared" si="14"/>
        <v>0</v>
      </c>
      <c r="AA87" s="1">
        <f t="shared" si="15"/>
        <v>0</v>
      </c>
      <c r="AB87" s="1">
        <f t="shared" si="16"/>
        <v>0</v>
      </c>
      <c r="AC87" s="1">
        <f t="shared" si="17"/>
        <v>1</v>
      </c>
      <c r="AD87" s="1">
        <f t="shared" si="18"/>
        <v>1</v>
      </c>
      <c r="AE87" s="1">
        <f t="shared" si="19"/>
        <v>0</v>
      </c>
      <c r="AF87" s="1">
        <f t="shared" si="20"/>
        <v>1</v>
      </c>
      <c r="AG87" s="1">
        <f t="shared" si="21"/>
        <v>1</v>
      </c>
      <c r="AH87" s="1">
        <f t="shared" si="22"/>
        <v>0</v>
      </c>
      <c r="AI87" s="1">
        <f t="shared" si="23"/>
        <v>1</v>
      </c>
      <c r="AJ87" s="1">
        <f>SUMXMY2(Z87:AI87, Occurrence!B$3:K$3)</f>
        <v>2</v>
      </c>
      <c r="AK87" s="1">
        <f t="shared" si="24"/>
        <v>8</v>
      </c>
    </row>
    <row r="88" spans="1:37">
      <c r="A88" s="1">
        <v>87</v>
      </c>
      <c r="B88" s="1">
        <v>4252086</v>
      </c>
      <c r="C88" s="6">
        <v>803</v>
      </c>
      <c r="D88" s="1">
        <v>0.1368</v>
      </c>
      <c r="E88" s="1">
        <v>0.1037</v>
      </c>
      <c r="F88" s="1">
        <v>0.39629999999999999</v>
      </c>
      <c r="G88" s="1">
        <v>0.25729999999999997</v>
      </c>
      <c r="H88" s="1">
        <v>0.10589999999999999</v>
      </c>
      <c r="I88" s="1">
        <v>0</v>
      </c>
      <c r="J88" s="1">
        <v>0.53269999999999995</v>
      </c>
      <c r="K88" s="1">
        <v>0.25829999999999997</v>
      </c>
      <c r="L88" s="1">
        <v>0.53820000000000001</v>
      </c>
      <c r="M88" s="1">
        <v>0.52829999999999999</v>
      </c>
      <c r="N88" s="1">
        <f>(Occurrence!B$3-D88)^2</f>
        <v>1.871424E-2</v>
      </c>
      <c r="O88" s="1">
        <f>(Occurrence!C$3-E88)^2</f>
        <v>1.075369E-2</v>
      </c>
      <c r="P88" s="1">
        <f>(Occurrence!D$3-F88)^2</f>
        <v>0.36445369</v>
      </c>
      <c r="Q88" s="1">
        <f>(Occurrence!E$3-G88)^2</f>
        <v>0.55160329000000008</v>
      </c>
      <c r="R88" s="1">
        <f>(Occurrence!F$3-H88)^2</f>
        <v>1.1214809999999999E-2</v>
      </c>
      <c r="S88" s="1">
        <f>(Occurrence!G$3-I88)^2</f>
        <v>0</v>
      </c>
      <c r="T88" s="1">
        <f>(Occurrence!H$3-J88)^2</f>
        <v>0.21836929000000005</v>
      </c>
      <c r="U88" s="1">
        <f>(Occurrence!I$3-K88)^2</f>
        <v>0.55011889000000003</v>
      </c>
      <c r="V88" s="1">
        <f>(Occurrence!J$3-L88)^2</f>
        <v>0.28965924000000004</v>
      </c>
      <c r="W88" s="1">
        <f>(Occurrence!K$3-M88)^2</f>
        <v>0.22250089000000001</v>
      </c>
      <c r="X88" s="1">
        <f t="shared" si="13"/>
        <v>2.2373880300000004</v>
      </c>
      <c r="Z88" s="1">
        <f t="shared" si="14"/>
        <v>0</v>
      </c>
      <c r="AA88" s="1">
        <f t="shared" si="15"/>
        <v>0</v>
      </c>
      <c r="AB88" s="1">
        <f t="shared" si="16"/>
        <v>0</v>
      </c>
      <c r="AC88" s="1">
        <f t="shared" si="17"/>
        <v>0</v>
      </c>
      <c r="AD88" s="1">
        <f t="shared" si="18"/>
        <v>0</v>
      </c>
      <c r="AE88" s="1">
        <f t="shared" si="19"/>
        <v>0</v>
      </c>
      <c r="AF88" s="1">
        <f t="shared" si="20"/>
        <v>1</v>
      </c>
      <c r="AG88" s="1">
        <f t="shared" si="21"/>
        <v>0</v>
      </c>
      <c r="AH88" s="1">
        <f t="shared" si="22"/>
        <v>1</v>
      </c>
      <c r="AI88" s="1">
        <f t="shared" si="23"/>
        <v>1</v>
      </c>
      <c r="AJ88" s="1">
        <f>SUMXMY2(Z88:AI88, Occurrence!B$3:K$3)</f>
        <v>4</v>
      </c>
      <c r="AK88" s="1">
        <f t="shared" si="24"/>
        <v>6</v>
      </c>
    </row>
    <row r="89" spans="1:37">
      <c r="A89" s="1">
        <v>88</v>
      </c>
      <c r="B89" s="1">
        <v>4252087</v>
      </c>
      <c r="C89" s="6">
        <v>803</v>
      </c>
      <c r="D89" s="1">
        <v>0.7097</v>
      </c>
      <c r="E89" s="1">
        <v>0.99160000000000004</v>
      </c>
      <c r="F89" s="1">
        <v>0.2903</v>
      </c>
      <c r="G89" s="1">
        <v>0.99160000000000004</v>
      </c>
      <c r="H89" s="1">
        <v>1</v>
      </c>
      <c r="I89" s="1">
        <v>0.05</v>
      </c>
      <c r="J89" s="1">
        <v>1</v>
      </c>
      <c r="K89" s="1">
        <v>0.96</v>
      </c>
      <c r="L89" s="1">
        <v>0</v>
      </c>
      <c r="M89" s="1">
        <v>0.95</v>
      </c>
      <c r="N89" s="1">
        <f>(Occurrence!B$3-D89)^2</f>
        <v>0.50367408999999996</v>
      </c>
      <c r="O89" s="1">
        <f>(Occurrence!C$3-E89)^2</f>
        <v>0.98327056000000013</v>
      </c>
      <c r="P89" s="1">
        <f>(Occurrence!D$3-F89)^2</f>
        <v>0.50367408999999996</v>
      </c>
      <c r="Q89" s="1">
        <f>(Occurrence!E$3-G89)^2</f>
        <v>7.0559999999999379E-5</v>
      </c>
      <c r="R89" s="1">
        <f>(Occurrence!F$3-H89)^2</f>
        <v>1</v>
      </c>
      <c r="S89" s="1">
        <f>(Occurrence!G$3-I89)^2</f>
        <v>2.5000000000000005E-3</v>
      </c>
      <c r="T89" s="1">
        <f>(Occurrence!H$3-J89)^2</f>
        <v>0</v>
      </c>
      <c r="U89" s="1">
        <f>(Occurrence!I$3-K89)^2</f>
        <v>1.6000000000000029E-3</v>
      </c>
      <c r="V89" s="1">
        <f>(Occurrence!J$3-L89)^2</f>
        <v>0</v>
      </c>
      <c r="W89" s="1">
        <f>(Occurrence!K$3-M89)^2</f>
        <v>2.5000000000000044E-3</v>
      </c>
      <c r="X89" s="1">
        <f t="shared" si="13"/>
        <v>2.9972892999999994</v>
      </c>
      <c r="Z89" s="1">
        <f t="shared" si="14"/>
        <v>1</v>
      </c>
      <c r="AA89" s="1">
        <f t="shared" si="15"/>
        <v>1</v>
      </c>
      <c r="AB89" s="1">
        <f t="shared" si="16"/>
        <v>0</v>
      </c>
      <c r="AC89" s="1">
        <f t="shared" si="17"/>
        <v>1</v>
      </c>
      <c r="AD89" s="1">
        <f t="shared" si="18"/>
        <v>1</v>
      </c>
      <c r="AE89" s="1">
        <f t="shared" si="19"/>
        <v>0</v>
      </c>
      <c r="AF89" s="1">
        <f t="shared" si="20"/>
        <v>1</v>
      </c>
      <c r="AG89" s="1">
        <f t="shared" si="21"/>
        <v>1</v>
      </c>
      <c r="AH89" s="1">
        <f t="shared" si="22"/>
        <v>0</v>
      </c>
      <c r="AI89" s="1">
        <f t="shared" si="23"/>
        <v>1</v>
      </c>
      <c r="AJ89" s="1">
        <f>SUMXMY2(Z89:AI89, Occurrence!B$3:K$3)</f>
        <v>4</v>
      </c>
      <c r="AK89" s="1">
        <f t="shared" si="24"/>
        <v>6</v>
      </c>
    </row>
    <row r="90" spans="1:37">
      <c r="A90" s="1">
        <v>89</v>
      </c>
      <c r="B90" s="1">
        <v>4252088</v>
      </c>
      <c r="C90" s="6">
        <v>804</v>
      </c>
      <c r="D90" s="1">
        <v>0.2</v>
      </c>
      <c r="E90" s="1">
        <v>0.1</v>
      </c>
      <c r="F90" s="1">
        <v>0.2</v>
      </c>
      <c r="G90" s="1">
        <v>0.1</v>
      </c>
      <c r="H90" s="1">
        <v>0.4</v>
      </c>
      <c r="I90" s="1">
        <v>0.43</v>
      </c>
      <c r="J90" s="1">
        <v>1</v>
      </c>
      <c r="K90" s="1">
        <v>0.95</v>
      </c>
      <c r="L90" s="1">
        <v>0.23</v>
      </c>
      <c r="M90" s="1">
        <v>0.15</v>
      </c>
      <c r="N90" s="1">
        <f>(Occurrence!B$3-D90)^2</f>
        <v>4.0000000000000008E-2</v>
      </c>
      <c r="O90" s="1">
        <f>(Occurrence!C$3-E90)^2</f>
        <v>1.0000000000000002E-2</v>
      </c>
      <c r="P90" s="1">
        <f>(Occurrence!D$3-F90)^2</f>
        <v>0.64000000000000012</v>
      </c>
      <c r="Q90" s="1">
        <f>(Occurrence!E$3-G90)^2</f>
        <v>0.81</v>
      </c>
      <c r="R90" s="1">
        <f>(Occurrence!F$3-H90)^2</f>
        <v>0.16000000000000003</v>
      </c>
      <c r="S90" s="1">
        <f>(Occurrence!G$3-I90)^2</f>
        <v>0.18489999999999998</v>
      </c>
      <c r="T90" s="1">
        <f>(Occurrence!H$3-J90)^2</f>
        <v>0</v>
      </c>
      <c r="U90" s="1">
        <f>(Occurrence!I$3-K90)^2</f>
        <v>2.5000000000000044E-3</v>
      </c>
      <c r="V90" s="1">
        <f>(Occurrence!J$3-L90)^2</f>
        <v>5.2900000000000003E-2</v>
      </c>
      <c r="W90" s="1">
        <f>(Occurrence!K$3-M90)^2</f>
        <v>0.72249999999999992</v>
      </c>
      <c r="X90" s="1">
        <f t="shared" si="13"/>
        <v>2.6227999999999998</v>
      </c>
      <c r="Z90" s="1">
        <f t="shared" si="14"/>
        <v>0</v>
      </c>
      <c r="AA90" s="1">
        <f t="shared" si="15"/>
        <v>0</v>
      </c>
      <c r="AB90" s="1">
        <f t="shared" si="16"/>
        <v>0</v>
      </c>
      <c r="AC90" s="1">
        <f t="shared" si="17"/>
        <v>0</v>
      </c>
      <c r="AD90" s="1">
        <f t="shared" si="18"/>
        <v>0</v>
      </c>
      <c r="AE90" s="1">
        <f t="shared" si="19"/>
        <v>0</v>
      </c>
      <c r="AF90" s="1">
        <f t="shared" si="20"/>
        <v>1</v>
      </c>
      <c r="AG90" s="1">
        <f t="shared" si="21"/>
        <v>1</v>
      </c>
      <c r="AH90" s="1">
        <f t="shared" si="22"/>
        <v>0</v>
      </c>
      <c r="AI90" s="1">
        <f t="shared" si="23"/>
        <v>0</v>
      </c>
      <c r="AJ90" s="1">
        <f>SUMXMY2(Z90:AI90, Occurrence!B$3:K$3)</f>
        <v>3</v>
      </c>
      <c r="AK90" s="1">
        <f t="shared" si="24"/>
        <v>7</v>
      </c>
    </row>
    <row r="91" spans="1:37">
      <c r="A91" s="1">
        <v>90</v>
      </c>
      <c r="B91" s="1">
        <v>4252089</v>
      </c>
      <c r="C91" s="6">
        <v>804</v>
      </c>
      <c r="D91" s="1">
        <v>0.36</v>
      </c>
      <c r="E91" s="1">
        <v>0.11</v>
      </c>
      <c r="F91" s="1">
        <v>0.45</v>
      </c>
      <c r="G91" s="1">
        <v>0.23</v>
      </c>
      <c r="H91" s="1">
        <v>0.77</v>
      </c>
      <c r="I91" s="1">
        <v>0.21</v>
      </c>
      <c r="J91" s="1">
        <v>0.44</v>
      </c>
      <c r="K91" s="1">
        <v>0.56000000000000005</v>
      </c>
      <c r="L91" s="1">
        <v>0.12</v>
      </c>
      <c r="M91" s="1">
        <v>0.09</v>
      </c>
      <c r="N91" s="1">
        <f>(Occurrence!B$3-D91)^2</f>
        <v>0.12959999999999999</v>
      </c>
      <c r="O91" s="1">
        <f>(Occurrence!C$3-E91)^2</f>
        <v>1.21E-2</v>
      </c>
      <c r="P91" s="1">
        <f>(Occurrence!D$3-F91)^2</f>
        <v>0.30250000000000005</v>
      </c>
      <c r="Q91" s="1">
        <f>(Occurrence!E$3-G91)^2</f>
        <v>0.59289999999999998</v>
      </c>
      <c r="R91" s="1">
        <f>(Occurrence!F$3-H91)^2</f>
        <v>0.59289999999999998</v>
      </c>
      <c r="S91" s="1">
        <f>(Occurrence!G$3-I91)^2</f>
        <v>4.4099999999999993E-2</v>
      </c>
      <c r="T91" s="1">
        <f>(Occurrence!H$3-J91)^2</f>
        <v>0.31360000000000005</v>
      </c>
      <c r="U91" s="1">
        <f>(Occurrence!I$3-K91)^2</f>
        <v>0.19359999999999997</v>
      </c>
      <c r="V91" s="1">
        <f>(Occurrence!J$3-L91)^2</f>
        <v>1.44E-2</v>
      </c>
      <c r="W91" s="1">
        <f>(Occurrence!K$3-M91)^2</f>
        <v>0.82810000000000006</v>
      </c>
      <c r="X91" s="1">
        <f t="shared" si="13"/>
        <v>3.0238000000000005</v>
      </c>
      <c r="Z91" s="1">
        <f t="shared" si="14"/>
        <v>0</v>
      </c>
      <c r="AA91" s="1">
        <f t="shared" si="15"/>
        <v>0</v>
      </c>
      <c r="AB91" s="1">
        <f t="shared" si="16"/>
        <v>0</v>
      </c>
      <c r="AC91" s="1">
        <f t="shared" si="17"/>
        <v>0</v>
      </c>
      <c r="AD91" s="1">
        <f t="shared" si="18"/>
        <v>1</v>
      </c>
      <c r="AE91" s="1">
        <f t="shared" si="19"/>
        <v>0</v>
      </c>
      <c r="AF91" s="1">
        <f t="shared" si="20"/>
        <v>0</v>
      </c>
      <c r="AG91" s="1">
        <f t="shared" si="21"/>
        <v>1</v>
      </c>
      <c r="AH91" s="1">
        <f t="shared" si="22"/>
        <v>0</v>
      </c>
      <c r="AI91" s="1">
        <f t="shared" si="23"/>
        <v>0</v>
      </c>
      <c r="AJ91" s="1">
        <f>SUMXMY2(Z91:AI91, Occurrence!B$3:K$3)</f>
        <v>5</v>
      </c>
      <c r="AK91" s="1">
        <f t="shared" si="24"/>
        <v>5</v>
      </c>
    </row>
    <row r="92" spans="1:37">
      <c r="A92" s="1">
        <v>91</v>
      </c>
      <c r="B92" s="1">
        <v>4252090</v>
      </c>
      <c r="C92" s="6">
        <v>804</v>
      </c>
      <c r="D92" s="1">
        <v>0.1</v>
      </c>
      <c r="E92" s="1">
        <v>0.15</v>
      </c>
      <c r="F92" s="1">
        <v>0.6</v>
      </c>
      <c r="G92" s="1">
        <v>0.85</v>
      </c>
      <c r="H92" s="1">
        <v>0.35</v>
      </c>
      <c r="I92" s="1">
        <v>0.03</v>
      </c>
      <c r="J92" s="1">
        <v>1</v>
      </c>
      <c r="K92" s="1">
        <v>0.65</v>
      </c>
      <c r="L92" s="1">
        <v>1</v>
      </c>
      <c r="M92" s="1">
        <v>0.45</v>
      </c>
      <c r="N92" s="1">
        <f>(Occurrence!B$3-D92)^2</f>
        <v>1.0000000000000002E-2</v>
      </c>
      <c r="O92" s="1">
        <f>(Occurrence!C$3-E92)^2</f>
        <v>2.2499999999999999E-2</v>
      </c>
      <c r="P92" s="1">
        <f>(Occurrence!D$3-F92)^2</f>
        <v>0.16000000000000003</v>
      </c>
      <c r="Q92" s="1">
        <f>(Occurrence!E$3-G92)^2</f>
        <v>2.2500000000000006E-2</v>
      </c>
      <c r="R92" s="1">
        <f>(Occurrence!F$3-H92)^2</f>
        <v>0.12249999999999998</v>
      </c>
      <c r="S92" s="1">
        <f>(Occurrence!G$3-I92)^2</f>
        <v>8.9999999999999998E-4</v>
      </c>
      <c r="T92" s="1">
        <f>(Occurrence!H$3-J92)^2</f>
        <v>0</v>
      </c>
      <c r="U92" s="1">
        <f>(Occurrence!I$3-K92)^2</f>
        <v>0.12249999999999998</v>
      </c>
      <c r="V92" s="1">
        <f>(Occurrence!J$3-L92)^2</f>
        <v>1</v>
      </c>
      <c r="W92" s="1">
        <f>(Occurrence!K$3-M92)^2</f>
        <v>0.30250000000000005</v>
      </c>
      <c r="X92" s="1">
        <f t="shared" si="13"/>
        <v>1.7634000000000001</v>
      </c>
      <c r="Z92" s="1">
        <f t="shared" si="14"/>
        <v>0</v>
      </c>
      <c r="AA92" s="1">
        <f t="shared" si="15"/>
        <v>0</v>
      </c>
      <c r="AB92" s="1">
        <f t="shared" si="16"/>
        <v>1</v>
      </c>
      <c r="AC92" s="1">
        <f t="shared" si="17"/>
        <v>1</v>
      </c>
      <c r="AD92" s="1">
        <f t="shared" si="18"/>
        <v>0</v>
      </c>
      <c r="AE92" s="1">
        <f t="shared" si="19"/>
        <v>0</v>
      </c>
      <c r="AF92" s="1">
        <f t="shared" si="20"/>
        <v>1</v>
      </c>
      <c r="AG92" s="1">
        <f t="shared" si="21"/>
        <v>1</v>
      </c>
      <c r="AH92" s="1">
        <f t="shared" si="22"/>
        <v>1</v>
      </c>
      <c r="AI92" s="1">
        <f t="shared" si="23"/>
        <v>0</v>
      </c>
      <c r="AJ92" s="1">
        <f>SUMXMY2(Z92:AI92, Occurrence!B$3:K$3)</f>
        <v>2</v>
      </c>
      <c r="AK92" s="1">
        <f t="shared" si="24"/>
        <v>8</v>
      </c>
    </row>
    <row r="93" spans="1:37">
      <c r="A93" s="1">
        <v>92</v>
      </c>
      <c r="B93" s="1">
        <v>4252091</v>
      </c>
      <c r="C93" s="6">
        <v>804</v>
      </c>
      <c r="D93" s="1">
        <v>0.01</v>
      </c>
      <c r="E93" s="1">
        <v>0.01</v>
      </c>
      <c r="F93" s="1">
        <v>0.85</v>
      </c>
      <c r="G93" s="1">
        <v>0.98</v>
      </c>
      <c r="H93" s="1">
        <v>0.64</v>
      </c>
      <c r="I93" s="1">
        <v>0.05</v>
      </c>
      <c r="J93" s="1">
        <v>0.08</v>
      </c>
      <c r="K93" s="1">
        <v>0.01</v>
      </c>
      <c r="L93" s="1">
        <v>0.53</v>
      </c>
      <c r="M93" s="1">
        <v>0.35</v>
      </c>
      <c r="N93" s="1">
        <f>(Occurrence!B$3-D93)^2</f>
        <v>1E-4</v>
      </c>
      <c r="O93" s="1">
        <f>(Occurrence!C$3-E93)^2</f>
        <v>1E-4</v>
      </c>
      <c r="P93" s="1">
        <f>(Occurrence!D$3-F93)^2</f>
        <v>2.2500000000000006E-2</v>
      </c>
      <c r="Q93" s="1">
        <f>(Occurrence!E$3-G93)^2</f>
        <v>4.0000000000000072E-4</v>
      </c>
      <c r="R93" s="1">
        <f>(Occurrence!F$3-H93)^2</f>
        <v>0.40960000000000002</v>
      </c>
      <c r="S93" s="1">
        <f>(Occurrence!G$3-I93)^2</f>
        <v>2.5000000000000005E-3</v>
      </c>
      <c r="T93" s="1">
        <f>(Occurrence!H$3-J93)^2</f>
        <v>0.84640000000000004</v>
      </c>
      <c r="U93" s="1">
        <f>(Occurrence!I$3-K93)^2</f>
        <v>0.98009999999999997</v>
      </c>
      <c r="V93" s="1">
        <f>(Occurrence!J$3-L93)^2</f>
        <v>0.28090000000000004</v>
      </c>
      <c r="W93" s="1">
        <f>(Occurrence!K$3-M93)^2</f>
        <v>0.42250000000000004</v>
      </c>
      <c r="X93" s="1">
        <f t="shared" si="13"/>
        <v>2.9651000000000001</v>
      </c>
      <c r="Z93" s="1">
        <f t="shared" si="14"/>
        <v>0</v>
      </c>
      <c r="AA93" s="1">
        <f t="shared" si="15"/>
        <v>0</v>
      </c>
      <c r="AB93" s="1">
        <f t="shared" si="16"/>
        <v>1</v>
      </c>
      <c r="AC93" s="1">
        <f t="shared" si="17"/>
        <v>1</v>
      </c>
      <c r="AD93" s="1">
        <f t="shared" si="18"/>
        <v>1</v>
      </c>
      <c r="AE93" s="1">
        <f t="shared" si="19"/>
        <v>0</v>
      </c>
      <c r="AF93" s="1">
        <f t="shared" si="20"/>
        <v>0</v>
      </c>
      <c r="AG93" s="1">
        <f t="shared" si="21"/>
        <v>0</v>
      </c>
      <c r="AH93" s="1">
        <f t="shared" si="22"/>
        <v>1</v>
      </c>
      <c r="AI93" s="1">
        <f t="shared" si="23"/>
        <v>0</v>
      </c>
      <c r="AJ93" s="1">
        <f>SUMXMY2(Z93:AI93, Occurrence!B$3:K$3)</f>
        <v>5</v>
      </c>
      <c r="AK93" s="1">
        <f t="shared" si="24"/>
        <v>5</v>
      </c>
    </row>
    <row r="94" spans="1:37">
      <c r="A94" s="1">
        <v>93</v>
      </c>
      <c r="B94" s="1">
        <v>4252092</v>
      </c>
      <c r="C94" s="6">
        <v>804</v>
      </c>
      <c r="D94" s="1">
        <v>0.02</v>
      </c>
      <c r="E94" s="1">
        <v>0.04</v>
      </c>
      <c r="F94" s="1">
        <v>0.78</v>
      </c>
      <c r="G94" s="1">
        <v>0.96</v>
      </c>
      <c r="H94" s="1">
        <v>0.2</v>
      </c>
      <c r="I94" s="1">
        <v>0.35</v>
      </c>
      <c r="J94" s="1">
        <v>0.89</v>
      </c>
      <c r="K94" s="1">
        <v>0.7</v>
      </c>
      <c r="L94" s="1">
        <v>0.39</v>
      </c>
      <c r="M94" s="1">
        <v>0.76</v>
      </c>
      <c r="N94" s="1">
        <f>(Occurrence!B$3-D94)^2</f>
        <v>4.0000000000000002E-4</v>
      </c>
      <c r="O94" s="1">
        <f>(Occurrence!C$3-E94)^2</f>
        <v>1.6000000000000001E-3</v>
      </c>
      <c r="P94" s="1">
        <f>(Occurrence!D$3-F94)^2</f>
        <v>4.8399999999999992E-2</v>
      </c>
      <c r="Q94" s="1">
        <f>(Occurrence!E$3-G94)^2</f>
        <v>1.6000000000000029E-3</v>
      </c>
      <c r="R94" s="1">
        <f>(Occurrence!F$3-H94)^2</f>
        <v>4.0000000000000008E-2</v>
      </c>
      <c r="S94" s="1">
        <f>(Occurrence!G$3-I94)^2</f>
        <v>0.12249999999999998</v>
      </c>
      <c r="T94" s="1">
        <f>(Occurrence!H$3-J94)^2</f>
        <v>1.2099999999999998E-2</v>
      </c>
      <c r="U94" s="1">
        <f>(Occurrence!I$3-K94)^2</f>
        <v>9.0000000000000024E-2</v>
      </c>
      <c r="V94" s="1">
        <f>(Occurrence!J$3-L94)^2</f>
        <v>0.15210000000000001</v>
      </c>
      <c r="W94" s="1">
        <f>(Occurrence!K$3-M94)^2</f>
        <v>5.7599999999999998E-2</v>
      </c>
      <c r="X94" s="1">
        <f t="shared" si="13"/>
        <v>0.52629999999999999</v>
      </c>
      <c r="Z94" s="1">
        <f t="shared" si="14"/>
        <v>0</v>
      </c>
      <c r="AA94" s="1">
        <f t="shared" si="15"/>
        <v>0</v>
      </c>
      <c r="AB94" s="1">
        <f t="shared" si="16"/>
        <v>1</v>
      </c>
      <c r="AC94" s="1">
        <f t="shared" si="17"/>
        <v>1</v>
      </c>
      <c r="AD94" s="1">
        <f t="shared" si="18"/>
        <v>0</v>
      </c>
      <c r="AE94" s="1">
        <f t="shared" si="19"/>
        <v>0</v>
      </c>
      <c r="AF94" s="1">
        <f t="shared" si="20"/>
        <v>1</v>
      </c>
      <c r="AG94" s="1">
        <f t="shared" si="21"/>
        <v>1</v>
      </c>
      <c r="AH94" s="1">
        <f t="shared" si="22"/>
        <v>0</v>
      </c>
      <c r="AI94" s="1">
        <f t="shared" si="23"/>
        <v>1</v>
      </c>
      <c r="AJ94" s="1">
        <f>SUMXMY2(Z94:AI94, Occurrence!B$3:K$3)</f>
        <v>0</v>
      </c>
      <c r="AK94" s="1">
        <f t="shared" si="24"/>
        <v>10</v>
      </c>
    </row>
    <row r="95" spans="1:37">
      <c r="A95" s="1">
        <v>94</v>
      </c>
      <c r="B95" s="1">
        <v>4252093</v>
      </c>
      <c r="C95" s="6">
        <v>804</v>
      </c>
      <c r="D95" s="1">
        <v>0.2</v>
      </c>
      <c r="E95" s="1">
        <v>0.3</v>
      </c>
      <c r="F95" s="1">
        <v>0.8</v>
      </c>
      <c r="G95" s="1">
        <v>0.9</v>
      </c>
      <c r="H95" s="1">
        <v>0.6</v>
      </c>
      <c r="I95" s="1">
        <v>0.3</v>
      </c>
      <c r="J95" s="1">
        <v>0.4</v>
      </c>
      <c r="K95" s="1">
        <v>0.9</v>
      </c>
      <c r="L95" s="1">
        <v>0.5</v>
      </c>
      <c r="M95" s="1">
        <v>0.6</v>
      </c>
      <c r="N95" s="1">
        <f>(Occurrence!B$3-D95)^2</f>
        <v>4.0000000000000008E-2</v>
      </c>
      <c r="O95" s="1">
        <f>(Occurrence!C$3-E95)^2</f>
        <v>0.09</v>
      </c>
      <c r="P95" s="1">
        <f>(Occurrence!D$3-F95)^2</f>
        <v>3.999999999999998E-2</v>
      </c>
      <c r="Q95" s="1">
        <f>(Occurrence!E$3-G95)^2</f>
        <v>9.999999999999995E-3</v>
      </c>
      <c r="R95" s="1">
        <f>(Occurrence!F$3-H95)^2</f>
        <v>0.36</v>
      </c>
      <c r="S95" s="1">
        <f>(Occurrence!G$3-I95)^2</f>
        <v>0.09</v>
      </c>
      <c r="T95" s="1">
        <f>(Occurrence!H$3-J95)^2</f>
        <v>0.36</v>
      </c>
      <c r="U95" s="1">
        <f>(Occurrence!I$3-K95)^2</f>
        <v>9.999999999999995E-3</v>
      </c>
      <c r="V95" s="1">
        <f>(Occurrence!J$3-L95)^2</f>
        <v>0.25</v>
      </c>
      <c r="W95" s="1">
        <f>(Occurrence!K$3-M95)^2</f>
        <v>0.16000000000000003</v>
      </c>
      <c r="X95" s="1">
        <f t="shared" si="13"/>
        <v>1.4100000000000001</v>
      </c>
      <c r="Z95" s="1">
        <f t="shared" si="14"/>
        <v>0</v>
      </c>
      <c r="AA95" s="1">
        <f t="shared" si="15"/>
        <v>0</v>
      </c>
      <c r="AB95" s="1">
        <f t="shared" si="16"/>
        <v>1</v>
      </c>
      <c r="AC95" s="1">
        <f t="shared" si="17"/>
        <v>1</v>
      </c>
      <c r="AD95" s="1">
        <f t="shared" si="18"/>
        <v>1</v>
      </c>
      <c r="AE95" s="1">
        <f t="shared" si="19"/>
        <v>0</v>
      </c>
      <c r="AF95" s="1">
        <f t="shared" si="20"/>
        <v>0</v>
      </c>
      <c r="AG95" s="1">
        <f t="shared" si="21"/>
        <v>1</v>
      </c>
      <c r="AH95" s="1">
        <f t="shared" si="22"/>
        <v>1</v>
      </c>
      <c r="AI95" s="1">
        <f t="shared" si="23"/>
        <v>1</v>
      </c>
      <c r="AJ95" s="1">
        <f>SUMXMY2(Z95:AI95, Occurrence!B$3:K$3)</f>
        <v>3</v>
      </c>
      <c r="AK95" s="1">
        <f t="shared" si="24"/>
        <v>7</v>
      </c>
    </row>
    <row r="96" spans="1:37">
      <c r="A96" s="1">
        <v>95</v>
      </c>
      <c r="B96" s="1">
        <v>4252094</v>
      </c>
      <c r="C96" s="6">
        <v>804</v>
      </c>
      <c r="D96" s="1">
        <v>0.3</v>
      </c>
      <c r="E96" s="1">
        <v>0.2</v>
      </c>
      <c r="F96" s="1">
        <v>0.25</v>
      </c>
      <c r="G96" s="1">
        <v>0.05</v>
      </c>
      <c r="H96" s="1">
        <v>0.2</v>
      </c>
      <c r="I96" s="1">
        <v>0.05</v>
      </c>
      <c r="J96" s="1">
        <v>0.15</v>
      </c>
      <c r="K96" s="1">
        <v>0.25</v>
      </c>
      <c r="L96" s="1">
        <v>0.7</v>
      </c>
      <c r="M96" s="1">
        <v>0.6</v>
      </c>
      <c r="N96" s="1">
        <f>(Occurrence!B$3-D96)^2</f>
        <v>0.09</v>
      </c>
      <c r="O96" s="1">
        <f>(Occurrence!C$3-E96)^2</f>
        <v>4.0000000000000008E-2</v>
      </c>
      <c r="P96" s="1">
        <f>(Occurrence!D$3-F96)^2</f>
        <v>0.5625</v>
      </c>
      <c r="Q96" s="1">
        <f>(Occurrence!E$3-G96)^2</f>
        <v>0.90249999999999997</v>
      </c>
      <c r="R96" s="1">
        <f>(Occurrence!F$3-H96)^2</f>
        <v>4.0000000000000008E-2</v>
      </c>
      <c r="S96" s="1">
        <f>(Occurrence!G$3-I96)^2</f>
        <v>2.5000000000000005E-3</v>
      </c>
      <c r="T96" s="1">
        <f>(Occurrence!H$3-J96)^2</f>
        <v>0.72249999999999992</v>
      </c>
      <c r="U96" s="1">
        <f>(Occurrence!I$3-K96)^2</f>
        <v>0.5625</v>
      </c>
      <c r="V96" s="1">
        <f>(Occurrence!J$3-L96)^2</f>
        <v>0.48999999999999994</v>
      </c>
      <c r="W96" s="1">
        <f>(Occurrence!K$3-M96)^2</f>
        <v>0.16000000000000003</v>
      </c>
      <c r="X96" s="1">
        <f t="shared" si="13"/>
        <v>3.5724999999999998</v>
      </c>
      <c r="Z96" s="1">
        <f t="shared" si="14"/>
        <v>0</v>
      </c>
      <c r="AA96" s="1">
        <f t="shared" si="15"/>
        <v>0</v>
      </c>
      <c r="AB96" s="1">
        <f t="shared" si="16"/>
        <v>0</v>
      </c>
      <c r="AC96" s="1">
        <f t="shared" si="17"/>
        <v>0</v>
      </c>
      <c r="AD96" s="1">
        <f t="shared" si="18"/>
        <v>0</v>
      </c>
      <c r="AE96" s="1">
        <f t="shared" si="19"/>
        <v>0</v>
      </c>
      <c r="AF96" s="1">
        <f t="shared" si="20"/>
        <v>0</v>
      </c>
      <c r="AG96" s="1">
        <f t="shared" si="21"/>
        <v>0</v>
      </c>
      <c r="AH96" s="1">
        <f t="shared" si="22"/>
        <v>1</v>
      </c>
      <c r="AI96" s="1">
        <f t="shared" si="23"/>
        <v>1</v>
      </c>
      <c r="AJ96" s="1">
        <f>SUMXMY2(Z96:AI96, Occurrence!B$3:K$3)</f>
        <v>5</v>
      </c>
      <c r="AK96" s="1">
        <f t="shared" si="24"/>
        <v>5</v>
      </c>
    </row>
    <row r="97" spans="1:37">
      <c r="A97" s="1">
        <v>96</v>
      </c>
      <c r="B97" s="1">
        <v>4252095</v>
      </c>
      <c r="C97" s="6">
        <v>804</v>
      </c>
      <c r="D97" s="1">
        <v>0.15</v>
      </c>
      <c r="E97" s="1">
        <v>0.2</v>
      </c>
      <c r="F97" s="1">
        <v>0.15</v>
      </c>
      <c r="G97" s="1">
        <v>0.3</v>
      </c>
      <c r="H97" s="1">
        <v>0.2</v>
      </c>
      <c r="I97" s="1">
        <v>0.15</v>
      </c>
      <c r="J97" s="1">
        <v>0.3</v>
      </c>
      <c r="K97" s="1">
        <v>0.25</v>
      </c>
      <c r="L97" s="1">
        <v>0.75</v>
      </c>
      <c r="M97" s="1">
        <v>0.5</v>
      </c>
      <c r="N97" s="1">
        <f>(Occurrence!B$3-D97)^2</f>
        <v>2.2499999999999999E-2</v>
      </c>
      <c r="O97" s="1">
        <f>(Occurrence!C$3-E97)^2</f>
        <v>4.0000000000000008E-2</v>
      </c>
      <c r="P97" s="1">
        <f>(Occurrence!D$3-F97)^2</f>
        <v>0.72249999999999992</v>
      </c>
      <c r="Q97" s="1">
        <f>(Occurrence!E$3-G97)^2</f>
        <v>0.48999999999999994</v>
      </c>
      <c r="R97" s="1">
        <f>(Occurrence!F$3-H97)^2</f>
        <v>4.0000000000000008E-2</v>
      </c>
      <c r="S97" s="1">
        <f>(Occurrence!G$3-I97)^2</f>
        <v>2.2499999999999999E-2</v>
      </c>
      <c r="T97" s="1">
        <f>(Occurrence!H$3-J97)^2</f>
        <v>0.48999999999999994</v>
      </c>
      <c r="U97" s="1">
        <f>(Occurrence!I$3-K97)^2</f>
        <v>0.5625</v>
      </c>
      <c r="V97" s="1">
        <f>(Occurrence!J$3-L97)^2</f>
        <v>0.5625</v>
      </c>
      <c r="W97" s="1">
        <f>(Occurrence!K$3-M97)^2</f>
        <v>0.25</v>
      </c>
      <c r="X97" s="1">
        <f t="shared" si="13"/>
        <v>3.2024999999999997</v>
      </c>
      <c r="Z97" s="1">
        <f t="shared" si="14"/>
        <v>0</v>
      </c>
      <c r="AA97" s="1">
        <f t="shared" si="15"/>
        <v>0</v>
      </c>
      <c r="AB97" s="1">
        <f t="shared" si="16"/>
        <v>0</v>
      </c>
      <c r="AC97" s="1">
        <f t="shared" si="17"/>
        <v>0</v>
      </c>
      <c r="AD97" s="1">
        <f t="shared" si="18"/>
        <v>0</v>
      </c>
      <c r="AE97" s="1">
        <f t="shared" si="19"/>
        <v>0</v>
      </c>
      <c r="AF97" s="1">
        <f t="shared" si="20"/>
        <v>0</v>
      </c>
      <c r="AG97" s="1">
        <f t="shared" si="21"/>
        <v>0</v>
      </c>
      <c r="AH97" s="1">
        <f t="shared" si="22"/>
        <v>1</v>
      </c>
      <c r="AI97" s="1">
        <f t="shared" si="23"/>
        <v>1</v>
      </c>
      <c r="AJ97" s="1">
        <f>SUMXMY2(Z97:AI97, Occurrence!B$3:K$3)</f>
        <v>5</v>
      </c>
      <c r="AK97" s="1">
        <f t="shared" si="24"/>
        <v>5</v>
      </c>
    </row>
    <row r="98" spans="1:37">
      <c r="A98" s="1">
        <v>97</v>
      </c>
      <c r="B98" s="1">
        <v>4252096</v>
      </c>
      <c r="C98" s="6">
        <v>804</v>
      </c>
      <c r="D98" s="1">
        <v>0.04</v>
      </c>
      <c r="E98" s="1">
        <v>0.08</v>
      </c>
      <c r="F98" s="1">
        <v>0.3</v>
      </c>
      <c r="G98" s="1">
        <v>0.57999999999999996</v>
      </c>
      <c r="H98" s="1">
        <v>0.34</v>
      </c>
      <c r="I98" s="1">
        <v>0.08</v>
      </c>
      <c r="J98" s="1">
        <v>0.72</v>
      </c>
      <c r="K98" s="1">
        <v>0.63</v>
      </c>
      <c r="L98" s="1">
        <v>0.4</v>
      </c>
      <c r="M98" s="1">
        <v>0.65</v>
      </c>
      <c r="N98" s="1">
        <f>(Occurrence!B$3-D98)^2</f>
        <v>1.6000000000000001E-3</v>
      </c>
      <c r="O98" s="1">
        <f>(Occurrence!C$3-E98)^2</f>
        <v>6.4000000000000003E-3</v>
      </c>
      <c r="P98" s="1">
        <f>(Occurrence!D$3-F98)^2</f>
        <v>0.48999999999999994</v>
      </c>
      <c r="Q98" s="1">
        <f>(Occurrence!E$3-G98)^2</f>
        <v>0.17640000000000003</v>
      </c>
      <c r="R98" s="1">
        <f>(Occurrence!F$3-H98)^2</f>
        <v>0.11560000000000002</v>
      </c>
      <c r="S98" s="1">
        <f>(Occurrence!G$3-I98)^2</f>
        <v>6.4000000000000003E-3</v>
      </c>
      <c r="T98" s="1">
        <f>(Occurrence!H$3-J98)^2</f>
        <v>7.8400000000000011E-2</v>
      </c>
      <c r="U98" s="1">
        <f>(Occurrence!I$3-K98)^2</f>
        <v>0.13689999999999999</v>
      </c>
      <c r="V98" s="1">
        <f>(Occurrence!J$3-L98)^2</f>
        <v>0.16000000000000003</v>
      </c>
      <c r="W98" s="1">
        <f>(Occurrence!K$3-M98)^2</f>
        <v>0.12249999999999998</v>
      </c>
      <c r="X98" s="1">
        <f t="shared" si="13"/>
        <v>1.2942</v>
      </c>
      <c r="Z98" s="1">
        <f t="shared" si="14"/>
        <v>0</v>
      </c>
      <c r="AA98" s="1">
        <f t="shared" si="15"/>
        <v>0</v>
      </c>
      <c r="AB98" s="1">
        <f t="shared" si="16"/>
        <v>0</v>
      </c>
      <c r="AC98" s="1">
        <f t="shared" si="17"/>
        <v>1</v>
      </c>
      <c r="AD98" s="1">
        <f t="shared" si="18"/>
        <v>0</v>
      </c>
      <c r="AE98" s="1">
        <f t="shared" si="19"/>
        <v>0</v>
      </c>
      <c r="AF98" s="1">
        <f t="shared" si="20"/>
        <v>1</v>
      </c>
      <c r="AG98" s="1">
        <f t="shared" si="21"/>
        <v>1</v>
      </c>
      <c r="AH98" s="1">
        <f t="shared" si="22"/>
        <v>0</v>
      </c>
      <c r="AI98" s="1">
        <f t="shared" si="23"/>
        <v>1</v>
      </c>
      <c r="AJ98" s="1">
        <f>SUMXMY2(Z98:AI98, Occurrence!B$3:K$3)</f>
        <v>1</v>
      </c>
      <c r="AK98" s="1">
        <f t="shared" si="24"/>
        <v>9</v>
      </c>
    </row>
    <row r="99" spans="1:37">
      <c r="A99" s="1">
        <v>98</v>
      </c>
      <c r="B99" s="1">
        <v>4252097</v>
      </c>
      <c r="C99" s="6">
        <v>804</v>
      </c>
      <c r="D99" s="1">
        <v>0.25</v>
      </c>
      <c r="E99" s="1">
        <v>0.35</v>
      </c>
      <c r="F99" s="1">
        <v>0.3</v>
      </c>
      <c r="G99" s="1">
        <v>0.5</v>
      </c>
      <c r="H99" s="1">
        <v>0.45</v>
      </c>
      <c r="I99" s="1">
        <v>0.7</v>
      </c>
      <c r="J99" s="1">
        <v>0.3</v>
      </c>
      <c r="K99" s="1">
        <v>0.9</v>
      </c>
      <c r="L99" s="1">
        <v>0.9</v>
      </c>
      <c r="M99" s="1">
        <v>0.7</v>
      </c>
      <c r="N99" s="1">
        <f>(Occurrence!B$3-D99)^2</f>
        <v>6.25E-2</v>
      </c>
      <c r="O99" s="1">
        <f>(Occurrence!C$3-E99)^2</f>
        <v>0.12249999999999998</v>
      </c>
      <c r="P99" s="1">
        <f>(Occurrence!D$3-F99)^2</f>
        <v>0.48999999999999994</v>
      </c>
      <c r="Q99" s="1">
        <f>(Occurrence!E$3-G99)^2</f>
        <v>0.25</v>
      </c>
      <c r="R99" s="1">
        <f>(Occurrence!F$3-H99)^2</f>
        <v>0.20250000000000001</v>
      </c>
      <c r="S99" s="1">
        <f>(Occurrence!G$3-I99)^2</f>
        <v>0.48999999999999994</v>
      </c>
      <c r="T99" s="1">
        <f>(Occurrence!H$3-J99)^2</f>
        <v>0.48999999999999994</v>
      </c>
      <c r="U99" s="1">
        <f>(Occurrence!I$3-K99)^2</f>
        <v>9.999999999999995E-3</v>
      </c>
      <c r="V99" s="1">
        <f>(Occurrence!J$3-L99)^2</f>
        <v>0.81</v>
      </c>
      <c r="W99" s="1">
        <f>(Occurrence!K$3-M99)^2</f>
        <v>9.0000000000000024E-2</v>
      </c>
      <c r="X99" s="1">
        <f t="shared" si="13"/>
        <v>3.0174999999999996</v>
      </c>
      <c r="Z99" s="1">
        <f t="shared" si="14"/>
        <v>0</v>
      </c>
      <c r="AA99" s="1">
        <f t="shared" si="15"/>
        <v>0</v>
      </c>
      <c r="AB99" s="1">
        <f t="shared" si="16"/>
        <v>0</v>
      </c>
      <c r="AC99" s="1">
        <f t="shared" si="17"/>
        <v>1</v>
      </c>
      <c r="AD99" s="1">
        <f t="shared" si="18"/>
        <v>0</v>
      </c>
      <c r="AE99" s="1">
        <f t="shared" si="19"/>
        <v>1</v>
      </c>
      <c r="AF99" s="1">
        <f t="shared" si="20"/>
        <v>0</v>
      </c>
      <c r="AG99" s="1">
        <f t="shared" si="21"/>
        <v>1</v>
      </c>
      <c r="AH99" s="1">
        <f t="shared" si="22"/>
        <v>1</v>
      </c>
      <c r="AI99" s="1">
        <f t="shared" si="23"/>
        <v>1</v>
      </c>
      <c r="AJ99" s="1">
        <f>SUMXMY2(Z99:AI99, Occurrence!B$3:K$3)</f>
        <v>4</v>
      </c>
      <c r="AK99" s="1">
        <f t="shared" si="24"/>
        <v>6</v>
      </c>
    </row>
    <row r="100" spans="1:37">
      <c r="A100" s="1">
        <v>99</v>
      </c>
      <c r="B100" s="1">
        <v>4252098</v>
      </c>
      <c r="C100" s="6">
        <v>804</v>
      </c>
      <c r="D100" s="1">
        <v>1</v>
      </c>
      <c r="E100" s="1">
        <v>0.23</v>
      </c>
      <c r="F100" s="1">
        <v>0.26</v>
      </c>
      <c r="G100" s="1">
        <v>0.28999999999999998</v>
      </c>
      <c r="H100" s="1">
        <v>0.28999999999999998</v>
      </c>
      <c r="I100" s="1">
        <v>0.15</v>
      </c>
      <c r="J100" s="1">
        <v>0.26</v>
      </c>
      <c r="K100" s="1">
        <v>0.25</v>
      </c>
      <c r="L100" s="1">
        <v>0.24</v>
      </c>
      <c r="M100" s="1">
        <v>0.26</v>
      </c>
      <c r="N100" s="1">
        <f>(Occurrence!B$3-D100)^2</f>
        <v>1</v>
      </c>
      <c r="O100" s="1">
        <f>(Occurrence!C$3-E100)^2</f>
        <v>5.2900000000000003E-2</v>
      </c>
      <c r="P100" s="1">
        <f>(Occurrence!D$3-F100)^2</f>
        <v>0.54759999999999998</v>
      </c>
      <c r="Q100" s="1">
        <f>(Occurrence!E$3-G100)^2</f>
        <v>0.50409999999999999</v>
      </c>
      <c r="R100" s="1">
        <f>(Occurrence!F$3-H100)^2</f>
        <v>8.4099999999999994E-2</v>
      </c>
      <c r="S100" s="1">
        <f>(Occurrence!G$3-I100)^2</f>
        <v>2.2499999999999999E-2</v>
      </c>
      <c r="T100" s="1">
        <f>(Occurrence!H$3-J100)^2</f>
        <v>0.54759999999999998</v>
      </c>
      <c r="U100" s="1">
        <f>(Occurrence!I$3-K100)^2</f>
        <v>0.5625</v>
      </c>
      <c r="V100" s="1">
        <f>(Occurrence!J$3-L100)^2</f>
        <v>5.7599999999999998E-2</v>
      </c>
      <c r="W100" s="1">
        <f>(Occurrence!K$3-M100)^2</f>
        <v>0.54759999999999998</v>
      </c>
      <c r="X100" s="1">
        <f t="shared" si="13"/>
        <v>3.9264999999999994</v>
      </c>
      <c r="Z100" s="1">
        <f t="shared" si="14"/>
        <v>1</v>
      </c>
      <c r="AA100" s="1">
        <f t="shared" si="15"/>
        <v>0</v>
      </c>
      <c r="AB100" s="1">
        <f t="shared" si="16"/>
        <v>0</v>
      </c>
      <c r="AC100" s="1">
        <f t="shared" si="17"/>
        <v>0</v>
      </c>
      <c r="AD100" s="1">
        <f t="shared" si="18"/>
        <v>0</v>
      </c>
      <c r="AE100" s="1">
        <f t="shared" si="19"/>
        <v>0</v>
      </c>
      <c r="AF100" s="1">
        <f t="shared" si="20"/>
        <v>0</v>
      </c>
      <c r="AG100" s="1">
        <f t="shared" si="21"/>
        <v>0</v>
      </c>
      <c r="AH100" s="1">
        <f t="shared" si="22"/>
        <v>0</v>
      </c>
      <c r="AI100" s="1">
        <f t="shared" si="23"/>
        <v>0</v>
      </c>
      <c r="AJ100" s="1">
        <f>SUMXMY2(Z100:AI100, Occurrence!B$3:K$3)</f>
        <v>6</v>
      </c>
      <c r="AK100" s="1">
        <f t="shared" si="24"/>
        <v>4</v>
      </c>
    </row>
    <row r="101" spans="1:37">
      <c r="A101" s="1">
        <v>100</v>
      </c>
      <c r="B101" s="1">
        <v>4252099</v>
      </c>
      <c r="C101" s="6">
        <v>804</v>
      </c>
      <c r="D101" s="1">
        <v>0.01</v>
      </c>
      <c r="E101" s="1">
        <v>0.2</v>
      </c>
      <c r="F101" s="1">
        <v>0.9</v>
      </c>
      <c r="G101" s="1">
        <v>0.8</v>
      </c>
      <c r="H101" s="1">
        <v>0.6</v>
      </c>
      <c r="I101" s="1">
        <v>0.8</v>
      </c>
      <c r="J101" s="1">
        <v>0.5</v>
      </c>
      <c r="K101" s="1">
        <v>0.95</v>
      </c>
      <c r="L101" s="1">
        <v>0.8</v>
      </c>
      <c r="M101" s="1">
        <v>0.5</v>
      </c>
      <c r="N101" s="1">
        <f>(Occurrence!B$3-D101)^2</f>
        <v>1E-4</v>
      </c>
      <c r="O101" s="1">
        <f>(Occurrence!C$3-E101)^2</f>
        <v>4.0000000000000008E-2</v>
      </c>
      <c r="P101" s="1">
        <f>(Occurrence!D$3-F101)^2</f>
        <v>9.999999999999995E-3</v>
      </c>
      <c r="Q101" s="1">
        <f>(Occurrence!E$3-G101)^2</f>
        <v>3.999999999999998E-2</v>
      </c>
      <c r="R101" s="1">
        <f>(Occurrence!F$3-H101)^2</f>
        <v>0.36</v>
      </c>
      <c r="S101" s="1">
        <f>(Occurrence!G$3-I101)^2</f>
        <v>0.64000000000000012</v>
      </c>
      <c r="T101" s="1">
        <f>(Occurrence!H$3-J101)^2</f>
        <v>0.25</v>
      </c>
      <c r="U101" s="1">
        <f>(Occurrence!I$3-K101)^2</f>
        <v>2.5000000000000044E-3</v>
      </c>
      <c r="V101" s="1">
        <f>(Occurrence!J$3-L101)^2</f>
        <v>0.64000000000000012</v>
      </c>
      <c r="W101" s="1">
        <f>(Occurrence!K$3-M101)^2</f>
        <v>0.25</v>
      </c>
      <c r="X101" s="1">
        <f t="shared" si="13"/>
        <v>2.2326000000000001</v>
      </c>
      <c r="Z101" s="1">
        <f t="shared" si="14"/>
        <v>0</v>
      </c>
      <c r="AA101" s="1">
        <f t="shared" si="15"/>
        <v>0</v>
      </c>
      <c r="AB101" s="1">
        <f t="shared" si="16"/>
        <v>1</v>
      </c>
      <c r="AC101" s="1">
        <f t="shared" si="17"/>
        <v>1</v>
      </c>
      <c r="AD101" s="1">
        <f t="shared" si="18"/>
        <v>1</v>
      </c>
      <c r="AE101" s="1">
        <f t="shared" si="19"/>
        <v>1</v>
      </c>
      <c r="AF101" s="1">
        <f t="shared" si="20"/>
        <v>1</v>
      </c>
      <c r="AG101" s="1">
        <f t="shared" si="21"/>
        <v>1</v>
      </c>
      <c r="AH101" s="1">
        <f t="shared" si="22"/>
        <v>1</v>
      </c>
      <c r="AI101" s="1">
        <f t="shared" si="23"/>
        <v>1</v>
      </c>
      <c r="AJ101" s="1">
        <f>SUMXMY2(Z101:AI101, Occurrence!B$3:K$3)</f>
        <v>3</v>
      </c>
      <c r="AK101" s="1">
        <f t="shared" si="24"/>
        <v>7</v>
      </c>
    </row>
    <row r="102" spans="1:37">
      <c r="A102" s="1">
        <v>101</v>
      </c>
      <c r="B102" s="1">
        <v>4252100</v>
      </c>
      <c r="C102" s="6">
        <v>804</v>
      </c>
      <c r="D102" s="1">
        <v>0.1</v>
      </c>
      <c r="E102" s="1">
        <v>0.35</v>
      </c>
      <c r="F102" s="1">
        <v>0.56000000000000005</v>
      </c>
      <c r="G102" s="1">
        <v>0.89</v>
      </c>
      <c r="H102" s="1">
        <v>0.32</v>
      </c>
      <c r="I102" s="1">
        <v>0.8</v>
      </c>
      <c r="J102" s="1">
        <v>0.1</v>
      </c>
      <c r="K102" s="1">
        <v>0.99</v>
      </c>
      <c r="L102" s="1">
        <v>0.2</v>
      </c>
      <c r="M102" s="1">
        <v>0.9</v>
      </c>
      <c r="N102" s="1">
        <f>(Occurrence!B$3-D102)^2</f>
        <v>1.0000000000000002E-2</v>
      </c>
      <c r="O102" s="1">
        <f>(Occurrence!C$3-E102)^2</f>
        <v>0.12249999999999998</v>
      </c>
      <c r="P102" s="1">
        <f>(Occurrence!D$3-F102)^2</f>
        <v>0.19359999999999997</v>
      </c>
      <c r="Q102" s="1">
        <f>(Occurrence!E$3-G102)^2</f>
        <v>1.2099999999999998E-2</v>
      </c>
      <c r="R102" s="1">
        <f>(Occurrence!F$3-H102)^2</f>
        <v>0.1024</v>
      </c>
      <c r="S102" s="1">
        <f>(Occurrence!G$3-I102)^2</f>
        <v>0.64000000000000012</v>
      </c>
      <c r="T102" s="1">
        <f>(Occurrence!H$3-J102)^2</f>
        <v>0.81</v>
      </c>
      <c r="U102" s="1">
        <f>(Occurrence!I$3-K102)^2</f>
        <v>1.0000000000000018E-4</v>
      </c>
      <c r="V102" s="1">
        <f>(Occurrence!J$3-L102)^2</f>
        <v>4.0000000000000008E-2</v>
      </c>
      <c r="W102" s="1">
        <f>(Occurrence!K$3-M102)^2</f>
        <v>9.999999999999995E-3</v>
      </c>
      <c r="X102" s="1">
        <f t="shared" si="13"/>
        <v>1.9407000000000001</v>
      </c>
      <c r="Z102" s="1">
        <f t="shared" si="14"/>
        <v>0</v>
      </c>
      <c r="AA102" s="1">
        <f t="shared" si="15"/>
        <v>0</v>
      </c>
      <c r="AB102" s="1">
        <f t="shared" si="16"/>
        <v>1</v>
      </c>
      <c r="AC102" s="1">
        <f t="shared" si="17"/>
        <v>1</v>
      </c>
      <c r="AD102" s="1">
        <f t="shared" si="18"/>
        <v>0</v>
      </c>
      <c r="AE102" s="1">
        <f t="shared" si="19"/>
        <v>1</v>
      </c>
      <c r="AF102" s="1">
        <f t="shared" si="20"/>
        <v>0</v>
      </c>
      <c r="AG102" s="1">
        <f t="shared" si="21"/>
        <v>1</v>
      </c>
      <c r="AH102" s="1">
        <f t="shared" si="22"/>
        <v>0</v>
      </c>
      <c r="AI102" s="1">
        <f t="shared" si="23"/>
        <v>1</v>
      </c>
      <c r="AJ102" s="1">
        <f>SUMXMY2(Z102:AI102, Occurrence!B$3:K$3)</f>
        <v>2</v>
      </c>
      <c r="AK102" s="1">
        <f t="shared" si="24"/>
        <v>8</v>
      </c>
    </row>
    <row r="103" spans="1:37">
      <c r="A103" s="1">
        <v>102</v>
      </c>
      <c r="B103" s="1">
        <v>4252101</v>
      </c>
      <c r="C103" s="6">
        <v>804</v>
      </c>
      <c r="D103" s="1">
        <v>0.05</v>
      </c>
      <c r="E103" s="1">
        <v>0.01</v>
      </c>
      <c r="F103" s="1">
        <v>0.88</v>
      </c>
      <c r="G103" s="1">
        <v>0.99</v>
      </c>
      <c r="H103" s="1">
        <v>0.3</v>
      </c>
      <c r="I103" s="1">
        <v>0.14000000000000001</v>
      </c>
      <c r="J103" s="1">
        <v>0.1</v>
      </c>
      <c r="K103" s="1">
        <v>0.55000000000000004</v>
      </c>
      <c r="L103" s="1">
        <v>0.35</v>
      </c>
      <c r="M103" s="1">
        <v>0.6</v>
      </c>
      <c r="N103" s="1">
        <f>(Occurrence!B$3-D103)^2</f>
        <v>2.5000000000000005E-3</v>
      </c>
      <c r="O103" s="1">
        <f>(Occurrence!C$3-E103)^2</f>
        <v>1E-4</v>
      </c>
      <c r="P103" s="1">
        <f>(Occurrence!D$3-F103)^2</f>
        <v>1.44E-2</v>
      </c>
      <c r="Q103" s="1">
        <f>(Occurrence!E$3-G103)^2</f>
        <v>1.0000000000000018E-4</v>
      </c>
      <c r="R103" s="1">
        <f>(Occurrence!F$3-H103)^2</f>
        <v>0.09</v>
      </c>
      <c r="S103" s="1">
        <f>(Occurrence!G$3-I103)^2</f>
        <v>1.9600000000000003E-2</v>
      </c>
      <c r="T103" s="1">
        <f>(Occurrence!H$3-J103)^2</f>
        <v>0.81</v>
      </c>
      <c r="U103" s="1">
        <f>(Occurrence!I$3-K103)^2</f>
        <v>0.20249999999999996</v>
      </c>
      <c r="V103" s="1">
        <f>(Occurrence!J$3-L103)^2</f>
        <v>0.12249999999999998</v>
      </c>
      <c r="W103" s="1">
        <f>(Occurrence!K$3-M103)^2</f>
        <v>0.16000000000000003</v>
      </c>
      <c r="X103" s="1">
        <f t="shared" si="13"/>
        <v>1.4217</v>
      </c>
      <c r="Z103" s="1">
        <f t="shared" si="14"/>
        <v>0</v>
      </c>
      <c r="AA103" s="1">
        <f t="shared" si="15"/>
        <v>0</v>
      </c>
      <c r="AB103" s="1">
        <f t="shared" si="16"/>
        <v>1</v>
      </c>
      <c r="AC103" s="1">
        <f t="shared" si="17"/>
        <v>1</v>
      </c>
      <c r="AD103" s="1">
        <f t="shared" si="18"/>
        <v>0</v>
      </c>
      <c r="AE103" s="1">
        <f t="shared" si="19"/>
        <v>0</v>
      </c>
      <c r="AF103" s="1">
        <f t="shared" si="20"/>
        <v>0</v>
      </c>
      <c r="AG103" s="1">
        <f t="shared" si="21"/>
        <v>1</v>
      </c>
      <c r="AH103" s="1">
        <f t="shared" si="22"/>
        <v>0</v>
      </c>
      <c r="AI103" s="1">
        <f t="shared" si="23"/>
        <v>1</v>
      </c>
      <c r="AJ103" s="1">
        <f>SUMXMY2(Z103:AI103, Occurrence!B$3:K$3)</f>
        <v>1</v>
      </c>
      <c r="AK103" s="1">
        <f t="shared" si="24"/>
        <v>9</v>
      </c>
    </row>
    <row r="104" spans="1:37">
      <c r="A104" s="1">
        <v>103</v>
      </c>
      <c r="B104" s="1">
        <v>4252102</v>
      </c>
      <c r="C104" s="6">
        <v>804</v>
      </c>
      <c r="D104" s="1">
        <v>1.2E-2</v>
      </c>
      <c r="E104" s="1">
        <v>5.1999999999999998E-2</v>
      </c>
      <c r="F104" s="1">
        <v>0.187</v>
      </c>
      <c r="G104" s="1">
        <v>0.27400000000000002</v>
      </c>
      <c r="H104" s="1">
        <v>0.47499999999999998</v>
      </c>
      <c r="I104" s="1">
        <v>0.21199999999999999</v>
      </c>
      <c r="J104" s="1">
        <v>0.93400000000000005</v>
      </c>
      <c r="K104" s="1">
        <v>0.84499999999999997</v>
      </c>
      <c r="L104" s="1">
        <v>0.312</v>
      </c>
      <c r="M104" s="1">
        <v>0.67200000000000004</v>
      </c>
      <c r="N104" s="1">
        <f>(Occurrence!B$3-D104)^2</f>
        <v>1.44E-4</v>
      </c>
      <c r="O104" s="1">
        <f>(Occurrence!C$3-E104)^2</f>
        <v>2.7039999999999998E-3</v>
      </c>
      <c r="P104" s="1">
        <f>(Occurrence!D$3-F104)^2</f>
        <v>0.66096899999999992</v>
      </c>
      <c r="Q104" s="1">
        <f>(Occurrence!E$3-G104)^2</f>
        <v>0.52707599999999999</v>
      </c>
      <c r="R104" s="1">
        <f>(Occurrence!F$3-H104)^2</f>
        <v>0.22562499999999999</v>
      </c>
      <c r="S104" s="1">
        <f>(Occurrence!G$3-I104)^2</f>
        <v>4.4943999999999998E-2</v>
      </c>
      <c r="T104" s="1">
        <f>(Occurrence!H$3-J104)^2</f>
        <v>4.3559999999999927E-3</v>
      </c>
      <c r="U104" s="1">
        <f>(Occurrence!I$3-K104)^2</f>
        <v>2.4025000000000008E-2</v>
      </c>
      <c r="V104" s="1">
        <f>(Occurrence!J$3-L104)^2</f>
        <v>9.7344E-2</v>
      </c>
      <c r="W104" s="1">
        <f>(Occurrence!K$3-M104)^2</f>
        <v>0.10758399999999997</v>
      </c>
      <c r="X104" s="1">
        <f t="shared" si="13"/>
        <v>1.694771</v>
      </c>
      <c r="Z104" s="1">
        <f t="shared" si="14"/>
        <v>0</v>
      </c>
      <c r="AA104" s="1">
        <f t="shared" si="15"/>
        <v>0</v>
      </c>
      <c r="AB104" s="1">
        <f t="shared" si="16"/>
        <v>0</v>
      </c>
      <c r="AC104" s="1">
        <f t="shared" si="17"/>
        <v>0</v>
      </c>
      <c r="AD104" s="1">
        <f t="shared" si="18"/>
        <v>0</v>
      </c>
      <c r="AE104" s="1">
        <f t="shared" si="19"/>
        <v>0</v>
      </c>
      <c r="AF104" s="1">
        <f t="shared" si="20"/>
        <v>1</v>
      </c>
      <c r="AG104" s="1">
        <f t="shared" si="21"/>
        <v>1</v>
      </c>
      <c r="AH104" s="1">
        <f t="shared" si="22"/>
        <v>0</v>
      </c>
      <c r="AI104" s="1">
        <f t="shared" si="23"/>
        <v>1</v>
      </c>
      <c r="AJ104" s="1">
        <f>SUMXMY2(Z104:AI104, Occurrence!B$3:K$3)</f>
        <v>2</v>
      </c>
      <c r="AK104" s="1">
        <f t="shared" si="24"/>
        <v>8</v>
      </c>
    </row>
    <row r="105" spans="1:37">
      <c r="A105" s="1">
        <v>104</v>
      </c>
      <c r="B105" s="1">
        <v>4252103</v>
      </c>
      <c r="C105" s="6">
        <v>804</v>
      </c>
      <c r="D105" s="1">
        <v>0.6</v>
      </c>
      <c r="E105" s="1">
        <v>0.8</v>
      </c>
      <c r="F105" s="1">
        <v>0.2</v>
      </c>
      <c r="G105" s="1">
        <v>0.8</v>
      </c>
      <c r="H105" s="1">
        <v>0.1</v>
      </c>
      <c r="I105" s="1">
        <v>0.2</v>
      </c>
      <c r="J105" s="1">
        <v>0.5</v>
      </c>
      <c r="K105" s="1">
        <v>0.7</v>
      </c>
      <c r="L105" s="1">
        <v>0.9</v>
      </c>
      <c r="M105" s="1">
        <v>0.4</v>
      </c>
      <c r="N105" s="1">
        <f>(Occurrence!B$3-D105)^2</f>
        <v>0.36</v>
      </c>
      <c r="O105" s="1">
        <f>(Occurrence!C$3-E105)^2</f>
        <v>0.64000000000000012</v>
      </c>
      <c r="P105" s="1">
        <f>(Occurrence!D$3-F105)^2</f>
        <v>0.64000000000000012</v>
      </c>
      <c r="Q105" s="1">
        <f>(Occurrence!E$3-G105)^2</f>
        <v>3.999999999999998E-2</v>
      </c>
      <c r="R105" s="1">
        <f>(Occurrence!F$3-H105)^2</f>
        <v>1.0000000000000002E-2</v>
      </c>
      <c r="S105" s="1">
        <f>(Occurrence!G$3-I105)^2</f>
        <v>4.0000000000000008E-2</v>
      </c>
      <c r="T105" s="1">
        <f>(Occurrence!H$3-J105)^2</f>
        <v>0.25</v>
      </c>
      <c r="U105" s="1">
        <f>(Occurrence!I$3-K105)^2</f>
        <v>9.0000000000000024E-2</v>
      </c>
      <c r="V105" s="1">
        <f>(Occurrence!J$3-L105)^2</f>
        <v>0.81</v>
      </c>
      <c r="W105" s="1">
        <f>(Occurrence!K$3-M105)^2</f>
        <v>0.36</v>
      </c>
      <c r="X105" s="1">
        <f t="shared" si="13"/>
        <v>3.24</v>
      </c>
      <c r="Z105" s="1">
        <f t="shared" si="14"/>
        <v>1</v>
      </c>
      <c r="AA105" s="1">
        <f t="shared" si="15"/>
        <v>1</v>
      </c>
      <c r="AB105" s="1">
        <f t="shared" si="16"/>
        <v>0</v>
      </c>
      <c r="AC105" s="1">
        <f t="shared" si="17"/>
        <v>1</v>
      </c>
      <c r="AD105" s="1">
        <f t="shared" si="18"/>
        <v>0</v>
      </c>
      <c r="AE105" s="1">
        <f t="shared" si="19"/>
        <v>0</v>
      </c>
      <c r="AF105" s="1">
        <f t="shared" si="20"/>
        <v>1</v>
      </c>
      <c r="AG105" s="1">
        <f t="shared" si="21"/>
        <v>1</v>
      </c>
      <c r="AH105" s="1">
        <f t="shared" si="22"/>
        <v>1</v>
      </c>
      <c r="AI105" s="1">
        <f t="shared" si="23"/>
        <v>0</v>
      </c>
      <c r="AJ105" s="1">
        <f>SUMXMY2(Z105:AI105, Occurrence!B$3:K$3)</f>
        <v>5</v>
      </c>
      <c r="AK105" s="1">
        <f t="shared" si="24"/>
        <v>5</v>
      </c>
    </row>
    <row r="106" spans="1:37">
      <c r="A106" s="1">
        <v>105</v>
      </c>
      <c r="B106" s="1">
        <v>4252104</v>
      </c>
      <c r="C106" s="6">
        <v>804</v>
      </c>
      <c r="D106" s="1">
        <v>0.06</v>
      </c>
      <c r="E106" s="1">
        <v>0.32</v>
      </c>
      <c r="F106" s="1">
        <v>7.0000000000000007E-2</v>
      </c>
      <c r="G106" s="1">
        <v>0.34</v>
      </c>
      <c r="H106" s="1">
        <v>1</v>
      </c>
      <c r="I106" s="1">
        <v>1</v>
      </c>
      <c r="J106" s="1">
        <v>0</v>
      </c>
      <c r="K106" s="1">
        <v>1</v>
      </c>
      <c r="L106" s="1">
        <v>0</v>
      </c>
      <c r="M106" s="1">
        <v>1</v>
      </c>
      <c r="N106" s="1">
        <f>(Occurrence!B$3-D106)^2</f>
        <v>3.5999999999999999E-3</v>
      </c>
      <c r="O106" s="1">
        <f>(Occurrence!C$3-E106)^2</f>
        <v>0.1024</v>
      </c>
      <c r="P106" s="1">
        <f>(Occurrence!D$3-F106)^2</f>
        <v>0.86489999999999989</v>
      </c>
      <c r="Q106" s="1">
        <f>(Occurrence!E$3-G106)^2</f>
        <v>0.43559999999999988</v>
      </c>
      <c r="R106" s="1">
        <f>(Occurrence!F$3-H106)^2</f>
        <v>1</v>
      </c>
      <c r="S106" s="1">
        <f>(Occurrence!G$3-I106)^2</f>
        <v>1</v>
      </c>
      <c r="T106" s="1">
        <f>(Occurrence!H$3-J106)^2</f>
        <v>1</v>
      </c>
      <c r="U106" s="1">
        <f>(Occurrence!I$3-K106)^2</f>
        <v>0</v>
      </c>
      <c r="V106" s="1">
        <f>(Occurrence!J$3-L106)^2</f>
        <v>0</v>
      </c>
      <c r="W106" s="1">
        <f>(Occurrence!K$3-M106)^2</f>
        <v>0</v>
      </c>
      <c r="X106" s="1">
        <f t="shared" si="13"/>
        <v>4.4064999999999994</v>
      </c>
      <c r="Z106" s="1">
        <f t="shared" si="14"/>
        <v>0</v>
      </c>
      <c r="AA106" s="1">
        <f t="shared" si="15"/>
        <v>0</v>
      </c>
      <c r="AB106" s="1">
        <f t="shared" si="16"/>
        <v>0</v>
      </c>
      <c r="AC106" s="1">
        <f t="shared" si="17"/>
        <v>0</v>
      </c>
      <c r="AD106" s="1">
        <f t="shared" si="18"/>
        <v>1</v>
      </c>
      <c r="AE106" s="1">
        <f t="shared" si="19"/>
        <v>1</v>
      </c>
      <c r="AF106" s="1">
        <f t="shared" si="20"/>
        <v>0</v>
      </c>
      <c r="AG106" s="1">
        <f t="shared" si="21"/>
        <v>1</v>
      </c>
      <c r="AH106" s="1">
        <f t="shared" si="22"/>
        <v>0</v>
      </c>
      <c r="AI106" s="1">
        <f t="shared" si="23"/>
        <v>1</v>
      </c>
      <c r="AJ106" s="1">
        <f>SUMXMY2(Z106:AI106, Occurrence!B$3:K$3)</f>
        <v>5</v>
      </c>
      <c r="AK106" s="1">
        <f t="shared" si="24"/>
        <v>5</v>
      </c>
    </row>
    <row r="107" spans="1:37">
      <c r="A107" s="1">
        <v>106</v>
      </c>
      <c r="B107" s="1">
        <v>4252105</v>
      </c>
      <c r="C107" s="6">
        <v>804</v>
      </c>
      <c r="D107" s="1">
        <v>0.01</v>
      </c>
      <c r="E107" s="1">
        <v>0.1</v>
      </c>
      <c r="F107" s="1">
        <v>0.6</v>
      </c>
      <c r="G107" s="1">
        <v>0.8</v>
      </c>
      <c r="H107" s="1">
        <v>0.4</v>
      </c>
      <c r="I107" s="1">
        <v>0.3</v>
      </c>
      <c r="J107" s="1">
        <v>0.3</v>
      </c>
      <c r="K107" s="1">
        <v>0.6</v>
      </c>
      <c r="L107" s="1">
        <v>0.2</v>
      </c>
      <c r="M107" s="1">
        <v>0.4</v>
      </c>
      <c r="N107" s="1">
        <f>(Occurrence!B$3-D107)^2</f>
        <v>1E-4</v>
      </c>
      <c r="O107" s="1">
        <f>(Occurrence!C$3-E107)^2</f>
        <v>1.0000000000000002E-2</v>
      </c>
      <c r="P107" s="1">
        <f>(Occurrence!D$3-F107)^2</f>
        <v>0.16000000000000003</v>
      </c>
      <c r="Q107" s="1">
        <f>(Occurrence!E$3-G107)^2</f>
        <v>3.999999999999998E-2</v>
      </c>
      <c r="R107" s="1">
        <f>(Occurrence!F$3-H107)^2</f>
        <v>0.16000000000000003</v>
      </c>
      <c r="S107" s="1">
        <f>(Occurrence!G$3-I107)^2</f>
        <v>0.09</v>
      </c>
      <c r="T107" s="1">
        <f>(Occurrence!H$3-J107)^2</f>
        <v>0.48999999999999994</v>
      </c>
      <c r="U107" s="1">
        <f>(Occurrence!I$3-K107)^2</f>
        <v>0.16000000000000003</v>
      </c>
      <c r="V107" s="1">
        <f>(Occurrence!J$3-L107)^2</f>
        <v>4.0000000000000008E-2</v>
      </c>
      <c r="W107" s="1">
        <f>(Occurrence!K$3-M107)^2</f>
        <v>0.36</v>
      </c>
      <c r="X107" s="1">
        <f t="shared" si="13"/>
        <v>1.5101</v>
      </c>
      <c r="Z107" s="1">
        <f t="shared" si="14"/>
        <v>0</v>
      </c>
      <c r="AA107" s="1">
        <f t="shared" si="15"/>
        <v>0</v>
      </c>
      <c r="AB107" s="1">
        <f t="shared" si="16"/>
        <v>1</v>
      </c>
      <c r="AC107" s="1">
        <f t="shared" si="17"/>
        <v>1</v>
      </c>
      <c r="AD107" s="1">
        <f t="shared" si="18"/>
        <v>0</v>
      </c>
      <c r="AE107" s="1">
        <f t="shared" si="19"/>
        <v>0</v>
      </c>
      <c r="AF107" s="1">
        <f t="shared" si="20"/>
        <v>0</v>
      </c>
      <c r="AG107" s="1">
        <f t="shared" si="21"/>
        <v>1</v>
      </c>
      <c r="AH107" s="1">
        <f t="shared" si="22"/>
        <v>0</v>
      </c>
      <c r="AI107" s="1">
        <f t="shared" si="23"/>
        <v>0</v>
      </c>
      <c r="AJ107" s="1">
        <f>SUMXMY2(Z107:AI107, Occurrence!B$3:K$3)</f>
        <v>2</v>
      </c>
      <c r="AK107" s="1">
        <f t="shared" si="24"/>
        <v>8</v>
      </c>
    </row>
    <row r="108" spans="1:37">
      <c r="A108" s="1">
        <v>107</v>
      </c>
      <c r="B108" s="1">
        <v>4252106</v>
      </c>
      <c r="C108" s="6">
        <v>804</v>
      </c>
      <c r="D108" s="1">
        <v>0.06</v>
      </c>
      <c r="E108" s="1">
        <v>0.32</v>
      </c>
      <c r="F108" s="1">
        <v>0.06</v>
      </c>
      <c r="G108" s="1">
        <v>0.33</v>
      </c>
      <c r="H108" s="1">
        <v>0.21</v>
      </c>
      <c r="I108" s="1">
        <v>1</v>
      </c>
      <c r="J108" s="1">
        <v>1</v>
      </c>
      <c r="K108" s="1">
        <v>1</v>
      </c>
      <c r="L108" s="1">
        <v>0</v>
      </c>
      <c r="M108" s="1">
        <v>1</v>
      </c>
      <c r="N108" s="1">
        <f>(Occurrence!B$3-D108)^2</f>
        <v>3.5999999999999999E-3</v>
      </c>
      <c r="O108" s="1">
        <f>(Occurrence!C$3-E108)^2</f>
        <v>0.1024</v>
      </c>
      <c r="P108" s="1">
        <f>(Occurrence!D$3-F108)^2</f>
        <v>0.88359999999999994</v>
      </c>
      <c r="Q108" s="1">
        <f>(Occurrence!E$3-G108)^2</f>
        <v>0.44889999999999991</v>
      </c>
      <c r="R108" s="1">
        <f>(Occurrence!F$3-H108)^2</f>
        <v>4.4099999999999993E-2</v>
      </c>
      <c r="S108" s="1">
        <f>(Occurrence!G$3-I108)^2</f>
        <v>1</v>
      </c>
      <c r="T108" s="1">
        <f>(Occurrence!H$3-J108)^2</f>
        <v>0</v>
      </c>
      <c r="U108" s="1">
        <f>(Occurrence!I$3-K108)^2</f>
        <v>0</v>
      </c>
      <c r="V108" s="1">
        <f>(Occurrence!J$3-L108)^2</f>
        <v>0</v>
      </c>
      <c r="W108" s="1">
        <f>(Occurrence!K$3-M108)^2</f>
        <v>0</v>
      </c>
      <c r="X108" s="1">
        <f t="shared" si="13"/>
        <v>2.4825999999999997</v>
      </c>
      <c r="Z108" s="1">
        <f t="shared" si="14"/>
        <v>0</v>
      </c>
      <c r="AA108" s="1">
        <f t="shared" si="15"/>
        <v>0</v>
      </c>
      <c r="AB108" s="1">
        <f t="shared" si="16"/>
        <v>0</v>
      </c>
      <c r="AC108" s="1">
        <f t="shared" si="17"/>
        <v>0</v>
      </c>
      <c r="AD108" s="1">
        <f t="shared" si="18"/>
        <v>0</v>
      </c>
      <c r="AE108" s="1">
        <f t="shared" si="19"/>
        <v>1</v>
      </c>
      <c r="AF108" s="1">
        <f t="shared" si="20"/>
        <v>1</v>
      </c>
      <c r="AG108" s="1">
        <f t="shared" si="21"/>
        <v>1</v>
      </c>
      <c r="AH108" s="1">
        <f t="shared" si="22"/>
        <v>0</v>
      </c>
      <c r="AI108" s="1">
        <f t="shared" si="23"/>
        <v>1</v>
      </c>
      <c r="AJ108" s="1">
        <f>SUMXMY2(Z108:AI108, Occurrence!B$3:K$3)</f>
        <v>3</v>
      </c>
      <c r="AK108" s="1">
        <f t="shared" si="24"/>
        <v>7</v>
      </c>
    </row>
    <row r="109" spans="1:37">
      <c r="A109" s="1">
        <v>108</v>
      </c>
      <c r="B109" s="1">
        <v>4252107</v>
      </c>
      <c r="C109" s="6">
        <v>804</v>
      </c>
      <c r="D109" s="1">
        <v>0.4</v>
      </c>
      <c r="E109" s="1">
        <v>0.4</v>
      </c>
      <c r="F109" s="1">
        <v>0.2</v>
      </c>
      <c r="G109" s="1">
        <v>0.2</v>
      </c>
      <c r="H109" s="1">
        <v>0.1</v>
      </c>
      <c r="I109" s="1">
        <v>0.2</v>
      </c>
      <c r="J109" s="1">
        <v>0.4</v>
      </c>
      <c r="K109" s="1">
        <v>0.6</v>
      </c>
      <c r="L109" s="1">
        <v>0.2</v>
      </c>
      <c r="M109" s="1">
        <v>0.1</v>
      </c>
      <c r="N109" s="1">
        <f>(Occurrence!B$3-D109)^2</f>
        <v>0.16000000000000003</v>
      </c>
      <c r="O109" s="1">
        <f>(Occurrence!C$3-E109)^2</f>
        <v>0.16000000000000003</v>
      </c>
      <c r="P109" s="1">
        <f>(Occurrence!D$3-F109)^2</f>
        <v>0.64000000000000012</v>
      </c>
      <c r="Q109" s="1">
        <f>(Occurrence!E$3-G109)^2</f>
        <v>0.64000000000000012</v>
      </c>
      <c r="R109" s="1">
        <f>(Occurrence!F$3-H109)^2</f>
        <v>1.0000000000000002E-2</v>
      </c>
      <c r="S109" s="1">
        <f>(Occurrence!G$3-I109)^2</f>
        <v>4.0000000000000008E-2</v>
      </c>
      <c r="T109" s="1">
        <f>(Occurrence!H$3-J109)^2</f>
        <v>0.36</v>
      </c>
      <c r="U109" s="1">
        <f>(Occurrence!I$3-K109)^2</f>
        <v>0.16000000000000003</v>
      </c>
      <c r="V109" s="1">
        <f>(Occurrence!J$3-L109)^2</f>
        <v>4.0000000000000008E-2</v>
      </c>
      <c r="W109" s="1">
        <f>(Occurrence!K$3-M109)^2</f>
        <v>0.81</v>
      </c>
      <c r="X109" s="1">
        <f t="shared" si="13"/>
        <v>3.0200000000000005</v>
      </c>
      <c r="Z109" s="1">
        <f t="shared" si="14"/>
        <v>0</v>
      </c>
      <c r="AA109" s="1">
        <f t="shared" si="15"/>
        <v>0</v>
      </c>
      <c r="AB109" s="1">
        <f t="shared" si="16"/>
        <v>0</v>
      </c>
      <c r="AC109" s="1">
        <f t="shared" si="17"/>
        <v>0</v>
      </c>
      <c r="AD109" s="1">
        <f t="shared" si="18"/>
        <v>0</v>
      </c>
      <c r="AE109" s="1">
        <f t="shared" si="19"/>
        <v>0</v>
      </c>
      <c r="AF109" s="1">
        <f t="shared" si="20"/>
        <v>0</v>
      </c>
      <c r="AG109" s="1">
        <f t="shared" si="21"/>
        <v>1</v>
      </c>
      <c r="AH109" s="1">
        <f t="shared" si="22"/>
        <v>0</v>
      </c>
      <c r="AI109" s="1">
        <f t="shared" si="23"/>
        <v>0</v>
      </c>
      <c r="AJ109" s="1">
        <f>SUMXMY2(Z109:AI109, Occurrence!B$3:K$3)</f>
        <v>4</v>
      </c>
      <c r="AK109" s="1">
        <f t="shared" si="24"/>
        <v>6</v>
      </c>
    </row>
    <row r="110" spans="1:37">
      <c r="A110" s="1">
        <v>109</v>
      </c>
      <c r="B110" s="1">
        <v>4252108</v>
      </c>
      <c r="C110" s="6">
        <v>804</v>
      </c>
      <c r="D110" s="1">
        <v>0.14499999999999999</v>
      </c>
      <c r="E110" s="1">
        <v>0.56000000000000005</v>
      </c>
      <c r="F110" s="1">
        <v>0.72</v>
      </c>
      <c r="G110" s="1">
        <v>0.01</v>
      </c>
      <c r="H110" s="1">
        <v>4.4999999999999998E-2</v>
      </c>
      <c r="I110" s="1">
        <v>7.8E-2</v>
      </c>
      <c r="J110" s="1">
        <v>0.92</v>
      </c>
      <c r="K110" s="1">
        <v>0.64</v>
      </c>
      <c r="L110" s="1">
        <v>0.41</v>
      </c>
      <c r="M110" s="1">
        <v>3.5000000000000003E-2</v>
      </c>
      <c r="N110" s="1">
        <f>(Occurrence!B$3-D110)^2</f>
        <v>2.1024999999999999E-2</v>
      </c>
      <c r="O110" s="1">
        <f>(Occurrence!C$3-E110)^2</f>
        <v>0.31360000000000005</v>
      </c>
      <c r="P110" s="1">
        <f>(Occurrence!D$3-F110)^2</f>
        <v>7.8400000000000011E-2</v>
      </c>
      <c r="Q110" s="1">
        <f>(Occurrence!E$3-G110)^2</f>
        <v>0.98009999999999997</v>
      </c>
      <c r="R110" s="1">
        <f>(Occurrence!F$3-H110)^2</f>
        <v>2.0249999999999999E-3</v>
      </c>
      <c r="S110" s="1">
        <f>(Occurrence!G$3-I110)^2</f>
        <v>6.084E-3</v>
      </c>
      <c r="T110" s="1">
        <f>(Occurrence!H$3-J110)^2</f>
        <v>6.3999999999999934E-3</v>
      </c>
      <c r="U110" s="1">
        <f>(Occurrence!I$3-K110)^2</f>
        <v>0.12959999999999999</v>
      </c>
      <c r="V110" s="1">
        <f>(Occurrence!J$3-L110)^2</f>
        <v>0.16809999999999997</v>
      </c>
      <c r="W110" s="1">
        <f>(Occurrence!K$3-M110)^2</f>
        <v>0.93122499999999997</v>
      </c>
      <c r="X110" s="1">
        <f t="shared" si="13"/>
        <v>2.6365589999999997</v>
      </c>
      <c r="Z110" s="1">
        <f t="shared" si="14"/>
        <v>0</v>
      </c>
      <c r="AA110" s="1">
        <f t="shared" si="15"/>
        <v>1</v>
      </c>
      <c r="AB110" s="1">
        <f t="shared" si="16"/>
        <v>1</v>
      </c>
      <c r="AC110" s="1">
        <f t="shared" si="17"/>
        <v>0</v>
      </c>
      <c r="AD110" s="1">
        <f t="shared" si="18"/>
        <v>0</v>
      </c>
      <c r="AE110" s="1">
        <f t="shared" si="19"/>
        <v>0</v>
      </c>
      <c r="AF110" s="1">
        <f t="shared" si="20"/>
        <v>1</v>
      </c>
      <c r="AG110" s="1">
        <f t="shared" si="21"/>
        <v>1</v>
      </c>
      <c r="AH110" s="1">
        <f t="shared" si="22"/>
        <v>0</v>
      </c>
      <c r="AI110" s="1">
        <f t="shared" si="23"/>
        <v>0</v>
      </c>
      <c r="AJ110" s="1">
        <f>SUMXMY2(Z110:AI110, Occurrence!B$3:K$3)</f>
        <v>3</v>
      </c>
      <c r="AK110" s="1">
        <f t="shared" si="24"/>
        <v>7</v>
      </c>
    </row>
    <row r="111" spans="1:37">
      <c r="A111" s="1">
        <v>110</v>
      </c>
      <c r="B111" s="1">
        <v>4252109</v>
      </c>
      <c r="C111" s="6">
        <v>804</v>
      </c>
      <c r="D111" s="1">
        <v>0.27260000000000001</v>
      </c>
      <c r="E111" s="1">
        <v>0.3518</v>
      </c>
      <c r="F111" s="1">
        <v>0.50009999999999999</v>
      </c>
      <c r="G111" s="1">
        <v>0.6028</v>
      </c>
      <c r="H111" s="1">
        <v>0.77270000000000005</v>
      </c>
      <c r="I111" s="1">
        <v>0.74</v>
      </c>
      <c r="J111" s="1">
        <v>0.81</v>
      </c>
      <c r="K111" s="1">
        <v>0.98</v>
      </c>
      <c r="L111" s="1">
        <v>0.82</v>
      </c>
      <c r="M111" s="1">
        <v>0.35</v>
      </c>
      <c r="N111" s="1">
        <f>(Occurrence!B$3-D111)^2</f>
        <v>7.4310760000000003E-2</v>
      </c>
      <c r="O111" s="1">
        <f>(Occurrence!C$3-E111)^2</f>
        <v>0.12376324</v>
      </c>
      <c r="P111" s="1">
        <f>(Occurrence!D$3-F111)^2</f>
        <v>0.24990001000000001</v>
      </c>
      <c r="Q111" s="1">
        <f>(Occurrence!E$3-G111)^2</f>
        <v>0.15776783999999999</v>
      </c>
      <c r="R111" s="1">
        <f>(Occurrence!F$3-H111)^2</f>
        <v>0.59706529000000008</v>
      </c>
      <c r="S111" s="1">
        <f>(Occurrence!G$3-I111)^2</f>
        <v>0.54759999999999998</v>
      </c>
      <c r="T111" s="1">
        <f>(Occurrence!H$3-J111)^2</f>
        <v>3.6099999999999979E-2</v>
      </c>
      <c r="U111" s="1">
        <f>(Occurrence!I$3-K111)^2</f>
        <v>4.0000000000000072E-4</v>
      </c>
      <c r="V111" s="1">
        <f>(Occurrence!J$3-L111)^2</f>
        <v>0.67239999999999989</v>
      </c>
      <c r="W111" s="1">
        <f>(Occurrence!K$3-M111)^2</f>
        <v>0.42250000000000004</v>
      </c>
      <c r="X111" s="1">
        <f t="shared" si="13"/>
        <v>2.8818071399999998</v>
      </c>
      <c r="Z111" s="1">
        <f t="shared" si="14"/>
        <v>0</v>
      </c>
      <c r="AA111" s="1">
        <f t="shared" si="15"/>
        <v>0</v>
      </c>
      <c r="AB111" s="1">
        <f t="shared" si="16"/>
        <v>1</v>
      </c>
      <c r="AC111" s="1">
        <f t="shared" si="17"/>
        <v>1</v>
      </c>
      <c r="AD111" s="1">
        <f t="shared" si="18"/>
        <v>1</v>
      </c>
      <c r="AE111" s="1">
        <f t="shared" si="19"/>
        <v>1</v>
      </c>
      <c r="AF111" s="1">
        <f t="shared" si="20"/>
        <v>1</v>
      </c>
      <c r="AG111" s="1">
        <f t="shared" si="21"/>
        <v>1</v>
      </c>
      <c r="AH111" s="1">
        <f t="shared" si="22"/>
        <v>1</v>
      </c>
      <c r="AI111" s="1">
        <f t="shared" si="23"/>
        <v>0</v>
      </c>
      <c r="AJ111" s="1">
        <f>SUMXMY2(Z111:AI111, Occurrence!B$3:K$3)</f>
        <v>4</v>
      </c>
      <c r="AK111" s="1">
        <f t="shared" si="24"/>
        <v>6</v>
      </c>
    </row>
    <row r="112" spans="1:37">
      <c r="A112" s="1">
        <v>111</v>
      </c>
      <c r="B112" s="1">
        <v>4252110</v>
      </c>
      <c r="C112" s="6">
        <v>804</v>
      </c>
      <c r="D112" s="1">
        <v>0.27</v>
      </c>
      <c r="E112" s="1">
        <v>0.35</v>
      </c>
      <c r="F112" s="1">
        <v>0.5</v>
      </c>
      <c r="G112" s="1">
        <v>0.6</v>
      </c>
      <c r="H112" s="1">
        <v>0.72</v>
      </c>
      <c r="I112" s="1">
        <v>0.75</v>
      </c>
      <c r="J112" s="1">
        <v>0.87</v>
      </c>
      <c r="K112" s="1">
        <v>0.23</v>
      </c>
      <c r="L112" s="1">
        <v>0.78</v>
      </c>
      <c r="M112" s="1">
        <v>0.67</v>
      </c>
      <c r="N112" s="1">
        <f>(Occurrence!B$3-D112)^2</f>
        <v>7.2900000000000006E-2</v>
      </c>
      <c r="O112" s="1">
        <f>(Occurrence!C$3-E112)^2</f>
        <v>0.12249999999999998</v>
      </c>
      <c r="P112" s="1">
        <f>(Occurrence!D$3-F112)^2</f>
        <v>0.25</v>
      </c>
      <c r="Q112" s="1">
        <f>(Occurrence!E$3-G112)^2</f>
        <v>0.16000000000000003</v>
      </c>
      <c r="R112" s="1">
        <f>(Occurrence!F$3-H112)^2</f>
        <v>0.51839999999999997</v>
      </c>
      <c r="S112" s="1">
        <f>(Occurrence!G$3-I112)^2</f>
        <v>0.5625</v>
      </c>
      <c r="T112" s="1">
        <f>(Occurrence!H$3-J112)^2</f>
        <v>1.6900000000000002E-2</v>
      </c>
      <c r="U112" s="1">
        <f>(Occurrence!I$3-K112)^2</f>
        <v>0.59289999999999998</v>
      </c>
      <c r="V112" s="1">
        <f>(Occurrence!J$3-L112)^2</f>
        <v>0.60840000000000005</v>
      </c>
      <c r="W112" s="1">
        <f>(Occurrence!K$3-M112)^2</f>
        <v>0.10889999999999997</v>
      </c>
      <c r="X112" s="1">
        <f t="shared" si="13"/>
        <v>3.0133999999999999</v>
      </c>
      <c r="Z112" s="1">
        <f t="shared" si="14"/>
        <v>0</v>
      </c>
      <c r="AA112" s="1">
        <f t="shared" si="15"/>
        <v>0</v>
      </c>
      <c r="AB112" s="1">
        <f t="shared" si="16"/>
        <v>1</v>
      </c>
      <c r="AC112" s="1">
        <f t="shared" si="17"/>
        <v>1</v>
      </c>
      <c r="AD112" s="1">
        <f t="shared" si="18"/>
        <v>1</v>
      </c>
      <c r="AE112" s="1">
        <f t="shared" si="19"/>
        <v>1</v>
      </c>
      <c r="AF112" s="1">
        <f t="shared" si="20"/>
        <v>1</v>
      </c>
      <c r="AG112" s="1">
        <f t="shared" si="21"/>
        <v>0</v>
      </c>
      <c r="AH112" s="1">
        <f t="shared" si="22"/>
        <v>1</v>
      </c>
      <c r="AI112" s="1">
        <f t="shared" si="23"/>
        <v>1</v>
      </c>
      <c r="AJ112" s="1">
        <f>SUMXMY2(Z112:AI112, Occurrence!B$3:K$3)</f>
        <v>4</v>
      </c>
      <c r="AK112" s="1">
        <f t="shared" si="24"/>
        <v>6</v>
      </c>
    </row>
    <row r="113" spans="1:37">
      <c r="A113" s="1">
        <v>112</v>
      </c>
      <c r="B113" s="1">
        <v>4252111</v>
      </c>
      <c r="C113" s="6">
        <v>805</v>
      </c>
      <c r="D113" s="1">
        <v>0.3</v>
      </c>
      <c r="E113" s="1">
        <v>0.7</v>
      </c>
      <c r="F113" s="1">
        <v>0.3</v>
      </c>
      <c r="G113" s="1">
        <v>0.7</v>
      </c>
      <c r="H113" s="1">
        <v>0.9</v>
      </c>
      <c r="I113" s="1">
        <v>0.2</v>
      </c>
      <c r="J113" s="1">
        <v>0.8</v>
      </c>
      <c r="K113" s="1">
        <v>0.6</v>
      </c>
      <c r="L113" s="1">
        <v>0.7</v>
      </c>
      <c r="M113" s="1">
        <v>0.4</v>
      </c>
      <c r="N113" s="1">
        <f>(Occurrence!B$3-D113)^2</f>
        <v>0.09</v>
      </c>
      <c r="O113" s="1">
        <f>(Occurrence!C$3-E113)^2</f>
        <v>0.48999999999999994</v>
      </c>
      <c r="P113" s="1">
        <f>(Occurrence!D$3-F113)^2</f>
        <v>0.48999999999999994</v>
      </c>
      <c r="Q113" s="1">
        <f>(Occurrence!E$3-G113)^2</f>
        <v>9.0000000000000024E-2</v>
      </c>
      <c r="R113" s="1">
        <f>(Occurrence!F$3-H113)^2</f>
        <v>0.81</v>
      </c>
      <c r="S113" s="1">
        <f>(Occurrence!G$3-I113)^2</f>
        <v>4.0000000000000008E-2</v>
      </c>
      <c r="T113" s="1">
        <f>(Occurrence!H$3-J113)^2</f>
        <v>3.999999999999998E-2</v>
      </c>
      <c r="U113" s="1">
        <f>(Occurrence!I$3-K113)^2</f>
        <v>0.16000000000000003</v>
      </c>
      <c r="V113" s="1">
        <f>(Occurrence!J$3-L113)^2</f>
        <v>0.48999999999999994</v>
      </c>
      <c r="W113" s="1">
        <f>(Occurrence!K$3-M113)^2</f>
        <v>0.36</v>
      </c>
      <c r="X113" s="1">
        <f t="shared" si="13"/>
        <v>3.0599999999999996</v>
      </c>
      <c r="Z113" s="1">
        <f t="shared" si="14"/>
        <v>0</v>
      </c>
      <c r="AA113" s="1">
        <f t="shared" si="15"/>
        <v>1</v>
      </c>
      <c r="AB113" s="1">
        <f t="shared" si="16"/>
        <v>0</v>
      </c>
      <c r="AC113" s="1">
        <f t="shared" si="17"/>
        <v>1</v>
      </c>
      <c r="AD113" s="1">
        <f t="shared" si="18"/>
        <v>1</v>
      </c>
      <c r="AE113" s="1">
        <f t="shared" si="19"/>
        <v>0</v>
      </c>
      <c r="AF113" s="1">
        <f t="shared" si="20"/>
        <v>1</v>
      </c>
      <c r="AG113" s="1">
        <f t="shared" si="21"/>
        <v>1</v>
      </c>
      <c r="AH113" s="1">
        <f t="shared" si="22"/>
        <v>1</v>
      </c>
      <c r="AI113" s="1">
        <f t="shared" si="23"/>
        <v>0</v>
      </c>
      <c r="AJ113" s="1">
        <f>SUMXMY2(Z113:AI113, Occurrence!B$3:K$3)</f>
        <v>5</v>
      </c>
      <c r="AK113" s="1">
        <f t="shared" si="24"/>
        <v>5</v>
      </c>
    </row>
    <row r="114" spans="1:37">
      <c r="A114" s="1">
        <v>113</v>
      </c>
      <c r="B114" s="1">
        <v>4252112</v>
      </c>
      <c r="C114" s="6">
        <v>805</v>
      </c>
      <c r="D114" s="1">
        <v>0.6</v>
      </c>
      <c r="E114" s="1">
        <v>0.4</v>
      </c>
      <c r="F114" s="1">
        <v>0.4</v>
      </c>
      <c r="G114" s="1">
        <v>0.6</v>
      </c>
      <c r="H114" s="1">
        <v>0.8</v>
      </c>
      <c r="I114" s="1">
        <v>0.24</v>
      </c>
      <c r="J114" s="1">
        <v>0.99</v>
      </c>
      <c r="K114" s="1">
        <v>0.95</v>
      </c>
      <c r="L114" s="1">
        <v>0.1</v>
      </c>
      <c r="M114" s="1">
        <v>0.9</v>
      </c>
      <c r="N114" s="1">
        <f>(Occurrence!B$3-D114)^2</f>
        <v>0.36</v>
      </c>
      <c r="O114" s="1">
        <f>(Occurrence!C$3-E114)^2</f>
        <v>0.16000000000000003</v>
      </c>
      <c r="P114" s="1">
        <f>(Occurrence!D$3-F114)^2</f>
        <v>0.36</v>
      </c>
      <c r="Q114" s="1">
        <f>(Occurrence!E$3-G114)^2</f>
        <v>0.16000000000000003</v>
      </c>
      <c r="R114" s="1">
        <f>(Occurrence!F$3-H114)^2</f>
        <v>0.64000000000000012</v>
      </c>
      <c r="S114" s="1">
        <f>(Occurrence!G$3-I114)^2</f>
        <v>5.7599999999999998E-2</v>
      </c>
      <c r="T114" s="1">
        <f>(Occurrence!H$3-J114)^2</f>
        <v>1.0000000000000018E-4</v>
      </c>
      <c r="U114" s="1">
        <f>(Occurrence!I$3-K114)^2</f>
        <v>2.5000000000000044E-3</v>
      </c>
      <c r="V114" s="1">
        <f>(Occurrence!J$3-L114)^2</f>
        <v>1.0000000000000002E-2</v>
      </c>
      <c r="W114" s="1">
        <f>(Occurrence!K$3-M114)^2</f>
        <v>9.999999999999995E-3</v>
      </c>
      <c r="X114" s="1">
        <f t="shared" si="13"/>
        <v>1.7602000000000002</v>
      </c>
      <c r="Z114" s="1">
        <f t="shared" si="14"/>
        <v>1</v>
      </c>
      <c r="AA114" s="1">
        <f t="shared" si="15"/>
        <v>0</v>
      </c>
      <c r="AB114" s="1">
        <f t="shared" si="16"/>
        <v>0</v>
      </c>
      <c r="AC114" s="1">
        <f t="shared" si="17"/>
        <v>1</v>
      </c>
      <c r="AD114" s="1">
        <f t="shared" si="18"/>
        <v>1</v>
      </c>
      <c r="AE114" s="1">
        <f t="shared" si="19"/>
        <v>0</v>
      </c>
      <c r="AF114" s="1">
        <f t="shared" si="20"/>
        <v>1</v>
      </c>
      <c r="AG114" s="1">
        <f t="shared" si="21"/>
        <v>1</v>
      </c>
      <c r="AH114" s="1">
        <f t="shared" si="22"/>
        <v>0</v>
      </c>
      <c r="AI114" s="1">
        <f t="shared" si="23"/>
        <v>1</v>
      </c>
      <c r="AJ114" s="1">
        <f>SUMXMY2(Z114:AI114, Occurrence!B$3:K$3)</f>
        <v>3</v>
      </c>
      <c r="AK114" s="1">
        <f t="shared" si="24"/>
        <v>7</v>
      </c>
    </row>
    <row r="115" spans="1:37">
      <c r="A115" s="1">
        <v>114</v>
      </c>
      <c r="B115" s="1">
        <v>4252113</v>
      </c>
      <c r="C115" s="6">
        <v>805</v>
      </c>
      <c r="D115" s="1">
        <v>0.3</v>
      </c>
      <c r="E115" s="1">
        <v>0.4</v>
      </c>
      <c r="F115" s="1">
        <v>0.4</v>
      </c>
      <c r="G115" s="1">
        <v>0.5</v>
      </c>
      <c r="H115" s="1">
        <v>0.3</v>
      </c>
      <c r="I115" s="1">
        <v>0.15</v>
      </c>
      <c r="J115" s="1">
        <v>0.3</v>
      </c>
      <c r="K115" s="1">
        <v>0.85</v>
      </c>
      <c r="L115" s="1">
        <v>0.56999999999999995</v>
      </c>
      <c r="M115" s="1">
        <v>0.2</v>
      </c>
      <c r="N115" s="1">
        <f>(Occurrence!B$3-D115)^2</f>
        <v>0.09</v>
      </c>
      <c r="O115" s="1">
        <f>(Occurrence!C$3-E115)^2</f>
        <v>0.16000000000000003</v>
      </c>
      <c r="P115" s="1">
        <f>(Occurrence!D$3-F115)^2</f>
        <v>0.36</v>
      </c>
      <c r="Q115" s="1">
        <f>(Occurrence!E$3-G115)^2</f>
        <v>0.25</v>
      </c>
      <c r="R115" s="1">
        <f>(Occurrence!F$3-H115)^2</f>
        <v>0.09</v>
      </c>
      <c r="S115" s="1">
        <f>(Occurrence!G$3-I115)^2</f>
        <v>2.2499999999999999E-2</v>
      </c>
      <c r="T115" s="1">
        <f>(Occurrence!H$3-J115)^2</f>
        <v>0.48999999999999994</v>
      </c>
      <c r="U115" s="1">
        <f>(Occurrence!I$3-K115)^2</f>
        <v>2.2500000000000006E-2</v>
      </c>
      <c r="V115" s="1">
        <f>(Occurrence!J$3-L115)^2</f>
        <v>0.32489999999999997</v>
      </c>
      <c r="W115" s="1">
        <f>(Occurrence!K$3-M115)^2</f>
        <v>0.64000000000000012</v>
      </c>
      <c r="X115" s="1">
        <f t="shared" si="13"/>
        <v>2.4499</v>
      </c>
      <c r="Z115" s="1">
        <f t="shared" si="14"/>
        <v>0</v>
      </c>
      <c r="AA115" s="1">
        <f t="shared" si="15"/>
        <v>0</v>
      </c>
      <c r="AB115" s="1">
        <f t="shared" si="16"/>
        <v>0</v>
      </c>
      <c r="AC115" s="1">
        <f t="shared" si="17"/>
        <v>1</v>
      </c>
      <c r="AD115" s="1">
        <f t="shared" si="18"/>
        <v>0</v>
      </c>
      <c r="AE115" s="1">
        <f t="shared" si="19"/>
        <v>0</v>
      </c>
      <c r="AF115" s="1">
        <f t="shared" si="20"/>
        <v>0</v>
      </c>
      <c r="AG115" s="1">
        <f t="shared" si="21"/>
        <v>1</v>
      </c>
      <c r="AH115" s="1">
        <f t="shared" si="22"/>
        <v>1</v>
      </c>
      <c r="AI115" s="1">
        <f t="shared" si="23"/>
        <v>0</v>
      </c>
      <c r="AJ115" s="1">
        <f>SUMXMY2(Z115:AI115, Occurrence!B$3:K$3)</f>
        <v>4</v>
      </c>
      <c r="AK115" s="1">
        <f t="shared" si="24"/>
        <v>6</v>
      </c>
    </row>
    <row r="116" spans="1:37">
      <c r="A116" s="1">
        <v>115</v>
      </c>
      <c r="B116" s="1">
        <v>4252114</v>
      </c>
      <c r="C116" s="6">
        <v>805</v>
      </c>
      <c r="D116" s="1">
        <v>0.43</v>
      </c>
      <c r="E116" s="1">
        <v>0.19</v>
      </c>
      <c r="F116" s="1">
        <v>0.26</v>
      </c>
      <c r="G116" s="1">
        <v>0.81</v>
      </c>
      <c r="H116" s="1">
        <v>0.93</v>
      </c>
      <c r="I116" s="1">
        <v>0</v>
      </c>
      <c r="J116" s="1">
        <v>0.28999999999999998</v>
      </c>
      <c r="K116" s="1">
        <v>1</v>
      </c>
      <c r="L116" s="1">
        <v>0.6</v>
      </c>
      <c r="M116" s="1">
        <v>0.55000000000000004</v>
      </c>
      <c r="N116" s="1">
        <f>(Occurrence!B$3-D116)^2</f>
        <v>0.18489999999999998</v>
      </c>
      <c r="O116" s="1">
        <f>(Occurrence!C$3-E116)^2</f>
        <v>3.61E-2</v>
      </c>
      <c r="P116" s="1">
        <f>(Occurrence!D$3-F116)^2</f>
        <v>0.54759999999999998</v>
      </c>
      <c r="Q116" s="1">
        <f>(Occurrence!E$3-G116)^2</f>
        <v>3.6099999999999979E-2</v>
      </c>
      <c r="R116" s="1">
        <f>(Occurrence!F$3-H116)^2</f>
        <v>0.86490000000000011</v>
      </c>
      <c r="S116" s="1">
        <f>(Occurrence!G$3-I116)^2</f>
        <v>0</v>
      </c>
      <c r="T116" s="1">
        <f>(Occurrence!H$3-J116)^2</f>
        <v>0.50409999999999999</v>
      </c>
      <c r="U116" s="1">
        <f>(Occurrence!I$3-K116)^2</f>
        <v>0</v>
      </c>
      <c r="V116" s="1">
        <f>(Occurrence!J$3-L116)^2</f>
        <v>0.36</v>
      </c>
      <c r="W116" s="1">
        <f>(Occurrence!K$3-M116)^2</f>
        <v>0.20249999999999996</v>
      </c>
      <c r="X116" s="1">
        <f t="shared" si="13"/>
        <v>2.7362000000000002</v>
      </c>
      <c r="Z116" s="1">
        <f t="shared" si="14"/>
        <v>0</v>
      </c>
      <c r="AA116" s="1">
        <f t="shared" si="15"/>
        <v>0</v>
      </c>
      <c r="AB116" s="1">
        <f t="shared" si="16"/>
        <v>0</v>
      </c>
      <c r="AC116" s="1">
        <f t="shared" si="17"/>
        <v>1</v>
      </c>
      <c r="AD116" s="1">
        <f t="shared" si="18"/>
        <v>1</v>
      </c>
      <c r="AE116" s="1">
        <f t="shared" si="19"/>
        <v>0</v>
      </c>
      <c r="AF116" s="1">
        <f t="shared" si="20"/>
        <v>0</v>
      </c>
      <c r="AG116" s="1">
        <f t="shared" si="21"/>
        <v>1</v>
      </c>
      <c r="AH116" s="1">
        <f t="shared" si="22"/>
        <v>1</v>
      </c>
      <c r="AI116" s="1">
        <f t="shared" si="23"/>
        <v>1</v>
      </c>
      <c r="AJ116" s="1">
        <f>SUMXMY2(Z116:AI116, Occurrence!B$3:K$3)</f>
        <v>4</v>
      </c>
      <c r="AK116" s="1">
        <f t="shared" si="24"/>
        <v>6</v>
      </c>
    </row>
    <row r="117" spans="1:37">
      <c r="A117" s="1">
        <v>116</v>
      </c>
      <c r="B117" s="1">
        <v>4252115</v>
      </c>
      <c r="C117" s="6">
        <v>805</v>
      </c>
      <c r="D117" s="1">
        <v>0.36</v>
      </c>
      <c r="E117" s="1">
        <v>0.67</v>
      </c>
      <c r="F117" s="1">
        <v>0.44</v>
      </c>
      <c r="G117" s="1">
        <v>0.25</v>
      </c>
      <c r="H117" s="1">
        <v>0.2</v>
      </c>
      <c r="I117" s="1">
        <v>0</v>
      </c>
      <c r="J117" s="1">
        <v>0.16</v>
      </c>
      <c r="K117" s="1">
        <v>1</v>
      </c>
      <c r="L117" s="1">
        <v>0.98</v>
      </c>
      <c r="M117" s="1">
        <v>0.35</v>
      </c>
      <c r="N117" s="1">
        <f>(Occurrence!B$3-D117)^2</f>
        <v>0.12959999999999999</v>
      </c>
      <c r="O117" s="1">
        <f>(Occurrence!C$3-E117)^2</f>
        <v>0.44890000000000008</v>
      </c>
      <c r="P117" s="1">
        <f>(Occurrence!D$3-F117)^2</f>
        <v>0.31360000000000005</v>
      </c>
      <c r="Q117" s="1">
        <f>(Occurrence!E$3-G117)^2</f>
        <v>0.5625</v>
      </c>
      <c r="R117" s="1">
        <f>(Occurrence!F$3-H117)^2</f>
        <v>4.0000000000000008E-2</v>
      </c>
      <c r="S117" s="1">
        <f>(Occurrence!G$3-I117)^2</f>
        <v>0</v>
      </c>
      <c r="T117" s="1">
        <f>(Occurrence!H$3-J117)^2</f>
        <v>0.70559999999999989</v>
      </c>
      <c r="U117" s="1">
        <f>(Occurrence!I$3-K117)^2</f>
        <v>0</v>
      </c>
      <c r="V117" s="1">
        <f>(Occurrence!J$3-L117)^2</f>
        <v>0.96039999999999992</v>
      </c>
      <c r="W117" s="1">
        <f>(Occurrence!K$3-M117)^2</f>
        <v>0.42250000000000004</v>
      </c>
      <c r="X117" s="1">
        <f t="shared" si="13"/>
        <v>3.5831</v>
      </c>
      <c r="Z117" s="1">
        <f t="shared" si="14"/>
        <v>0</v>
      </c>
      <c r="AA117" s="1">
        <f t="shared" si="15"/>
        <v>1</v>
      </c>
      <c r="AB117" s="1">
        <f t="shared" si="16"/>
        <v>0</v>
      </c>
      <c r="AC117" s="1">
        <f t="shared" si="17"/>
        <v>0</v>
      </c>
      <c r="AD117" s="1">
        <f t="shared" si="18"/>
        <v>0</v>
      </c>
      <c r="AE117" s="1">
        <f t="shared" si="19"/>
        <v>0</v>
      </c>
      <c r="AF117" s="1">
        <f t="shared" si="20"/>
        <v>0</v>
      </c>
      <c r="AG117" s="1">
        <f t="shared" si="21"/>
        <v>1</v>
      </c>
      <c r="AH117" s="1">
        <f t="shared" si="22"/>
        <v>1</v>
      </c>
      <c r="AI117" s="1">
        <f t="shared" si="23"/>
        <v>0</v>
      </c>
      <c r="AJ117" s="1">
        <f>SUMXMY2(Z117:AI117, Occurrence!B$3:K$3)</f>
        <v>6</v>
      </c>
      <c r="AK117" s="1">
        <f t="shared" si="24"/>
        <v>4</v>
      </c>
    </row>
    <row r="118" spans="1:37">
      <c r="A118" s="1">
        <v>117</v>
      </c>
      <c r="B118" s="1">
        <v>4252116</v>
      </c>
      <c r="C118" s="6">
        <v>805</v>
      </c>
      <c r="D118" s="1">
        <v>0.25</v>
      </c>
      <c r="E118" s="1">
        <v>0.31</v>
      </c>
      <c r="F118" s="1">
        <v>0.87</v>
      </c>
      <c r="G118" s="1">
        <v>0.23</v>
      </c>
      <c r="H118" s="1">
        <v>0.33</v>
      </c>
      <c r="I118" s="1">
        <v>0.44</v>
      </c>
      <c r="J118" s="1">
        <v>0.32</v>
      </c>
      <c r="K118" s="1">
        <v>0.22</v>
      </c>
      <c r="L118" s="1">
        <v>0.25</v>
      </c>
      <c r="M118" s="1">
        <v>0.66</v>
      </c>
      <c r="N118" s="1">
        <f>(Occurrence!B$3-D118)^2</f>
        <v>6.25E-2</v>
      </c>
      <c r="O118" s="1">
        <f>(Occurrence!C$3-E118)^2</f>
        <v>9.6100000000000005E-2</v>
      </c>
      <c r="P118" s="1">
        <f>(Occurrence!D$3-F118)^2</f>
        <v>1.6900000000000002E-2</v>
      </c>
      <c r="Q118" s="1">
        <f>(Occurrence!E$3-G118)^2</f>
        <v>0.59289999999999998</v>
      </c>
      <c r="R118" s="1">
        <f>(Occurrence!F$3-H118)^2</f>
        <v>0.10890000000000001</v>
      </c>
      <c r="S118" s="1">
        <f>(Occurrence!G$3-I118)^2</f>
        <v>0.19359999999999999</v>
      </c>
      <c r="T118" s="1">
        <f>(Occurrence!H$3-J118)^2</f>
        <v>0.46239999999999992</v>
      </c>
      <c r="U118" s="1">
        <f>(Occurrence!I$3-K118)^2</f>
        <v>0.60840000000000005</v>
      </c>
      <c r="V118" s="1">
        <f>(Occurrence!J$3-L118)^2</f>
        <v>6.25E-2</v>
      </c>
      <c r="W118" s="1">
        <f>(Occurrence!K$3-M118)^2</f>
        <v>0.11559999999999998</v>
      </c>
      <c r="X118" s="1">
        <f t="shared" si="13"/>
        <v>2.3198000000000003</v>
      </c>
      <c r="Z118" s="1">
        <f t="shared" si="14"/>
        <v>0</v>
      </c>
      <c r="AA118" s="1">
        <f t="shared" si="15"/>
        <v>0</v>
      </c>
      <c r="AB118" s="1">
        <f t="shared" si="16"/>
        <v>1</v>
      </c>
      <c r="AC118" s="1">
        <f t="shared" si="17"/>
        <v>0</v>
      </c>
      <c r="AD118" s="1">
        <f t="shared" si="18"/>
        <v>0</v>
      </c>
      <c r="AE118" s="1">
        <f t="shared" si="19"/>
        <v>0</v>
      </c>
      <c r="AF118" s="1">
        <f t="shared" si="20"/>
        <v>0</v>
      </c>
      <c r="AG118" s="1">
        <f t="shared" si="21"/>
        <v>0</v>
      </c>
      <c r="AH118" s="1">
        <f t="shared" si="22"/>
        <v>0</v>
      </c>
      <c r="AI118" s="1">
        <f t="shared" si="23"/>
        <v>1</v>
      </c>
      <c r="AJ118" s="1">
        <f>SUMXMY2(Z118:AI118, Occurrence!B$3:K$3)</f>
        <v>3</v>
      </c>
      <c r="AK118" s="1">
        <f t="shared" si="24"/>
        <v>7</v>
      </c>
    </row>
    <row r="119" spans="1:37">
      <c r="A119" s="1">
        <v>118</v>
      </c>
      <c r="B119" s="1">
        <v>4252117</v>
      </c>
      <c r="C119" s="6">
        <v>805</v>
      </c>
      <c r="D119" s="1">
        <v>0.02</v>
      </c>
      <c r="E119" s="1">
        <v>0.56000000000000005</v>
      </c>
      <c r="F119" s="1">
        <v>0.57999999999999996</v>
      </c>
      <c r="G119" s="1">
        <v>0.9</v>
      </c>
      <c r="H119" s="1">
        <v>0.25</v>
      </c>
      <c r="I119" s="1">
        <v>0.16</v>
      </c>
      <c r="J119" s="1">
        <v>0.42</v>
      </c>
      <c r="K119" s="1">
        <v>0.36</v>
      </c>
      <c r="L119" s="1">
        <v>0.84</v>
      </c>
      <c r="M119" s="1">
        <v>0.37</v>
      </c>
      <c r="N119" s="1">
        <f>(Occurrence!B$3-D119)^2</f>
        <v>4.0000000000000002E-4</v>
      </c>
      <c r="O119" s="1">
        <f>(Occurrence!C$3-E119)^2</f>
        <v>0.31360000000000005</v>
      </c>
      <c r="P119" s="1">
        <f>(Occurrence!D$3-F119)^2</f>
        <v>0.17640000000000003</v>
      </c>
      <c r="Q119" s="1">
        <f>(Occurrence!E$3-G119)^2</f>
        <v>9.999999999999995E-3</v>
      </c>
      <c r="R119" s="1">
        <f>(Occurrence!F$3-H119)^2</f>
        <v>6.25E-2</v>
      </c>
      <c r="S119" s="1">
        <f>(Occurrence!G$3-I119)^2</f>
        <v>2.5600000000000001E-2</v>
      </c>
      <c r="T119" s="1">
        <f>(Occurrence!H$3-J119)^2</f>
        <v>0.33640000000000009</v>
      </c>
      <c r="U119" s="1">
        <f>(Occurrence!I$3-K119)^2</f>
        <v>0.40960000000000002</v>
      </c>
      <c r="V119" s="1">
        <f>(Occurrence!J$3-L119)^2</f>
        <v>0.70559999999999989</v>
      </c>
      <c r="W119" s="1">
        <f>(Occurrence!K$3-M119)^2</f>
        <v>0.39690000000000003</v>
      </c>
      <c r="X119" s="1">
        <f t="shared" si="13"/>
        <v>2.4369999999999998</v>
      </c>
      <c r="Z119" s="1">
        <f t="shared" si="14"/>
        <v>0</v>
      </c>
      <c r="AA119" s="1">
        <f t="shared" si="15"/>
        <v>1</v>
      </c>
      <c r="AB119" s="1">
        <f t="shared" si="16"/>
        <v>1</v>
      </c>
      <c r="AC119" s="1">
        <f t="shared" si="17"/>
        <v>1</v>
      </c>
      <c r="AD119" s="1">
        <f t="shared" si="18"/>
        <v>0</v>
      </c>
      <c r="AE119" s="1">
        <f t="shared" si="19"/>
        <v>0</v>
      </c>
      <c r="AF119" s="1">
        <f t="shared" si="20"/>
        <v>0</v>
      </c>
      <c r="AG119" s="1">
        <f t="shared" si="21"/>
        <v>0</v>
      </c>
      <c r="AH119" s="1">
        <f t="shared" si="22"/>
        <v>1</v>
      </c>
      <c r="AI119" s="1">
        <f t="shared" si="23"/>
        <v>0</v>
      </c>
      <c r="AJ119" s="1">
        <f>SUMXMY2(Z119:AI119, Occurrence!B$3:K$3)</f>
        <v>5</v>
      </c>
      <c r="AK119" s="1">
        <f t="shared" si="24"/>
        <v>5</v>
      </c>
    </row>
    <row r="120" spans="1:37">
      <c r="A120" s="1">
        <v>119</v>
      </c>
      <c r="B120" s="1">
        <v>4252118</v>
      </c>
      <c r="C120" s="6">
        <v>805</v>
      </c>
      <c r="D120" s="1">
        <v>0.12</v>
      </c>
      <c r="E120" s="1">
        <v>0.16</v>
      </c>
      <c r="F120" s="1">
        <v>0.03</v>
      </c>
      <c r="G120" s="1">
        <v>0.04</v>
      </c>
      <c r="H120" s="1">
        <v>0.03</v>
      </c>
      <c r="I120" s="1">
        <v>0.19</v>
      </c>
      <c r="J120" s="1">
        <v>7.0000000000000007E-2</v>
      </c>
      <c r="K120" s="1">
        <v>0.02</v>
      </c>
      <c r="L120" s="1">
        <v>0.01</v>
      </c>
      <c r="M120" s="1">
        <v>0.03</v>
      </c>
      <c r="N120" s="1">
        <f>(Occurrence!B$3-D120)^2</f>
        <v>1.44E-2</v>
      </c>
      <c r="O120" s="1">
        <f>(Occurrence!C$3-E120)^2</f>
        <v>2.5600000000000001E-2</v>
      </c>
      <c r="P120" s="1">
        <f>(Occurrence!D$3-F120)^2</f>
        <v>0.94089999999999996</v>
      </c>
      <c r="Q120" s="1">
        <f>(Occurrence!E$3-G120)^2</f>
        <v>0.92159999999999997</v>
      </c>
      <c r="R120" s="1">
        <f>(Occurrence!F$3-H120)^2</f>
        <v>8.9999999999999998E-4</v>
      </c>
      <c r="S120" s="1">
        <f>(Occurrence!G$3-I120)^2</f>
        <v>3.61E-2</v>
      </c>
      <c r="T120" s="1">
        <f>(Occurrence!H$3-J120)^2</f>
        <v>0.86489999999999989</v>
      </c>
      <c r="U120" s="1">
        <f>(Occurrence!I$3-K120)^2</f>
        <v>0.96039999999999992</v>
      </c>
      <c r="V120" s="1">
        <f>(Occurrence!J$3-L120)^2</f>
        <v>1E-4</v>
      </c>
      <c r="W120" s="1">
        <f>(Occurrence!K$3-M120)^2</f>
        <v>0.94089999999999996</v>
      </c>
      <c r="X120" s="1">
        <f t="shared" si="13"/>
        <v>4.7058</v>
      </c>
      <c r="Z120" s="1">
        <f t="shared" si="14"/>
        <v>0</v>
      </c>
      <c r="AA120" s="1">
        <f t="shared" si="15"/>
        <v>0</v>
      </c>
      <c r="AB120" s="1">
        <f t="shared" si="16"/>
        <v>0</v>
      </c>
      <c r="AC120" s="1">
        <f t="shared" si="17"/>
        <v>0</v>
      </c>
      <c r="AD120" s="1">
        <f t="shared" si="18"/>
        <v>0</v>
      </c>
      <c r="AE120" s="1">
        <f t="shared" si="19"/>
        <v>0</v>
      </c>
      <c r="AF120" s="1">
        <f t="shared" si="20"/>
        <v>0</v>
      </c>
      <c r="AG120" s="1">
        <f t="shared" si="21"/>
        <v>0</v>
      </c>
      <c r="AH120" s="1">
        <f t="shared" si="22"/>
        <v>0</v>
      </c>
      <c r="AI120" s="1">
        <f t="shared" si="23"/>
        <v>0</v>
      </c>
      <c r="AJ120" s="1">
        <f>SUMXMY2(Z120:AI120, Occurrence!B$3:K$3)</f>
        <v>5</v>
      </c>
      <c r="AK120" s="1">
        <f t="shared" si="24"/>
        <v>5</v>
      </c>
    </row>
    <row r="121" spans="1:37">
      <c r="A121" s="1">
        <v>120</v>
      </c>
      <c r="B121" s="1">
        <v>4252119</v>
      </c>
      <c r="C121" s="6">
        <v>805</v>
      </c>
      <c r="D121" s="1">
        <v>0.4</v>
      </c>
      <c r="E121" s="1">
        <v>0.45</v>
      </c>
      <c r="F121" s="1">
        <v>0.45</v>
      </c>
      <c r="G121" s="1">
        <v>0.6</v>
      </c>
      <c r="H121" s="1">
        <v>0.25</v>
      </c>
      <c r="I121" s="1">
        <v>0.2</v>
      </c>
      <c r="J121" s="1">
        <v>0.95</v>
      </c>
      <c r="K121" s="1">
        <v>0.7</v>
      </c>
      <c r="L121" s="1">
        <v>0.8</v>
      </c>
      <c r="M121" s="1">
        <v>0.8</v>
      </c>
      <c r="N121" s="1">
        <f>(Occurrence!B$3-D121)^2</f>
        <v>0.16000000000000003</v>
      </c>
      <c r="O121" s="1">
        <f>(Occurrence!C$3-E121)^2</f>
        <v>0.20250000000000001</v>
      </c>
      <c r="P121" s="1">
        <f>(Occurrence!D$3-F121)^2</f>
        <v>0.30250000000000005</v>
      </c>
      <c r="Q121" s="1">
        <f>(Occurrence!E$3-G121)^2</f>
        <v>0.16000000000000003</v>
      </c>
      <c r="R121" s="1">
        <f>(Occurrence!F$3-H121)^2</f>
        <v>6.25E-2</v>
      </c>
      <c r="S121" s="1">
        <f>(Occurrence!G$3-I121)^2</f>
        <v>4.0000000000000008E-2</v>
      </c>
      <c r="T121" s="1">
        <f>(Occurrence!H$3-J121)^2</f>
        <v>2.5000000000000044E-3</v>
      </c>
      <c r="U121" s="1">
        <f>(Occurrence!I$3-K121)^2</f>
        <v>9.0000000000000024E-2</v>
      </c>
      <c r="V121" s="1">
        <f>(Occurrence!J$3-L121)^2</f>
        <v>0.64000000000000012</v>
      </c>
      <c r="W121" s="1">
        <f>(Occurrence!K$3-M121)^2</f>
        <v>3.999999999999998E-2</v>
      </c>
      <c r="X121" s="1">
        <f t="shared" si="13"/>
        <v>1.7000000000000004</v>
      </c>
      <c r="Z121" s="1">
        <f t="shared" si="14"/>
        <v>0</v>
      </c>
      <c r="AA121" s="1">
        <f t="shared" si="15"/>
        <v>0</v>
      </c>
      <c r="AB121" s="1">
        <f t="shared" si="16"/>
        <v>0</v>
      </c>
      <c r="AC121" s="1">
        <f t="shared" si="17"/>
        <v>1</v>
      </c>
      <c r="AD121" s="1">
        <f t="shared" si="18"/>
        <v>0</v>
      </c>
      <c r="AE121" s="1">
        <f t="shared" si="19"/>
        <v>0</v>
      </c>
      <c r="AF121" s="1">
        <f t="shared" si="20"/>
        <v>1</v>
      </c>
      <c r="AG121" s="1">
        <f t="shared" si="21"/>
        <v>1</v>
      </c>
      <c r="AH121" s="1">
        <f t="shared" si="22"/>
        <v>1</v>
      </c>
      <c r="AI121" s="1">
        <f t="shared" si="23"/>
        <v>1</v>
      </c>
      <c r="AJ121" s="1">
        <f>SUMXMY2(Z121:AI121, Occurrence!B$3:K$3)</f>
        <v>2</v>
      </c>
      <c r="AK121" s="1">
        <f t="shared" si="24"/>
        <v>8</v>
      </c>
    </row>
    <row r="122" spans="1:37">
      <c r="A122" s="1">
        <v>121</v>
      </c>
      <c r="B122" s="1">
        <v>4252120</v>
      </c>
      <c r="C122" s="6">
        <v>805</v>
      </c>
      <c r="D122" s="1">
        <v>0.2</v>
      </c>
      <c r="E122" s="1">
        <v>0.6</v>
      </c>
      <c r="F122" s="1">
        <v>0.2</v>
      </c>
      <c r="G122" s="1">
        <v>0.6</v>
      </c>
      <c r="H122" s="1">
        <v>0.8</v>
      </c>
      <c r="I122" s="1">
        <v>0</v>
      </c>
      <c r="J122" s="1">
        <v>0.75</v>
      </c>
      <c r="K122" s="1">
        <v>0.9</v>
      </c>
      <c r="L122" s="1">
        <v>0.85</v>
      </c>
      <c r="M122" s="1">
        <v>0.95</v>
      </c>
      <c r="N122" s="1">
        <f>(Occurrence!B$3-D122)^2</f>
        <v>4.0000000000000008E-2</v>
      </c>
      <c r="O122" s="1">
        <f>(Occurrence!C$3-E122)^2</f>
        <v>0.36</v>
      </c>
      <c r="P122" s="1">
        <f>(Occurrence!D$3-F122)^2</f>
        <v>0.64000000000000012</v>
      </c>
      <c r="Q122" s="1">
        <f>(Occurrence!E$3-G122)^2</f>
        <v>0.16000000000000003</v>
      </c>
      <c r="R122" s="1">
        <f>(Occurrence!F$3-H122)^2</f>
        <v>0.64000000000000012</v>
      </c>
      <c r="S122" s="1">
        <f>(Occurrence!G$3-I122)^2</f>
        <v>0</v>
      </c>
      <c r="T122" s="1">
        <f>(Occurrence!H$3-J122)^2</f>
        <v>6.25E-2</v>
      </c>
      <c r="U122" s="1">
        <f>(Occurrence!I$3-K122)^2</f>
        <v>9.999999999999995E-3</v>
      </c>
      <c r="V122" s="1">
        <f>(Occurrence!J$3-L122)^2</f>
        <v>0.72249999999999992</v>
      </c>
      <c r="W122" s="1">
        <f>(Occurrence!K$3-M122)^2</f>
        <v>2.5000000000000044E-3</v>
      </c>
      <c r="X122" s="1">
        <f t="shared" si="13"/>
        <v>2.6375000000000002</v>
      </c>
      <c r="Z122" s="1">
        <f t="shared" si="14"/>
        <v>0</v>
      </c>
      <c r="AA122" s="1">
        <f t="shared" si="15"/>
        <v>1</v>
      </c>
      <c r="AB122" s="1">
        <f t="shared" si="16"/>
        <v>0</v>
      </c>
      <c r="AC122" s="1">
        <f t="shared" si="17"/>
        <v>1</v>
      </c>
      <c r="AD122" s="1">
        <f t="shared" si="18"/>
        <v>1</v>
      </c>
      <c r="AE122" s="1">
        <f t="shared" si="19"/>
        <v>0</v>
      </c>
      <c r="AF122" s="1">
        <f t="shared" si="20"/>
        <v>1</v>
      </c>
      <c r="AG122" s="1">
        <f t="shared" si="21"/>
        <v>1</v>
      </c>
      <c r="AH122" s="1">
        <f t="shared" si="22"/>
        <v>1</v>
      </c>
      <c r="AI122" s="1">
        <f t="shared" si="23"/>
        <v>1</v>
      </c>
      <c r="AJ122" s="1">
        <f>SUMXMY2(Z122:AI122, Occurrence!B$3:K$3)</f>
        <v>4</v>
      </c>
      <c r="AK122" s="1">
        <f t="shared" si="24"/>
        <v>6</v>
      </c>
    </row>
    <row r="123" spans="1:37">
      <c r="A123" s="1">
        <v>122</v>
      </c>
      <c r="B123" s="1">
        <v>4252121</v>
      </c>
      <c r="C123" s="6">
        <v>805</v>
      </c>
      <c r="D123" s="1">
        <v>1</v>
      </c>
      <c r="E123" s="1">
        <v>0</v>
      </c>
      <c r="F123" s="1">
        <v>1</v>
      </c>
      <c r="G123" s="1">
        <v>0</v>
      </c>
      <c r="H123" s="1">
        <v>0</v>
      </c>
      <c r="I123" s="1">
        <v>0</v>
      </c>
      <c r="J123" s="1">
        <v>1</v>
      </c>
      <c r="K123" s="1">
        <v>1</v>
      </c>
      <c r="L123" s="1">
        <v>0</v>
      </c>
      <c r="M123" s="1">
        <v>1</v>
      </c>
      <c r="N123" s="1">
        <f>(Occurrence!B$3-D123)^2</f>
        <v>1</v>
      </c>
      <c r="O123" s="1">
        <f>(Occurrence!C$3-E123)^2</f>
        <v>0</v>
      </c>
      <c r="P123" s="1">
        <f>(Occurrence!D$3-F123)^2</f>
        <v>0</v>
      </c>
      <c r="Q123" s="1">
        <f>(Occurrence!E$3-G123)^2</f>
        <v>1</v>
      </c>
      <c r="R123" s="1">
        <f>(Occurrence!F$3-H123)^2</f>
        <v>0</v>
      </c>
      <c r="S123" s="1">
        <f>(Occurrence!G$3-I123)^2</f>
        <v>0</v>
      </c>
      <c r="T123" s="1">
        <f>(Occurrence!H$3-J123)^2</f>
        <v>0</v>
      </c>
      <c r="U123" s="1">
        <f>(Occurrence!I$3-K123)^2</f>
        <v>0</v>
      </c>
      <c r="V123" s="1">
        <f>(Occurrence!J$3-L123)^2</f>
        <v>0</v>
      </c>
      <c r="W123" s="1">
        <f>(Occurrence!K$3-M123)^2</f>
        <v>0</v>
      </c>
      <c r="X123" s="1">
        <f t="shared" si="13"/>
        <v>2</v>
      </c>
      <c r="Z123" s="1">
        <f t="shared" si="14"/>
        <v>1</v>
      </c>
      <c r="AA123" s="1">
        <f t="shared" si="15"/>
        <v>0</v>
      </c>
      <c r="AB123" s="1">
        <f t="shared" si="16"/>
        <v>1</v>
      </c>
      <c r="AC123" s="1">
        <f t="shared" si="17"/>
        <v>0</v>
      </c>
      <c r="AD123" s="1">
        <f t="shared" si="18"/>
        <v>0</v>
      </c>
      <c r="AE123" s="1">
        <f t="shared" si="19"/>
        <v>0</v>
      </c>
      <c r="AF123" s="1">
        <f t="shared" si="20"/>
        <v>1</v>
      </c>
      <c r="AG123" s="1">
        <f t="shared" si="21"/>
        <v>1</v>
      </c>
      <c r="AH123" s="1">
        <f t="shared" si="22"/>
        <v>0</v>
      </c>
      <c r="AI123" s="1">
        <f t="shared" si="23"/>
        <v>1</v>
      </c>
      <c r="AJ123" s="1">
        <f>SUMXMY2(Z123:AI123, Occurrence!B$3:K$3)</f>
        <v>2</v>
      </c>
      <c r="AK123" s="1">
        <f t="shared" si="24"/>
        <v>8</v>
      </c>
    </row>
    <row r="124" spans="1:37">
      <c r="A124" s="1">
        <v>123</v>
      </c>
      <c r="B124" s="1">
        <v>4252122</v>
      </c>
      <c r="C124" s="6">
        <v>805</v>
      </c>
      <c r="D124" s="1">
        <v>0.1</v>
      </c>
      <c r="E124" s="1">
        <v>0.3</v>
      </c>
      <c r="F124" s="1">
        <v>0.4</v>
      </c>
      <c r="G124" s="1">
        <v>0.6</v>
      </c>
      <c r="H124" s="1">
        <v>0.5</v>
      </c>
      <c r="I124" s="1">
        <v>0.05</v>
      </c>
      <c r="J124" s="1">
        <v>0.99</v>
      </c>
      <c r="K124" s="1">
        <v>0.7</v>
      </c>
      <c r="L124" s="1">
        <v>0.9</v>
      </c>
      <c r="M124" s="1">
        <v>0.4</v>
      </c>
      <c r="N124" s="1">
        <f>(Occurrence!B$3-D124)^2</f>
        <v>1.0000000000000002E-2</v>
      </c>
      <c r="O124" s="1">
        <f>(Occurrence!C$3-E124)^2</f>
        <v>0.09</v>
      </c>
      <c r="P124" s="1">
        <f>(Occurrence!D$3-F124)^2</f>
        <v>0.36</v>
      </c>
      <c r="Q124" s="1">
        <f>(Occurrence!E$3-G124)^2</f>
        <v>0.16000000000000003</v>
      </c>
      <c r="R124" s="1">
        <f>(Occurrence!F$3-H124)^2</f>
        <v>0.25</v>
      </c>
      <c r="S124" s="1">
        <f>(Occurrence!G$3-I124)^2</f>
        <v>2.5000000000000005E-3</v>
      </c>
      <c r="T124" s="1">
        <f>(Occurrence!H$3-J124)^2</f>
        <v>1.0000000000000018E-4</v>
      </c>
      <c r="U124" s="1">
        <f>(Occurrence!I$3-K124)^2</f>
        <v>9.0000000000000024E-2</v>
      </c>
      <c r="V124" s="1">
        <f>(Occurrence!J$3-L124)^2</f>
        <v>0.81</v>
      </c>
      <c r="W124" s="1">
        <f>(Occurrence!K$3-M124)^2</f>
        <v>0.36</v>
      </c>
      <c r="X124" s="1">
        <f t="shared" si="13"/>
        <v>2.1326000000000001</v>
      </c>
      <c r="Z124" s="1">
        <f t="shared" si="14"/>
        <v>0</v>
      </c>
      <c r="AA124" s="1">
        <f t="shared" si="15"/>
        <v>0</v>
      </c>
      <c r="AB124" s="1">
        <f t="shared" si="16"/>
        <v>0</v>
      </c>
      <c r="AC124" s="1">
        <f t="shared" si="17"/>
        <v>1</v>
      </c>
      <c r="AD124" s="1">
        <f t="shared" si="18"/>
        <v>1</v>
      </c>
      <c r="AE124" s="1">
        <f t="shared" si="19"/>
        <v>0</v>
      </c>
      <c r="AF124" s="1">
        <f t="shared" si="20"/>
        <v>1</v>
      </c>
      <c r="AG124" s="1">
        <f t="shared" si="21"/>
        <v>1</v>
      </c>
      <c r="AH124" s="1">
        <f t="shared" si="22"/>
        <v>1</v>
      </c>
      <c r="AI124" s="1">
        <f t="shared" si="23"/>
        <v>0</v>
      </c>
      <c r="AJ124" s="1">
        <f>SUMXMY2(Z124:AI124, Occurrence!B$3:K$3)</f>
        <v>4</v>
      </c>
      <c r="AK124" s="1">
        <f t="shared" si="24"/>
        <v>6</v>
      </c>
    </row>
    <row r="125" spans="1:37">
      <c r="A125" s="1">
        <v>124</v>
      </c>
      <c r="B125" s="1">
        <v>4252123</v>
      </c>
      <c r="C125" s="6">
        <v>805</v>
      </c>
      <c r="D125" s="1">
        <v>0.3</v>
      </c>
      <c r="E125" s="1">
        <v>0.1</v>
      </c>
      <c r="F125" s="1">
        <v>0.75</v>
      </c>
      <c r="G125" s="1">
        <v>0.9</v>
      </c>
      <c r="H125" s="1">
        <v>0.6</v>
      </c>
      <c r="I125" s="1">
        <v>0.45</v>
      </c>
      <c r="J125" s="1">
        <v>0.99</v>
      </c>
      <c r="K125" s="1">
        <v>0.99</v>
      </c>
      <c r="L125" s="1">
        <v>0.9</v>
      </c>
      <c r="M125" s="1">
        <v>0.4</v>
      </c>
      <c r="N125" s="1">
        <f>(Occurrence!B$3-D125)^2</f>
        <v>0.09</v>
      </c>
      <c r="O125" s="1">
        <f>(Occurrence!C$3-E125)^2</f>
        <v>1.0000000000000002E-2</v>
      </c>
      <c r="P125" s="1">
        <f>(Occurrence!D$3-F125)^2</f>
        <v>6.25E-2</v>
      </c>
      <c r="Q125" s="1">
        <f>(Occurrence!E$3-G125)^2</f>
        <v>9.999999999999995E-3</v>
      </c>
      <c r="R125" s="1">
        <f>(Occurrence!F$3-H125)^2</f>
        <v>0.36</v>
      </c>
      <c r="S125" s="1">
        <f>(Occurrence!G$3-I125)^2</f>
        <v>0.20250000000000001</v>
      </c>
      <c r="T125" s="1">
        <f>(Occurrence!H$3-J125)^2</f>
        <v>1.0000000000000018E-4</v>
      </c>
      <c r="U125" s="1">
        <f>(Occurrence!I$3-K125)^2</f>
        <v>1.0000000000000018E-4</v>
      </c>
      <c r="V125" s="1">
        <f>(Occurrence!J$3-L125)^2</f>
        <v>0.81</v>
      </c>
      <c r="W125" s="1">
        <f>(Occurrence!K$3-M125)^2</f>
        <v>0.36</v>
      </c>
      <c r="X125" s="1">
        <f t="shared" si="13"/>
        <v>1.9051999999999998</v>
      </c>
      <c r="Z125" s="1">
        <f t="shared" si="14"/>
        <v>0</v>
      </c>
      <c r="AA125" s="1">
        <f t="shared" si="15"/>
        <v>0</v>
      </c>
      <c r="AB125" s="1">
        <f t="shared" si="16"/>
        <v>1</v>
      </c>
      <c r="AC125" s="1">
        <f t="shared" si="17"/>
        <v>1</v>
      </c>
      <c r="AD125" s="1">
        <f t="shared" si="18"/>
        <v>1</v>
      </c>
      <c r="AE125" s="1">
        <f t="shared" si="19"/>
        <v>0</v>
      </c>
      <c r="AF125" s="1">
        <f t="shared" si="20"/>
        <v>1</v>
      </c>
      <c r="AG125" s="1">
        <f t="shared" si="21"/>
        <v>1</v>
      </c>
      <c r="AH125" s="1">
        <f t="shared" si="22"/>
        <v>1</v>
      </c>
      <c r="AI125" s="1">
        <f t="shared" si="23"/>
        <v>0</v>
      </c>
      <c r="AJ125" s="1">
        <f>SUMXMY2(Z125:AI125, Occurrence!B$3:K$3)</f>
        <v>3</v>
      </c>
      <c r="AK125" s="1">
        <f t="shared" si="24"/>
        <v>7</v>
      </c>
    </row>
    <row r="126" spans="1:37">
      <c r="A126" s="1">
        <v>125</v>
      </c>
      <c r="B126" s="1">
        <v>4252124</v>
      </c>
      <c r="C126" s="6">
        <v>805</v>
      </c>
      <c r="D126" s="1">
        <v>0.54</v>
      </c>
      <c r="E126" s="1">
        <v>0.14000000000000001</v>
      </c>
      <c r="F126" s="1">
        <v>0.43</v>
      </c>
      <c r="G126" s="1">
        <v>0.21</v>
      </c>
      <c r="H126" s="1">
        <v>0.47</v>
      </c>
      <c r="I126" s="1">
        <v>0.89</v>
      </c>
      <c r="J126" s="1">
        <v>0.99</v>
      </c>
      <c r="K126" s="1">
        <v>0.67</v>
      </c>
      <c r="L126" s="1">
        <v>0.78</v>
      </c>
      <c r="M126" s="1">
        <v>0.87</v>
      </c>
      <c r="N126" s="1">
        <f>(Occurrence!B$3-D126)^2</f>
        <v>0.29160000000000003</v>
      </c>
      <c r="O126" s="1">
        <f>(Occurrence!C$3-E126)^2</f>
        <v>1.9600000000000003E-2</v>
      </c>
      <c r="P126" s="1">
        <f>(Occurrence!D$3-F126)^2</f>
        <v>0.32490000000000008</v>
      </c>
      <c r="Q126" s="1">
        <f>(Occurrence!E$3-G126)^2</f>
        <v>0.6241000000000001</v>
      </c>
      <c r="R126" s="1">
        <f>(Occurrence!F$3-H126)^2</f>
        <v>0.22089999999999999</v>
      </c>
      <c r="S126" s="1">
        <f>(Occurrence!G$3-I126)^2</f>
        <v>0.79210000000000003</v>
      </c>
      <c r="T126" s="1">
        <f>(Occurrence!H$3-J126)^2</f>
        <v>1.0000000000000018E-4</v>
      </c>
      <c r="U126" s="1">
        <f>(Occurrence!I$3-K126)^2</f>
        <v>0.10889999999999997</v>
      </c>
      <c r="V126" s="1">
        <f>(Occurrence!J$3-L126)^2</f>
        <v>0.60840000000000005</v>
      </c>
      <c r="W126" s="1">
        <f>(Occurrence!K$3-M126)^2</f>
        <v>1.6900000000000002E-2</v>
      </c>
      <c r="X126" s="1">
        <f t="shared" si="13"/>
        <v>3.0075000000000003</v>
      </c>
      <c r="Z126" s="1">
        <f t="shared" si="14"/>
        <v>1</v>
      </c>
      <c r="AA126" s="1">
        <f t="shared" si="15"/>
        <v>0</v>
      </c>
      <c r="AB126" s="1">
        <f t="shared" si="16"/>
        <v>0</v>
      </c>
      <c r="AC126" s="1">
        <f t="shared" si="17"/>
        <v>0</v>
      </c>
      <c r="AD126" s="1">
        <f t="shared" si="18"/>
        <v>0</v>
      </c>
      <c r="AE126" s="1">
        <f t="shared" si="19"/>
        <v>1</v>
      </c>
      <c r="AF126" s="1">
        <f t="shared" si="20"/>
        <v>1</v>
      </c>
      <c r="AG126" s="1">
        <f t="shared" si="21"/>
        <v>1</v>
      </c>
      <c r="AH126" s="1">
        <f t="shared" si="22"/>
        <v>1</v>
      </c>
      <c r="AI126" s="1">
        <f t="shared" si="23"/>
        <v>1</v>
      </c>
      <c r="AJ126" s="1">
        <f>SUMXMY2(Z126:AI126, Occurrence!B$3:K$3)</f>
        <v>5</v>
      </c>
      <c r="AK126" s="1">
        <f t="shared" si="24"/>
        <v>5</v>
      </c>
    </row>
    <row r="127" spans="1:37">
      <c r="A127" s="1">
        <v>126</v>
      </c>
      <c r="B127" s="1">
        <v>4252125</v>
      </c>
      <c r="C127" s="6">
        <v>805</v>
      </c>
      <c r="D127" s="1">
        <v>1</v>
      </c>
      <c r="E127" s="1">
        <v>1</v>
      </c>
      <c r="F127" s="1">
        <v>0</v>
      </c>
      <c r="G127" s="1">
        <v>1</v>
      </c>
      <c r="H127" s="1">
        <v>0.5</v>
      </c>
      <c r="I127" s="1">
        <v>0.69</v>
      </c>
      <c r="J127" s="1">
        <v>0.9</v>
      </c>
      <c r="K127" s="1">
        <v>0.21</v>
      </c>
      <c r="L127" s="1">
        <v>0.73819999999999997</v>
      </c>
      <c r="M127" s="1">
        <v>1E-14</v>
      </c>
      <c r="N127" s="1">
        <f>(Occurrence!B$3-D127)^2</f>
        <v>1</v>
      </c>
      <c r="O127" s="1">
        <f>(Occurrence!C$3-E127)^2</f>
        <v>1</v>
      </c>
      <c r="P127" s="1">
        <f>(Occurrence!D$3-F127)^2</f>
        <v>1</v>
      </c>
      <c r="Q127" s="1">
        <f>(Occurrence!E$3-G127)^2</f>
        <v>0</v>
      </c>
      <c r="R127" s="1">
        <f>(Occurrence!F$3-H127)^2</f>
        <v>0.25</v>
      </c>
      <c r="S127" s="1">
        <f>(Occurrence!G$3-I127)^2</f>
        <v>0.47609999999999991</v>
      </c>
      <c r="T127" s="1">
        <f>(Occurrence!H$3-J127)^2</f>
        <v>9.999999999999995E-3</v>
      </c>
      <c r="U127" s="1">
        <f>(Occurrence!I$3-K127)^2</f>
        <v>0.6241000000000001</v>
      </c>
      <c r="V127" s="1">
        <f>(Occurrence!J$3-L127)^2</f>
        <v>0.54493923999999994</v>
      </c>
      <c r="W127" s="1">
        <f>(Occurrence!K$3-M127)^2</f>
        <v>0.99999999999998002</v>
      </c>
      <c r="X127" s="1">
        <f t="shared" si="13"/>
        <v>5.9051392399999791</v>
      </c>
      <c r="Z127" s="1">
        <f t="shared" si="14"/>
        <v>1</v>
      </c>
      <c r="AA127" s="1">
        <f t="shared" si="15"/>
        <v>1</v>
      </c>
      <c r="AB127" s="1">
        <f t="shared" si="16"/>
        <v>0</v>
      </c>
      <c r="AC127" s="1">
        <f t="shared" si="17"/>
        <v>1</v>
      </c>
      <c r="AD127" s="1">
        <f t="shared" si="18"/>
        <v>1</v>
      </c>
      <c r="AE127" s="1">
        <f t="shared" si="19"/>
        <v>1</v>
      </c>
      <c r="AF127" s="1">
        <f t="shared" si="20"/>
        <v>1</v>
      </c>
      <c r="AG127" s="1">
        <f t="shared" si="21"/>
        <v>0</v>
      </c>
      <c r="AH127" s="1">
        <f t="shared" si="22"/>
        <v>1</v>
      </c>
      <c r="AI127" s="1">
        <f t="shared" si="23"/>
        <v>0</v>
      </c>
      <c r="AJ127" s="1">
        <f>SUMXMY2(Z127:AI127, Occurrence!B$3:K$3)</f>
        <v>8</v>
      </c>
      <c r="AK127" s="1">
        <f t="shared" si="24"/>
        <v>2</v>
      </c>
    </row>
    <row r="128" spans="1:37">
      <c r="A128" s="1">
        <v>127</v>
      </c>
      <c r="B128" s="1">
        <v>4252126</v>
      </c>
      <c r="C128" s="6">
        <v>805</v>
      </c>
      <c r="D128" s="1">
        <v>0.4</v>
      </c>
      <c r="E128" s="1">
        <v>0.6</v>
      </c>
      <c r="F128" s="1">
        <v>0.3</v>
      </c>
      <c r="G128" s="1">
        <v>0.65</v>
      </c>
      <c r="H128" s="1">
        <v>0.2</v>
      </c>
      <c r="I128" s="1">
        <v>0.2</v>
      </c>
      <c r="J128" s="1">
        <v>0.78</v>
      </c>
      <c r="K128" s="1">
        <v>0.8</v>
      </c>
      <c r="L128" s="1">
        <v>0.56999999999999995</v>
      </c>
      <c r="M128" s="1">
        <v>0.89</v>
      </c>
      <c r="N128" s="1">
        <f>(Occurrence!B$3-D128)^2</f>
        <v>0.16000000000000003</v>
      </c>
      <c r="O128" s="1">
        <f>(Occurrence!C$3-E128)^2</f>
        <v>0.36</v>
      </c>
      <c r="P128" s="1">
        <f>(Occurrence!D$3-F128)^2</f>
        <v>0.48999999999999994</v>
      </c>
      <c r="Q128" s="1">
        <f>(Occurrence!E$3-G128)^2</f>
        <v>0.12249999999999998</v>
      </c>
      <c r="R128" s="1">
        <f>(Occurrence!F$3-H128)^2</f>
        <v>4.0000000000000008E-2</v>
      </c>
      <c r="S128" s="1">
        <f>(Occurrence!G$3-I128)^2</f>
        <v>4.0000000000000008E-2</v>
      </c>
      <c r="T128" s="1">
        <f>(Occurrence!H$3-J128)^2</f>
        <v>4.8399999999999992E-2</v>
      </c>
      <c r="U128" s="1">
        <f>(Occurrence!I$3-K128)^2</f>
        <v>3.999999999999998E-2</v>
      </c>
      <c r="V128" s="1">
        <f>(Occurrence!J$3-L128)^2</f>
        <v>0.32489999999999997</v>
      </c>
      <c r="W128" s="1">
        <f>(Occurrence!K$3-M128)^2</f>
        <v>1.2099999999999998E-2</v>
      </c>
      <c r="X128" s="1">
        <f t="shared" si="13"/>
        <v>1.6379000000000001</v>
      </c>
      <c r="Z128" s="1">
        <f t="shared" si="14"/>
        <v>0</v>
      </c>
      <c r="AA128" s="1">
        <f t="shared" si="15"/>
        <v>1</v>
      </c>
      <c r="AB128" s="1">
        <f t="shared" si="16"/>
        <v>0</v>
      </c>
      <c r="AC128" s="1">
        <f t="shared" si="17"/>
        <v>1</v>
      </c>
      <c r="AD128" s="1">
        <f t="shared" si="18"/>
        <v>0</v>
      </c>
      <c r="AE128" s="1">
        <f t="shared" si="19"/>
        <v>0</v>
      </c>
      <c r="AF128" s="1">
        <f t="shared" si="20"/>
        <v>1</v>
      </c>
      <c r="AG128" s="1">
        <f t="shared" si="21"/>
        <v>1</v>
      </c>
      <c r="AH128" s="1">
        <f t="shared" si="22"/>
        <v>1</v>
      </c>
      <c r="AI128" s="1">
        <f t="shared" si="23"/>
        <v>1</v>
      </c>
      <c r="AJ128" s="1">
        <f>SUMXMY2(Z128:AI128, Occurrence!B$3:K$3)</f>
        <v>3</v>
      </c>
      <c r="AK128" s="1">
        <f t="shared" si="24"/>
        <v>7</v>
      </c>
    </row>
    <row r="129" spans="1:37">
      <c r="A129" s="1">
        <v>128</v>
      </c>
      <c r="B129" s="1">
        <v>4252127</v>
      </c>
      <c r="C129" s="6">
        <v>805</v>
      </c>
      <c r="D129" s="1">
        <v>0.05</v>
      </c>
      <c r="E129" s="1">
        <v>0.03</v>
      </c>
      <c r="F129" s="1">
        <v>0.95</v>
      </c>
      <c r="G129" s="1">
        <v>0.93</v>
      </c>
      <c r="H129" s="1">
        <v>0.3</v>
      </c>
      <c r="I129" s="1">
        <v>0.7</v>
      </c>
      <c r="J129" s="1">
        <v>0.98</v>
      </c>
      <c r="K129" s="1">
        <v>0.98</v>
      </c>
      <c r="L129" s="1">
        <v>0.6</v>
      </c>
      <c r="M129" s="1">
        <v>0.98</v>
      </c>
      <c r="N129" s="1">
        <f>(Occurrence!B$3-D129)^2</f>
        <v>2.5000000000000005E-3</v>
      </c>
      <c r="O129" s="1">
        <f>(Occurrence!C$3-E129)^2</f>
        <v>8.9999999999999998E-4</v>
      </c>
      <c r="P129" s="1">
        <f>(Occurrence!D$3-F129)^2</f>
        <v>2.5000000000000044E-3</v>
      </c>
      <c r="Q129" s="1">
        <f>(Occurrence!E$3-G129)^2</f>
        <v>4.8999999999999929E-3</v>
      </c>
      <c r="R129" s="1">
        <f>(Occurrence!F$3-H129)^2</f>
        <v>0.09</v>
      </c>
      <c r="S129" s="1">
        <f>(Occurrence!G$3-I129)^2</f>
        <v>0.48999999999999994</v>
      </c>
      <c r="T129" s="1">
        <f>(Occurrence!H$3-J129)^2</f>
        <v>4.0000000000000072E-4</v>
      </c>
      <c r="U129" s="1">
        <f>(Occurrence!I$3-K129)^2</f>
        <v>4.0000000000000072E-4</v>
      </c>
      <c r="V129" s="1">
        <f>(Occurrence!J$3-L129)^2</f>
        <v>0.36</v>
      </c>
      <c r="W129" s="1">
        <f>(Occurrence!K$3-M129)^2</f>
        <v>4.0000000000000072E-4</v>
      </c>
      <c r="X129" s="1">
        <f t="shared" si="13"/>
        <v>0.95199999999999985</v>
      </c>
      <c r="Z129" s="1">
        <f t="shared" si="14"/>
        <v>0</v>
      </c>
      <c r="AA129" s="1">
        <f t="shared" si="15"/>
        <v>0</v>
      </c>
      <c r="AB129" s="1">
        <f t="shared" si="16"/>
        <v>1</v>
      </c>
      <c r="AC129" s="1">
        <f t="shared" si="17"/>
        <v>1</v>
      </c>
      <c r="AD129" s="1">
        <f t="shared" si="18"/>
        <v>0</v>
      </c>
      <c r="AE129" s="1">
        <f t="shared" si="19"/>
        <v>1</v>
      </c>
      <c r="AF129" s="1">
        <f t="shared" si="20"/>
        <v>1</v>
      </c>
      <c r="AG129" s="1">
        <f t="shared" si="21"/>
        <v>1</v>
      </c>
      <c r="AH129" s="1">
        <f t="shared" si="22"/>
        <v>1</v>
      </c>
      <c r="AI129" s="1">
        <f t="shared" si="23"/>
        <v>1</v>
      </c>
      <c r="AJ129" s="1">
        <f>SUMXMY2(Z129:AI129, Occurrence!B$3:K$3)</f>
        <v>2</v>
      </c>
      <c r="AK129" s="1">
        <f t="shared" si="24"/>
        <v>8</v>
      </c>
    </row>
    <row r="130" spans="1:37">
      <c r="A130" s="1">
        <v>129</v>
      </c>
      <c r="B130" s="1">
        <v>4252128</v>
      </c>
      <c r="C130" s="6">
        <v>805</v>
      </c>
      <c r="D130" s="1">
        <v>0.21</v>
      </c>
      <c r="E130" s="1">
        <v>0.65</v>
      </c>
      <c r="F130" s="1">
        <v>0.21</v>
      </c>
      <c r="G130" s="1">
        <v>0.65</v>
      </c>
      <c r="H130" s="1">
        <v>0.05</v>
      </c>
      <c r="I130" s="1">
        <v>0.1</v>
      </c>
      <c r="J130" s="1">
        <v>0.35</v>
      </c>
      <c r="K130" s="1">
        <v>0.65</v>
      </c>
      <c r="L130" s="1">
        <v>0.25</v>
      </c>
      <c r="M130" s="1">
        <v>0.8</v>
      </c>
      <c r="N130" s="1">
        <f>(Occurrence!B$3-D130)^2</f>
        <v>4.4099999999999993E-2</v>
      </c>
      <c r="O130" s="1">
        <f>(Occurrence!C$3-E130)^2</f>
        <v>0.42250000000000004</v>
      </c>
      <c r="P130" s="1">
        <f>(Occurrence!D$3-F130)^2</f>
        <v>0.6241000000000001</v>
      </c>
      <c r="Q130" s="1">
        <f>(Occurrence!E$3-G130)^2</f>
        <v>0.12249999999999998</v>
      </c>
      <c r="R130" s="1">
        <f>(Occurrence!F$3-H130)^2</f>
        <v>2.5000000000000005E-3</v>
      </c>
      <c r="S130" s="1">
        <f>(Occurrence!G$3-I130)^2</f>
        <v>1.0000000000000002E-2</v>
      </c>
      <c r="T130" s="1">
        <f>(Occurrence!H$3-J130)^2</f>
        <v>0.42250000000000004</v>
      </c>
      <c r="U130" s="1">
        <f>(Occurrence!I$3-K130)^2</f>
        <v>0.12249999999999998</v>
      </c>
      <c r="V130" s="1">
        <f>(Occurrence!J$3-L130)^2</f>
        <v>6.25E-2</v>
      </c>
      <c r="W130" s="1">
        <f>(Occurrence!K$3-M130)^2</f>
        <v>3.999999999999998E-2</v>
      </c>
      <c r="X130" s="1">
        <f t="shared" si="13"/>
        <v>1.8732000000000002</v>
      </c>
      <c r="Z130" s="1">
        <f t="shared" si="14"/>
        <v>0</v>
      </c>
      <c r="AA130" s="1">
        <f t="shared" si="15"/>
        <v>1</v>
      </c>
      <c r="AB130" s="1">
        <f t="shared" si="16"/>
        <v>0</v>
      </c>
      <c r="AC130" s="1">
        <f t="shared" si="17"/>
        <v>1</v>
      </c>
      <c r="AD130" s="1">
        <f t="shared" si="18"/>
        <v>0</v>
      </c>
      <c r="AE130" s="1">
        <f t="shared" si="19"/>
        <v>0</v>
      </c>
      <c r="AF130" s="1">
        <f t="shared" si="20"/>
        <v>0</v>
      </c>
      <c r="AG130" s="1">
        <f t="shared" si="21"/>
        <v>1</v>
      </c>
      <c r="AH130" s="1">
        <f t="shared" si="22"/>
        <v>0</v>
      </c>
      <c r="AI130" s="1">
        <f t="shared" si="23"/>
        <v>1</v>
      </c>
      <c r="AJ130" s="1">
        <f>SUMXMY2(Z130:AI130, Occurrence!B$3:K$3)</f>
        <v>3</v>
      </c>
      <c r="AK130" s="1">
        <f t="shared" si="24"/>
        <v>7</v>
      </c>
    </row>
    <row r="131" spans="1:37">
      <c r="A131" s="1">
        <v>130</v>
      </c>
      <c r="B131" s="1">
        <v>4252129</v>
      </c>
      <c r="C131" s="6">
        <v>805</v>
      </c>
      <c r="D131" s="1">
        <v>0.35</v>
      </c>
      <c r="E131" s="1">
        <v>0.45</v>
      </c>
      <c r="F131" s="1">
        <v>0.45</v>
      </c>
      <c r="G131" s="1">
        <v>0.65</v>
      </c>
      <c r="H131" s="1">
        <v>0.2</v>
      </c>
      <c r="I131" s="1">
        <v>0.4</v>
      </c>
      <c r="J131" s="1">
        <v>0.97</v>
      </c>
      <c r="K131" s="1">
        <v>0.75</v>
      </c>
      <c r="L131" s="1">
        <v>0.85</v>
      </c>
      <c r="M131" s="1">
        <v>0.8</v>
      </c>
      <c r="N131" s="1">
        <f>(Occurrence!B$3-D131)^2</f>
        <v>0.12249999999999998</v>
      </c>
      <c r="O131" s="1">
        <f>(Occurrence!C$3-E131)^2</f>
        <v>0.20250000000000001</v>
      </c>
      <c r="P131" s="1">
        <f>(Occurrence!D$3-F131)^2</f>
        <v>0.30250000000000005</v>
      </c>
      <c r="Q131" s="1">
        <f>(Occurrence!E$3-G131)^2</f>
        <v>0.12249999999999998</v>
      </c>
      <c r="R131" s="1">
        <f>(Occurrence!F$3-H131)^2</f>
        <v>4.0000000000000008E-2</v>
      </c>
      <c r="S131" s="1">
        <f>(Occurrence!G$3-I131)^2</f>
        <v>0.16000000000000003</v>
      </c>
      <c r="T131" s="1">
        <f>(Occurrence!H$3-J131)^2</f>
        <v>9.000000000000016E-4</v>
      </c>
      <c r="U131" s="1">
        <f>(Occurrence!I$3-K131)^2</f>
        <v>6.25E-2</v>
      </c>
      <c r="V131" s="1">
        <f>(Occurrence!J$3-L131)^2</f>
        <v>0.72249999999999992</v>
      </c>
      <c r="W131" s="1">
        <f>(Occurrence!K$3-M131)^2</f>
        <v>3.999999999999998E-2</v>
      </c>
      <c r="X131" s="1">
        <f t="shared" ref="X131:X194" si="25">SUM(N131:W131)</f>
        <v>1.7759</v>
      </c>
      <c r="Z131" s="1">
        <f t="shared" ref="Z131:Z194" si="26">ROUND(D131, 0)</f>
        <v>0</v>
      </c>
      <c r="AA131" s="1">
        <f t="shared" ref="AA131:AA194" si="27">ROUND(E131, 0)</f>
        <v>0</v>
      </c>
      <c r="AB131" s="1">
        <f t="shared" ref="AB131:AB194" si="28">ROUND(F131, 0)</f>
        <v>0</v>
      </c>
      <c r="AC131" s="1">
        <f t="shared" ref="AC131:AC194" si="29">ROUND(G131, 0)</f>
        <v>1</v>
      </c>
      <c r="AD131" s="1">
        <f t="shared" ref="AD131:AD194" si="30">ROUND(H131, 0)</f>
        <v>0</v>
      </c>
      <c r="AE131" s="1">
        <f t="shared" ref="AE131:AE194" si="31">ROUND(I131, 0)</f>
        <v>0</v>
      </c>
      <c r="AF131" s="1">
        <f t="shared" ref="AF131:AF194" si="32">ROUND(J131, 0)</f>
        <v>1</v>
      </c>
      <c r="AG131" s="1">
        <f t="shared" ref="AG131:AG194" si="33">ROUND(K131, 0)</f>
        <v>1</v>
      </c>
      <c r="AH131" s="1">
        <f t="shared" ref="AH131:AH194" si="34">ROUND(L131, 0)</f>
        <v>1</v>
      </c>
      <c r="AI131" s="1">
        <f t="shared" ref="AI131:AI194" si="35">ROUND(M131, 0)</f>
        <v>1</v>
      </c>
      <c r="AJ131" s="1">
        <f>SUMXMY2(Z131:AI131, Occurrence!B$3:K$3)</f>
        <v>2</v>
      </c>
      <c r="AK131" s="1">
        <f t="shared" ref="AK131:AK194" si="36">10-AJ131</f>
        <v>8</v>
      </c>
    </row>
    <row r="132" spans="1:37">
      <c r="A132" s="1">
        <v>131</v>
      </c>
      <c r="B132" s="1">
        <v>4252130</v>
      </c>
      <c r="C132" s="6">
        <v>805</v>
      </c>
      <c r="D132" s="1">
        <v>3.5000000000000003E-2</v>
      </c>
      <c r="E132" s="1">
        <v>3.7999999999999999E-2</v>
      </c>
      <c r="F132" s="1">
        <v>5.5E-2</v>
      </c>
      <c r="G132" s="1">
        <v>0.06</v>
      </c>
      <c r="H132" s="1">
        <v>0.01</v>
      </c>
      <c r="I132" s="1">
        <v>2.5000000000000001E-2</v>
      </c>
      <c r="J132" s="1">
        <v>0.75</v>
      </c>
      <c r="K132" s="1">
        <v>0.7</v>
      </c>
      <c r="L132" s="1">
        <v>0.85</v>
      </c>
      <c r="M132" s="1">
        <v>0.5</v>
      </c>
      <c r="N132" s="1">
        <f>(Occurrence!B$3-D132)^2</f>
        <v>1.2250000000000002E-3</v>
      </c>
      <c r="O132" s="1">
        <f>(Occurrence!C$3-E132)^2</f>
        <v>1.444E-3</v>
      </c>
      <c r="P132" s="1">
        <f>(Occurrence!D$3-F132)^2</f>
        <v>0.89302499999999996</v>
      </c>
      <c r="Q132" s="1">
        <f>(Occurrence!E$3-G132)^2</f>
        <v>0.88359999999999994</v>
      </c>
      <c r="R132" s="1">
        <f>(Occurrence!F$3-H132)^2</f>
        <v>1E-4</v>
      </c>
      <c r="S132" s="1">
        <f>(Occurrence!G$3-I132)^2</f>
        <v>6.2500000000000012E-4</v>
      </c>
      <c r="T132" s="1">
        <f>(Occurrence!H$3-J132)^2</f>
        <v>6.25E-2</v>
      </c>
      <c r="U132" s="1">
        <f>(Occurrence!I$3-K132)^2</f>
        <v>9.0000000000000024E-2</v>
      </c>
      <c r="V132" s="1">
        <f>(Occurrence!J$3-L132)^2</f>
        <v>0.72249999999999992</v>
      </c>
      <c r="W132" s="1">
        <f>(Occurrence!K$3-M132)^2</f>
        <v>0.25</v>
      </c>
      <c r="X132" s="1">
        <f t="shared" si="25"/>
        <v>2.9050190000000002</v>
      </c>
      <c r="Z132" s="1">
        <f t="shared" si="26"/>
        <v>0</v>
      </c>
      <c r="AA132" s="1">
        <f t="shared" si="27"/>
        <v>0</v>
      </c>
      <c r="AB132" s="1">
        <f t="shared" si="28"/>
        <v>0</v>
      </c>
      <c r="AC132" s="1">
        <f t="shared" si="29"/>
        <v>0</v>
      </c>
      <c r="AD132" s="1">
        <f t="shared" si="30"/>
        <v>0</v>
      </c>
      <c r="AE132" s="1">
        <f t="shared" si="31"/>
        <v>0</v>
      </c>
      <c r="AF132" s="1">
        <f t="shared" si="32"/>
        <v>1</v>
      </c>
      <c r="AG132" s="1">
        <f t="shared" si="33"/>
        <v>1</v>
      </c>
      <c r="AH132" s="1">
        <f t="shared" si="34"/>
        <v>1</v>
      </c>
      <c r="AI132" s="1">
        <f t="shared" si="35"/>
        <v>1</v>
      </c>
      <c r="AJ132" s="1">
        <f>SUMXMY2(Z132:AI132, Occurrence!B$3:K$3)</f>
        <v>3</v>
      </c>
      <c r="AK132" s="1">
        <f t="shared" si="36"/>
        <v>7</v>
      </c>
    </row>
    <row r="133" spans="1:37">
      <c r="A133" s="1">
        <v>132</v>
      </c>
      <c r="B133" s="1">
        <v>4252131</v>
      </c>
      <c r="C133" s="6">
        <v>805</v>
      </c>
      <c r="D133" s="1">
        <v>0.4</v>
      </c>
      <c r="E133" s="1">
        <v>0.2</v>
      </c>
      <c r="F133" s="1">
        <v>0.5</v>
      </c>
      <c r="G133" s="1">
        <v>0.3</v>
      </c>
      <c r="H133" s="1">
        <v>0.1</v>
      </c>
      <c r="I133" s="1">
        <v>0.6</v>
      </c>
      <c r="J133" s="1">
        <v>0.4</v>
      </c>
      <c r="K133" s="1">
        <v>0.42</v>
      </c>
      <c r="L133" s="1">
        <v>0.2</v>
      </c>
      <c r="M133" s="1">
        <v>0.7</v>
      </c>
      <c r="N133" s="1">
        <f>(Occurrence!B$3-D133)^2</f>
        <v>0.16000000000000003</v>
      </c>
      <c r="O133" s="1">
        <f>(Occurrence!C$3-E133)^2</f>
        <v>4.0000000000000008E-2</v>
      </c>
      <c r="P133" s="1">
        <f>(Occurrence!D$3-F133)^2</f>
        <v>0.25</v>
      </c>
      <c r="Q133" s="1">
        <f>(Occurrence!E$3-G133)^2</f>
        <v>0.48999999999999994</v>
      </c>
      <c r="R133" s="1">
        <f>(Occurrence!F$3-H133)^2</f>
        <v>1.0000000000000002E-2</v>
      </c>
      <c r="S133" s="1">
        <f>(Occurrence!G$3-I133)^2</f>
        <v>0.36</v>
      </c>
      <c r="T133" s="1">
        <f>(Occurrence!H$3-J133)^2</f>
        <v>0.36</v>
      </c>
      <c r="U133" s="1">
        <f>(Occurrence!I$3-K133)^2</f>
        <v>0.33640000000000009</v>
      </c>
      <c r="V133" s="1">
        <f>(Occurrence!J$3-L133)^2</f>
        <v>4.0000000000000008E-2</v>
      </c>
      <c r="W133" s="1">
        <f>(Occurrence!K$3-M133)^2</f>
        <v>9.0000000000000024E-2</v>
      </c>
      <c r="X133" s="1">
        <f t="shared" si="25"/>
        <v>2.1364000000000001</v>
      </c>
      <c r="Z133" s="1">
        <f t="shared" si="26"/>
        <v>0</v>
      </c>
      <c r="AA133" s="1">
        <f t="shared" si="27"/>
        <v>0</v>
      </c>
      <c r="AB133" s="1">
        <f t="shared" si="28"/>
        <v>1</v>
      </c>
      <c r="AC133" s="1">
        <f t="shared" si="29"/>
        <v>0</v>
      </c>
      <c r="AD133" s="1">
        <f t="shared" si="30"/>
        <v>0</v>
      </c>
      <c r="AE133" s="1">
        <f t="shared" si="31"/>
        <v>1</v>
      </c>
      <c r="AF133" s="1">
        <f t="shared" si="32"/>
        <v>0</v>
      </c>
      <c r="AG133" s="1">
        <f t="shared" si="33"/>
        <v>0</v>
      </c>
      <c r="AH133" s="1">
        <f t="shared" si="34"/>
        <v>0</v>
      </c>
      <c r="AI133" s="1">
        <f t="shared" si="35"/>
        <v>1</v>
      </c>
      <c r="AJ133" s="1">
        <f>SUMXMY2(Z133:AI133, Occurrence!B$3:K$3)</f>
        <v>4</v>
      </c>
      <c r="AK133" s="1">
        <f t="shared" si="36"/>
        <v>6</v>
      </c>
    </row>
    <row r="134" spans="1:37">
      <c r="A134" s="1">
        <v>133</v>
      </c>
      <c r="B134" s="1">
        <v>4252132</v>
      </c>
      <c r="C134" s="6">
        <v>805</v>
      </c>
      <c r="D134" s="1">
        <v>0.01</v>
      </c>
      <c r="E134" s="1">
        <v>0.04</v>
      </c>
      <c r="F134" s="1">
        <v>0.9</v>
      </c>
      <c r="G134" s="1">
        <v>0.95</v>
      </c>
      <c r="H134" s="1">
        <v>0.09</v>
      </c>
      <c r="I134" s="1">
        <v>0.75</v>
      </c>
      <c r="J134" s="1">
        <v>0.99</v>
      </c>
      <c r="K134" s="1">
        <v>0.65</v>
      </c>
      <c r="L134" s="1">
        <v>0.5</v>
      </c>
      <c r="M134" s="1">
        <v>0.88</v>
      </c>
      <c r="N134" s="1">
        <f>(Occurrence!B$3-D134)^2</f>
        <v>1E-4</v>
      </c>
      <c r="O134" s="1">
        <f>(Occurrence!C$3-E134)^2</f>
        <v>1.6000000000000001E-3</v>
      </c>
      <c r="P134" s="1">
        <f>(Occurrence!D$3-F134)^2</f>
        <v>9.999999999999995E-3</v>
      </c>
      <c r="Q134" s="1">
        <f>(Occurrence!E$3-G134)^2</f>
        <v>2.5000000000000044E-3</v>
      </c>
      <c r="R134" s="1">
        <f>(Occurrence!F$3-H134)^2</f>
        <v>8.0999999999999996E-3</v>
      </c>
      <c r="S134" s="1">
        <f>(Occurrence!G$3-I134)^2</f>
        <v>0.5625</v>
      </c>
      <c r="T134" s="1">
        <f>(Occurrence!H$3-J134)^2</f>
        <v>1.0000000000000018E-4</v>
      </c>
      <c r="U134" s="1">
        <f>(Occurrence!I$3-K134)^2</f>
        <v>0.12249999999999998</v>
      </c>
      <c r="V134" s="1">
        <f>(Occurrence!J$3-L134)^2</f>
        <v>0.25</v>
      </c>
      <c r="W134" s="1">
        <f>(Occurrence!K$3-M134)^2</f>
        <v>1.44E-2</v>
      </c>
      <c r="X134" s="1">
        <f t="shared" si="25"/>
        <v>0.97179999999999989</v>
      </c>
      <c r="Z134" s="1">
        <f t="shared" si="26"/>
        <v>0</v>
      </c>
      <c r="AA134" s="1">
        <f t="shared" si="27"/>
        <v>0</v>
      </c>
      <c r="AB134" s="1">
        <f t="shared" si="28"/>
        <v>1</v>
      </c>
      <c r="AC134" s="1">
        <f t="shared" si="29"/>
        <v>1</v>
      </c>
      <c r="AD134" s="1">
        <f t="shared" si="30"/>
        <v>0</v>
      </c>
      <c r="AE134" s="1">
        <f t="shared" si="31"/>
        <v>1</v>
      </c>
      <c r="AF134" s="1">
        <f t="shared" si="32"/>
        <v>1</v>
      </c>
      <c r="AG134" s="1">
        <f t="shared" si="33"/>
        <v>1</v>
      </c>
      <c r="AH134" s="1">
        <f t="shared" si="34"/>
        <v>1</v>
      </c>
      <c r="AI134" s="1">
        <f t="shared" si="35"/>
        <v>1</v>
      </c>
      <c r="AJ134" s="1">
        <f>SUMXMY2(Z134:AI134, Occurrence!B$3:K$3)</f>
        <v>2</v>
      </c>
      <c r="AK134" s="1">
        <f t="shared" si="36"/>
        <v>8</v>
      </c>
    </row>
    <row r="135" spans="1:37">
      <c r="A135" s="1">
        <v>134</v>
      </c>
      <c r="B135" s="1">
        <v>4252133</v>
      </c>
      <c r="C135" s="6">
        <v>805</v>
      </c>
      <c r="D135" s="1">
        <v>0.01</v>
      </c>
      <c r="E135" s="1">
        <v>0.03</v>
      </c>
      <c r="F135" s="1">
        <v>0.88</v>
      </c>
      <c r="G135" s="1">
        <v>0.92</v>
      </c>
      <c r="H135" s="1">
        <v>0.11</v>
      </c>
      <c r="I135" s="1">
        <v>0.88</v>
      </c>
      <c r="J135" s="1">
        <v>0.99</v>
      </c>
      <c r="K135" s="1">
        <v>0.55000000000000004</v>
      </c>
      <c r="L135" s="1">
        <v>0.7</v>
      </c>
      <c r="M135" s="1">
        <v>0.8</v>
      </c>
      <c r="N135" s="1">
        <f>(Occurrence!B$3-D135)^2</f>
        <v>1E-4</v>
      </c>
      <c r="O135" s="1">
        <f>(Occurrence!C$3-E135)^2</f>
        <v>8.9999999999999998E-4</v>
      </c>
      <c r="P135" s="1">
        <f>(Occurrence!D$3-F135)^2</f>
        <v>1.44E-2</v>
      </c>
      <c r="Q135" s="1">
        <f>(Occurrence!E$3-G135)^2</f>
        <v>6.3999999999999934E-3</v>
      </c>
      <c r="R135" s="1">
        <f>(Occurrence!F$3-H135)^2</f>
        <v>1.21E-2</v>
      </c>
      <c r="S135" s="1">
        <f>(Occurrence!G$3-I135)^2</f>
        <v>0.77439999999999998</v>
      </c>
      <c r="T135" s="1">
        <f>(Occurrence!H$3-J135)^2</f>
        <v>1.0000000000000018E-4</v>
      </c>
      <c r="U135" s="1">
        <f>(Occurrence!I$3-K135)^2</f>
        <v>0.20249999999999996</v>
      </c>
      <c r="V135" s="1">
        <f>(Occurrence!J$3-L135)^2</f>
        <v>0.48999999999999994</v>
      </c>
      <c r="W135" s="1">
        <f>(Occurrence!K$3-M135)^2</f>
        <v>3.999999999999998E-2</v>
      </c>
      <c r="X135" s="1">
        <f t="shared" si="25"/>
        <v>1.5408999999999999</v>
      </c>
      <c r="Z135" s="1">
        <f t="shared" si="26"/>
        <v>0</v>
      </c>
      <c r="AA135" s="1">
        <f t="shared" si="27"/>
        <v>0</v>
      </c>
      <c r="AB135" s="1">
        <f t="shared" si="28"/>
        <v>1</v>
      </c>
      <c r="AC135" s="1">
        <f t="shared" si="29"/>
        <v>1</v>
      </c>
      <c r="AD135" s="1">
        <f t="shared" si="30"/>
        <v>0</v>
      </c>
      <c r="AE135" s="1">
        <f t="shared" si="31"/>
        <v>1</v>
      </c>
      <c r="AF135" s="1">
        <f t="shared" si="32"/>
        <v>1</v>
      </c>
      <c r="AG135" s="1">
        <f t="shared" si="33"/>
        <v>1</v>
      </c>
      <c r="AH135" s="1">
        <f t="shared" si="34"/>
        <v>1</v>
      </c>
      <c r="AI135" s="1">
        <f t="shared" si="35"/>
        <v>1</v>
      </c>
      <c r="AJ135" s="1">
        <f>SUMXMY2(Z135:AI135, Occurrence!B$3:K$3)</f>
        <v>2</v>
      </c>
      <c r="AK135" s="1">
        <f t="shared" si="36"/>
        <v>8</v>
      </c>
    </row>
    <row r="136" spans="1:37">
      <c r="A136" s="1">
        <v>135</v>
      </c>
      <c r="B136" s="1">
        <v>4252134</v>
      </c>
      <c r="C136" s="6">
        <v>805</v>
      </c>
      <c r="D136" s="1">
        <v>0.02</v>
      </c>
      <c r="E136" s="1">
        <v>0.1</v>
      </c>
      <c r="F136" s="1">
        <v>0.9</v>
      </c>
      <c r="G136" s="1">
        <v>0.96</v>
      </c>
      <c r="H136" s="1">
        <v>0.08</v>
      </c>
      <c r="I136" s="1">
        <v>0.8</v>
      </c>
      <c r="J136" s="1">
        <v>0.99</v>
      </c>
      <c r="K136" s="1">
        <v>0.5</v>
      </c>
      <c r="L136" s="1">
        <v>0.6</v>
      </c>
      <c r="M136" s="1">
        <v>0.8</v>
      </c>
      <c r="N136" s="1">
        <f>(Occurrence!B$3-D136)^2</f>
        <v>4.0000000000000002E-4</v>
      </c>
      <c r="O136" s="1">
        <f>(Occurrence!C$3-E136)^2</f>
        <v>1.0000000000000002E-2</v>
      </c>
      <c r="P136" s="1">
        <f>(Occurrence!D$3-F136)^2</f>
        <v>9.999999999999995E-3</v>
      </c>
      <c r="Q136" s="1">
        <f>(Occurrence!E$3-G136)^2</f>
        <v>1.6000000000000029E-3</v>
      </c>
      <c r="R136" s="1">
        <f>(Occurrence!F$3-H136)^2</f>
        <v>6.4000000000000003E-3</v>
      </c>
      <c r="S136" s="1">
        <f>(Occurrence!G$3-I136)^2</f>
        <v>0.64000000000000012</v>
      </c>
      <c r="T136" s="1">
        <f>(Occurrence!H$3-J136)^2</f>
        <v>1.0000000000000018E-4</v>
      </c>
      <c r="U136" s="1">
        <f>(Occurrence!I$3-K136)^2</f>
        <v>0.25</v>
      </c>
      <c r="V136" s="1">
        <f>(Occurrence!J$3-L136)^2</f>
        <v>0.36</v>
      </c>
      <c r="W136" s="1">
        <f>(Occurrence!K$3-M136)^2</f>
        <v>3.999999999999998E-2</v>
      </c>
      <c r="X136" s="1">
        <f t="shared" si="25"/>
        <v>1.3185000000000002</v>
      </c>
      <c r="Z136" s="1">
        <f t="shared" si="26"/>
        <v>0</v>
      </c>
      <c r="AA136" s="1">
        <f t="shared" si="27"/>
        <v>0</v>
      </c>
      <c r="AB136" s="1">
        <f t="shared" si="28"/>
        <v>1</v>
      </c>
      <c r="AC136" s="1">
        <f t="shared" si="29"/>
        <v>1</v>
      </c>
      <c r="AD136" s="1">
        <f t="shared" si="30"/>
        <v>0</v>
      </c>
      <c r="AE136" s="1">
        <f t="shared" si="31"/>
        <v>1</v>
      </c>
      <c r="AF136" s="1">
        <f t="shared" si="32"/>
        <v>1</v>
      </c>
      <c r="AG136" s="1">
        <f t="shared" si="33"/>
        <v>1</v>
      </c>
      <c r="AH136" s="1">
        <f t="shared" si="34"/>
        <v>1</v>
      </c>
      <c r="AI136" s="1">
        <f t="shared" si="35"/>
        <v>1</v>
      </c>
      <c r="AJ136" s="1">
        <f>SUMXMY2(Z136:AI136, Occurrence!B$3:K$3)</f>
        <v>2</v>
      </c>
      <c r="AK136" s="1">
        <f t="shared" si="36"/>
        <v>8</v>
      </c>
    </row>
    <row r="137" spans="1:37">
      <c r="A137" s="1">
        <v>136</v>
      </c>
      <c r="B137" s="1">
        <v>4252135</v>
      </c>
      <c r="C137" s="6">
        <v>805</v>
      </c>
      <c r="D137" s="1">
        <v>0.34</v>
      </c>
      <c r="E137" s="1">
        <v>0.1</v>
      </c>
      <c r="F137" s="1">
        <v>0.5</v>
      </c>
      <c r="G137" s="1">
        <v>0.1</v>
      </c>
      <c r="H137" s="1">
        <v>0.25</v>
      </c>
      <c r="I137" s="1">
        <v>0.6</v>
      </c>
      <c r="J137" s="1">
        <v>0.4</v>
      </c>
      <c r="K137" s="1">
        <v>0.8</v>
      </c>
      <c r="L137" s="1">
        <v>0.1</v>
      </c>
      <c r="M137" s="1">
        <v>0.63</v>
      </c>
      <c r="N137" s="1">
        <f>(Occurrence!B$3-D137)^2</f>
        <v>0.11560000000000002</v>
      </c>
      <c r="O137" s="1">
        <f>(Occurrence!C$3-E137)^2</f>
        <v>1.0000000000000002E-2</v>
      </c>
      <c r="P137" s="1">
        <f>(Occurrence!D$3-F137)^2</f>
        <v>0.25</v>
      </c>
      <c r="Q137" s="1">
        <f>(Occurrence!E$3-G137)^2</f>
        <v>0.81</v>
      </c>
      <c r="R137" s="1">
        <f>(Occurrence!F$3-H137)^2</f>
        <v>6.25E-2</v>
      </c>
      <c r="S137" s="1">
        <f>(Occurrence!G$3-I137)^2</f>
        <v>0.36</v>
      </c>
      <c r="T137" s="1">
        <f>(Occurrence!H$3-J137)^2</f>
        <v>0.36</v>
      </c>
      <c r="U137" s="1">
        <f>(Occurrence!I$3-K137)^2</f>
        <v>3.999999999999998E-2</v>
      </c>
      <c r="V137" s="1">
        <f>(Occurrence!J$3-L137)^2</f>
        <v>1.0000000000000002E-2</v>
      </c>
      <c r="W137" s="1">
        <f>(Occurrence!K$3-M137)^2</f>
        <v>0.13689999999999999</v>
      </c>
      <c r="X137" s="1">
        <f t="shared" si="25"/>
        <v>2.1549999999999994</v>
      </c>
      <c r="Z137" s="1">
        <f t="shared" si="26"/>
        <v>0</v>
      </c>
      <c r="AA137" s="1">
        <f t="shared" si="27"/>
        <v>0</v>
      </c>
      <c r="AB137" s="1">
        <f t="shared" si="28"/>
        <v>1</v>
      </c>
      <c r="AC137" s="1">
        <f t="shared" si="29"/>
        <v>0</v>
      </c>
      <c r="AD137" s="1">
        <f t="shared" si="30"/>
        <v>0</v>
      </c>
      <c r="AE137" s="1">
        <f t="shared" si="31"/>
        <v>1</v>
      </c>
      <c r="AF137" s="1">
        <f t="shared" si="32"/>
        <v>0</v>
      </c>
      <c r="AG137" s="1">
        <f t="shared" si="33"/>
        <v>1</v>
      </c>
      <c r="AH137" s="1">
        <f t="shared" si="34"/>
        <v>0</v>
      </c>
      <c r="AI137" s="1">
        <f t="shared" si="35"/>
        <v>1</v>
      </c>
      <c r="AJ137" s="1">
        <f>SUMXMY2(Z137:AI137, Occurrence!B$3:K$3)</f>
        <v>3</v>
      </c>
      <c r="AK137" s="1">
        <f t="shared" si="36"/>
        <v>7</v>
      </c>
    </row>
    <row r="138" spans="1:37">
      <c r="A138" s="1">
        <v>137</v>
      </c>
      <c r="B138" s="1">
        <v>4252136</v>
      </c>
      <c r="C138" s="6">
        <v>805</v>
      </c>
      <c r="D138" s="1">
        <v>0.99</v>
      </c>
      <c r="E138" s="1">
        <v>0.99</v>
      </c>
      <c r="F138" s="1">
        <v>0.9</v>
      </c>
      <c r="G138" s="1">
        <v>0.99</v>
      </c>
      <c r="H138" s="1">
        <v>0.86</v>
      </c>
      <c r="I138" s="1">
        <v>0</v>
      </c>
      <c r="J138" s="1">
        <v>0.99</v>
      </c>
      <c r="K138" s="1">
        <v>0.9</v>
      </c>
      <c r="L138" s="1">
        <v>0.89</v>
      </c>
      <c r="M138" s="1">
        <v>0.86</v>
      </c>
      <c r="N138" s="1">
        <f>(Occurrence!B$3-D138)^2</f>
        <v>0.98009999999999997</v>
      </c>
      <c r="O138" s="1">
        <f>(Occurrence!C$3-E138)^2</f>
        <v>0.98009999999999997</v>
      </c>
      <c r="P138" s="1">
        <f>(Occurrence!D$3-F138)^2</f>
        <v>9.999999999999995E-3</v>
      </c>
      <c r="Q138" s="1">
        <f>(Occurrence!E$3-G138)^2</f>
        <v>1.0000000000000018E-4</v>
      </c>
      <c r="R138" s="1">
        <f>(Occurrence!F$3-H138)^2</f>
        <v>0.73959999999999992</v>
      </c>
      <c r="S138" s="1">
        <f>(Occurrence!G$3-I138)^2</f>
        <v>0</v>
      </c>
      <c r="T138" s="1">
        <f>(Occurrence!H$3-J138)^2</f>
        <v>1.0000000000000018E-4</v>
      </c>
      <c r="U138" s="1">
        <f>(Occurrence!I$3-K138)^2</f>
        <v>9.999999999999995E-3</v>
      </c>
      <c r="V138" s="1">
        <f>(Occurrence!J$3-L138)^2</f>
        <v>0.79210000000000003</v>
      </c>
      <c r="W138" s="1">
        <f>(Occurrence!K$3-M138)^2</f>
        <v>1.9600000000000003E-2</v>
      </c>
      <c r="X138" s="1">
        <f t="shared" si="25"/>
        <v>3.5316999999999998</v>
      </c>
      <c r="Z138" s="1">
        <f t="shared" si="26"/>
        <v>1</v>
      </c>
      <c r="AA138" s="1">
        <f t="shared" si="27"/>
        <v>1</v>
      </c>
      <c r="AB138" s="1">
        <f t="shared" si="28"/>
        <v>1</v>
      </c>
      <c r="AC138" s="1">
        <f t="shared" si="29"/>
        <v>1</v>
      </c>
      <c r="AD138" s="1">
        <f t="shared" si="30"/>
        <v>1</v>
      </c>
      <c r="AE138" s="1">
        <f t="shared" si="31"/>
        <v>0</v>
      </c>
      <c r="AF138" s="1">
        <f t="shared" si="32"/>
        <v>1</v>
      </c>
      <c r="AG138" s="1">
        <f t="shared" si="33"/>
        <v>1</v>
      </c>
      <c r="AH138" s="1">
        <f t="shared" si="34"/>
        <v>1</v>
      </c>
      <c r="AI138" s="1">
        <f t="shared" si="35"/>
        <v>1</v>
      </c>
      <c r="AJ138" s="1">
        <f>SUMXMY2(Z138:AI138, Occurrence!B$3:K$3)</f>
        <v>4</v>
      </c>
      <c r="AK138" s="1">
        <f t="shared" si="36"/>
        <v>6</v>
      </c>
    </row>
    <row r="139" spans="1:37">
      <c r="A139" s="1">
        <v>138</v>
      </c>
      <c r="B139" s="1">
        <v>4252137</v>
      </c>
      <c r="C139" s="6">
        <v>805</v>
      </c>
      <c r="D139" s="1">
        <v>0.4</v>
      </c>
      <c r="E139" s="1">
        <v>0.3</v>
      </c>
      <c r="F139" s="1">
        <v>0.6</v>
      </c>
      <c r="G139" s="1">
        <v>0.7</v>
      </c>
      <c r="H139" s="1">
        <v>0.9</v>
      </c>
      <c r="I139" s="1">
        <v>0.8</v>
      </c>
      <c r="J139" s="1">
        <v>0.99</v>
      </c>
      <c r="K139" s="1">
        <v>0.2</v>
      </c>
      <c r="L139" s="1">
        <v>0.1</v>
      </c>
      <c r="M139" s="1">
        <v>0.2</v>
      </c>
      <c r="N139" s="1">
        <f>(Occurrence!B$3-D139)^2</f>
        <v>0.16000000000000003</v>
      </c>
      <c r="O139" s="1">
        <f>(Occurrence!C$3-E139)^2</f>
        <v>0.09</v>
      </c>
      <c r="P139" s="1">
        <f>(Occurrence!D$3-F139)^2</f>
        <v>0.16000000000000003</v>
      </c>
      <c r="Q139" s="1">
        <f>(Occurrence!E$3-G139)^2</f>
        <v>9.0000000000000024E-2</v>
      </c>
      <c r="R139" s="1">
        <f>(Occurrence!F$3-H139)^2</f>
        <v>0.81</v>
      </c>
      <c r="S139" s="1">
        <f>(Occurrence!G$3-I139)^2</f>
        <v>0.64000000000000012</v>
      </c>
      <c r="T139" s="1">
        <f>(Occurrence!H$3-J139)^2</f>
        <v>1.0000000000000018E-4</v>
      </c>
      <c r="U139" s="1">
        <f>(Occurrence!I$3-K139)^2</f>
        <v>0.64000000000000012</v>
      </c>
      <c r="V139" s="1">
        <f>(Occurrence!J$3-L139)^2</f>
        <v>1.0000000000000002E-2</v>
      </c>
      <c r="W139" s="1">
        <f>(Occurrence!K$3-M139)^2</f>
        <v>0.64000000000000012</v>
      </c>
      <c r="X139" s="1">
        <f t="shared" si="25"/>
        <v>3.2401000000000004</v>
      </c>
      <c r="Z139" s="1">
        <f t="shared" si="26"/>
        <v>0</v>
      </c>
      <c r="AA139" s="1">
        <f t="shared" si="27"/>
        <v>0</v>
      </c>
      <c r="AB139" s="1">
        <f t="shared" si="28"/>
        <v>1</v>
      </c>
      <c r="AC139" s="1">
        <f t="shared" si="29"/>
        <v>1</v>
      </c>
      <c r="AD139" s="1">
        <f t="shared" si="30"/>
        <v>1</v>
      </c>
      <c r="AE139" s="1">
        <f t="shared" si="31"/>
        <v>1</v>
      </c>
      <c r="AF139" s="1">
        <f t="shared" si="32"/>
        <v>1</v>
      </c>
      <c r="AG139" s="1">
        <f t="shared" si="33"/>
        <v>0</v>
      </c>
      <c r="AH139" s="1">
        <f t="shared" si="34"/>
        <v>0</v>
      </c>
      <c r="AI139" s="1">
        <f t="shared" si="35"/>
        <v>0</v>
      </c>
      <c r="AJ139" s="1">
        <f>SUMXMY2(Z139:AI139, Occurrence!B$3:K$3)</f>
        <v>4</v>
      </c>
      <c r="AK139" s="1">
        <f t="shared" si="36"/>
        <v>6</v>
      </c>
    </row>
    <row r="140" spans="1:37">
      <c r="A140" s="1">
        <v>139</v>
      </c>
      <c r="B140" s="1">
        <v>4252138</v>
      </c>
      <c r="C140" s="6">
        <v>805</v>
      </c>
      <c r="D140" s="1">
        <v>0.2</v>
      </c>
      <c r="E140" s="1">
        <v>0.45</v>
      </c>
      <c r="F140" s="1">
        <v>0.2</v>
      </c>
      <c r="G140" s="1">
        <v>0.5</v>
      </c>
      <c r="H140" s="1">
        <v>0.6</v>
      </c>
      <c r="I140" s="1">
        <v>0.14000000000000001</v>
      </c>
      <c r="J140" s="1">
        <v>0.95</v>
      </c>
      <c r="K140" s="1">
        <v>0.9</v>
      </c>
      <c r="L140" s="1">
        <v>0.3</v>
      </c>
      <c r="M140" s="1">
        <v>0.7</v>
      </c>
      <c r="N140" s="1">
        <f>(Occurrence!B$3-D140)^2</f>
        <v>4.0000000000000008E-2</v>
      </c>
      <c r="O140" s="1">
        <f>(Occurrence!C$3-E140)^2</f>
        <v>0.20250000000000001</v>
      </c>
      <c r="P140" s="1">
        <f>(Occurrence!D$3-F140)^2</f>
        <v>0.64000000000000012</v>
      </c>
      <c r="Q140" s="1">
        <f>(Occurrence!E$3-G140)^2</f>
        <v>0.25</v>
      </c>
      <c r="R140" s="1">
        <f>(Occurrence!F$3-H140)^2</f>
        <v>0.36</v>
      </c>
      <c r="S140" s="1">
        <f>(Occurrence!G$3-I140)^2</f>
        <v>1.9600000000000003E-2</v>
      </c>
      <c r="T140" s="1">
        <f>(Occurrence!H$3-J140)^2</f>
        <v>2.5000000000000044E-3</v>
      </c>
      <c r="U140" s="1">
        <f>(Occurrence!I$3-K140)^2</f>
        <v>9.999999999999995E-3</v>
      </c>
      <c r="V140" s="1">
        <f>(Occurrence!J$3-L140)^2</f>
        <v>0.09</v>
      </c>
      <c r="W140" s="1">
        <f>(Occurrence!K$3-M140)^2</f>
        <v>9.0000000000000024E-2</v>
      </c>
      <c r="X140" s="1">
        <f t="shared" si="25"/>
        <v>1.7046000000000003</v>
      </c>
      <c r="Z140" s="1">
        <f t="shared" si="26"/>
        <v>0</v>
      </c>
      <c r="AA140" s="1">
        <f t="shared" si="27"/>
        <v>0</v>
      </c>
      <c r="AB140" s="1">
        <f t="shared" si="28"/>
        <v>0</v>
      </c>
      <c r="AC140" s="1">
        <f t="shared" si="29"/>
        <v>1</v>
      </c>
      <c r="AD140" s="1">
        <f t="shared" si="30"/>
        <v>1</v>
      </c>
      <c r="AE140" s="1">
        <f t="shared" si="31"/>
        <v>0</v>
      </c>
      <c r="AF140" s="1">
        <f t="shared" si="32"/>
        <v>1</v>
      </c>
      <c r="AG140" s="1">
        <f t="shared" si="33"/>
        <v>1</v>
      </c>
      <c r="AH140" s="1">
        <f t="shared" si="34"/>
        <v>0</v>
      </c>
      <c r="AI140" s="1">
        <f t="shared" si="35"/>
        <v>1</v>
      </c>
      <c r="AJ140" s="1">
        <f>SUMXMY2(Z140:AI140, Occurrence!B$3:K$3)</f>
        <v>2</v>
      </c>
      <c r="AK140" s="1">
        <f t="shared" si="36"/>
        <v>8</v>
      </c>
    </row>
    <row r="141" spans="1:37">
      <c r="A141" s="1">
        <v>140</v>
      </c>
      <c r="B141" s="1">
        <v>4252139</v>
      </c>
      <c r="C141" s="6">
        <v>806</v>
      </c>
      <c r="D141" s="1">
        <v>1</v>
      </c>
      <c r="E141" s="1">
        <v>0.5</v>
      </c>
      <c r="F141" s="1">
        <v>0.8</v>
      </c>
      <c r="G141" s="1">
        <v>1</v>
      </c>
      <c r="H141" s="1">
        <v>0.6</v>
      </c>
      <c r="I141" s="1">
        <v>0.9</v>
      </c>
      <c r="J141" s="1">
        <v>0.4</v>
      </c>
      <c r="K141" s="1">
        <v>1</v>
      </c>
      <c r="L141" s="1">
        <v>0</v>
      </c>
      <c r="M141" s="1">
        <v>0.7</v>
      </c>
      <c r="N141" s="1">
        <f>(Occurrence!B$3-D141)^2</f>
        <v>1</v>
      </c>
      <c r="O141" s="1">
        <f>(Occurrence!C$3-E141)^2</f>
        <v>0.25</v>
      </c>
      <c r="P141" s="1">
        <f>(Occurrence!D$3-F141)^2</f>
        <v>3.999999999999998E-2</v>
      </c>
      <c r="Q141" s="1">
        <f>(Occurrence!E$3-G141)^2</f>
        <v>0</v>
      </c>
      <c r="R141" s="1">
        <f>(Occurrence!F$3-H141)^2</f>
        <v>0.36</v>
      </c>
      <c r="S141" s="1">
        <f>(Occurrence!G$3-I141)^2</f>
        <v>0.81</v>
      </c>
      <c r="T141" s="1">
        <f>(Occurrence!H$3-J141)^2</f>
        <v>0.36</v>
      </c>
      <c r="U141" s="1">
        <f>(Occurrence!I$3-K141)^2</f>
        <v>0</v>
      </c>
      <c r="V141" s="1">
        <f>(Occurrence!J$3-L141)^2</f>
        <v>0</v>
      </c>
      <c r="W141" s="1">
        <f>(Occurrence!K$3-M141)^2</f>
        <v>9.0000000000000024E-2</v>
      </c>
      <c r="X141" s="1">
        <f t="shared" si="25"/>
        <v>2.9099999999999997</v>
      </c>
      <c r="Z141" s="1">
        <f t="shared" si="26"/>
        <v>1</v>
      </c>
      <c r="AA141" s="1">
        <f t="shared" si="27"/>
        <v>1</v>
      </c>
      <c r="AB141" s="1">
        <f t="shared" si="28"/>
        <v>1</v>
      </c>
      <c r="AC141" s="1">
        <f t="shared" si="29"/>
        <v>1</v>
      </c>
      <c r="AD141" s="1">
        <f t="shared" si="30"/>
        <v>1</v>
      </c>
      <c r="AE141" s="1">
        <f t="shared" si="31"/>
        <v>1</v>
      </c>
      <c r="AF141" s="1">
        <f t="shared" si="32"/>
        <v>0</v>
      </c>
      <c r="AG141" s="1">
        <f t="shared" si="33"/>
        <v>1</v>
      </c>
      <c r="AH141" s="1">
        <f t="shared" si="34"/>
        <v>0</v>
      </c>
      <c r="AI141" s="1">
        <f t="shared" si="35"/>
        <v>1</v>
      </c>
      <c r="AJ141" s="1">
        <f>SUMXMY2(Z141:AI141, Occurrence!B$3:K$3)</f>
        <v>5</v>
      </c>
      <c r="AK141" s="1">
        <f t="shared" si="36"/>
        <v>5</v>
      </c>
    </row>
    <row r="142" spans="1:37">
      <c r="A142" s="1">
        <v>141</v>
      </c>
      <c r="B142" s="1">
        <v>4252140</v>
      </c>
      <c r="C142" s="6">
        <v>806</v>
      </c>
      <c r="D142" s="1">
        <v>0.15</v>
      </c>
      <c r="E142" s="1">
        <v>0.85</v>
      </c>
      <c r="F142" s="1">
        <v>0.5</v>
      </c>
      <c r="G142" s="1">
        <v>0.75</v>
      </c>
      <c r="H142" s="1">
        <v>0</v>
      </c>
      <c r="I142" s="1">
        <v>0.83</v>
      </c>
      <c r="J142" s="1">
        <v>0.98</v>
      </c>
      <c r="K142" s="1">
        <v>0.11</v>
      </c>
      <c r="L142" s="1">
        <v>0.54</v>
      </c>
      <c r="M142" s="1">
        <v>0.32</v>
      </c>
      <c r="N142" s="1">
        <f>(Occurrence!B$3-D142)^2</f>
        <v>2.2499999999999999E-2</v>
      </c>
      <c r="O142" s="1">
        <f>(Occurrence!C$3-E142)^2</f>
        <v>0.72249999999999992</v>
      </c>
      <c r="P142" s="1">
        <f>(Occurrence!D$3-F142)^2</f>
        <v>0.25</v>
      </c>
      <c r="Q142" s="1">
        <f>(Occurrence!E$3-G142)^2</f>
        <v>6.25E-2</v>
      </c>
      <c r="R142" s="1">
        <f>(Occurrence!F$3-H142)^2</f>
        <v>0</v>
      </c>
      <c r="S142" s="1">
        <f>(Occurrence!G$3-I142)^2</f>
        <v>0.68889999999999996</v>
      </c>
      <c r="T142" s="1">
        <f>(Occurrence!H$3-J142)^2</f>
        <v>4.0000000000000072E-4</v>
      </c>
      <c r="U142" s="1">
        <f>(Occurrence!I$3-K142)^2</f>
        <v>0.79210000000000003</v>
      </c>
      <c r="V142" s="1">
        <f>(Occurrence!J$3-L142)^2</f>
        <v>0.29160000000000003</v>
      </c>
      <c r="W142" s="1">
        <f>(Occurrence!K$3-M142)^2</f>
        <v>0.46239999999999992</v>
      </c>
      <c r="X142" s="1">
        <f t="shared" si="25"/>
        <v>3.2928999999999995</v>
      </c>
      <c r="Z142" s="1">
        <f t="shared" si="26"/>
        <v>0</v>
      </c>
      <c r="AA142" s="1">
        <f t="shared" si="27"/>
        <v>1</v>
      </c>
      <c r="AB142" s="1">
        <f t="shared" si="28"/>
        <v>1</v>
      </c>
      <c r="AC142" s="1">
        <f t="shared" si="29"/>
        <v>1</v>
      </c>
      <c r="AD142" s="1">
        <f t="shared" si="30"/>
        <v>0</v>
      </c>
      <c r="AE142" s="1">
        <f t="shared" si="31"/>
        <v>1</v>
      </c>
      <c r="AF142" s="1">
        <f t="shared" si="32"/>
        <v>1</v>
      </c>
      <c r="AG142" s="1">
        <f t="shared" si="33"/>
        <v>0</v>
      </c>
      <c r="AH142" s="1">
        <f t="shared" si="34"/>
        <v>1</v>
      </c>
      <c r="AI142" s="1">
        <f t="shared" si="35"/>
        <v>0</v>
      </c>
      <c r="AJ142" s="1">
        <f>SUMXMY2(Z142:AI142, Occurrence!B$3:K$3)</f>
        <v>5</v>
      </c>
      <c r="AK142" s="1">
        <f t="shared" si="36"/>
        <v>5</v>
      </c>
    </row>
    <row r="143" spans="1:37">
      <c r="A143" s="1">
        <v>142</v>
      </c>
      <c r="B143" s="1">
        <v>4252141</v>
      </c>
      <c r="C143" s="6">
        <v>806</v>
      </c>
      <c r="D143" s="1">
        <v>0.33</v>
      </c>
      <c r="E143" s="1">
        <v>0.95</v>
      </c>
      <c r="F143" s="1">
        <v>0.66</v>
      </c>
      <c r="G143" s="1">
        <v>0.05</v>
      </c>
      <c r="H143" s="1">
        <v>0.13</v>
      </c>
      <c r="I143" s="1">
        <v>0.23</v>
      </c>
      <c r="J143" s="1">
        <v>0.06</v>
      </c>
      <c r="K143" s="1">
        <v>0.78</v>
      </c>
      <c r="L143" s="1">
        <v>0.86</v>
      </c>
      <c r="M143" s="1">
        <v>0.82</v>
      </c>
      <c r="N143" s="1">
        <f>(Occurrence!B$3-D143)^2</f>
        <v>0.10890000000000001</v>
      </c>
      <c r="O143" s="1">
        <f>(Occurrence!C$3-E143)^2</f>
        <v>0.90249999999999997</v>
      </c>
      <c r="P143" s="1">
        <f>(Occurrence!D$3-F143)^2</f>
        <v>0.11559999999999998</v>
      </c>
      <c r="Q143" s="1">
        <f>(Occurrence!E$3-G143)^2</f>
        <v>0.90249999999999997</v>
      </c>
      <c r="R143" s="1">
        <f>(Occurrence!F$3-H143)^2</f>
        <v>1.6900000000000002E-2</v>
      </c>
      <c r="S143" s="1">
        <f>(Occurrence!G$3-I143)^2</f>
        <v>5.2900000000000003E-2</v>
      </c>
      <c r="T143" s="1">
        <f>(Occurrence!H$3-J143)^2</f>
        <v>0.88359999999999994</v>
      </c>
      <c r="U143" s="1">
        <f>(Occurrence!I$3-K143)^2</f>
        <v>4.8399999999999992E-2</v>
      </c>
      <c r="V143" s="1">
        <f>(Occurrence!J$3-L143)^2</f>
        <v>0.73959999999999992</v>
      </c>
      <c r="W143" s="1">
        <f>(Occurrence!K$3-M143)^2</f>
        <v>3.2400000000000019E-2</v>
      </c>
      <c r="X143" s="1">
        <f t="shared" si="25"/>
        <v>3.8033000000000001</v>
      </c>
      <c r="Z143" s="1">
        <f t="shared" si="26"/>
        <v>0</v>
      </c>
      <c r="AA143" s="1">
        <f t="shared" si="27"/>
        <v>1</v>
      </c>
      <c r="AB143" s="1">
        <f t="shared" si="28"/>
        <v>1</v>
      </c>
      <c r="AC143" s="1">
        <f t="shared" si="29"/>
        <v>0</v>
      </c>
      <c r="AD143" s="1">
        <f t="shared" si="30"/>
        <v>0</v>
      </c>
      <c r="AE143" s="1">
        <f t="shared" si="31"/>
        <v>0</v>
      </c>
      <c r="AF143" s="1">
        <f t="shared" si="32"/>
        <v>0</v>
      </c>
      <c r="AG143" s="1">
        <f t="shared" si="33"/>
        <v>1</v>
      </c>
      <c r="AH143" s="1">
        <f t="shared" si="34"/>
        <v>1</v>
      </c>
      <c r="AI143" s="1">
        <f t="shared" si="35"/>
        <v>1</v>
      </c>
      <c r="AJ143" s="1">
        <f>SUMXMY2(Z143:AI143, Occurrence!B$3:K$3)</f>
        <v>4</v>
      </c>
      <c r="AK143" s="1">
        <f t="shared" si="36"/>
        <v>6</v>
      </c>
    </row>
    <row r="144" spans="1:37">
      <c r="A144" s="1">
        <v>143</v>
      </c>
      <c r="B144" s="1">
        <v>4252142</v>
      </c>
      <c r="C144" s="6">
        <v>806</v>
      </c>
      <c r="D144" s="1">
        <v>0.3</v>
      </c>
      <c r="E144" s="1">
        <v>0.1</v>
      </c>
      <c r="F144" s="1">
        <v>0.7</v>
      </c>
      <c r="G144" s="1">
        <v>0.9</v>
      </c>
      <c r="H144" s="1">
        <v>0</v>
      </c>
      <c r="I144" s="1">
        <v>0.8</v>
      </c>
      <c r="J144" s="1">
        <v>0.99</v>
      </c>
      <c r="K144" s="1">
        <v>0.7</v>
      </c>
      <c r="L144" s="1">
        <v>0.1</v>
      </c>
      <c r="M144" s="1">
        <v>0.7</v>
      </c>
      <c r="N144" s="1">
        <f>(Occurrence!B$3-D144)^2</f>
        <v>0.09</v>
      </c>
      <c r="O144" s="1">
        <f>(Occurrence!C$3-E144)^2</f>
        <v>1.0000000000000002E-2</v>
      </c>
      <c r="P144" s="1">
        <f>(Occurrence!D$3-F144)^2</f>
        <v>9.0000000000000024E-2</v>
      </c>
      <c r="Q144" s="1">
        <f>(Occurrence!E$3-G144)^2</f>
        <v>9.999999999999995E-3</v>
      </c>
      <c r="R144" s="1">
        <f>(Occurrence!F$3-H144)^2</f>
        <v>0</v>
      </c>
      <c r="S144" s="1">
        <f>(Occurrence!G$3-I144)^2</f>
        <v>0.64000000000000012</v>
      </c>
      <c r="T144" s="1">
        <f>(Occurrence!H$3-J144)^2</f>
        <v>1.0000000000000018E-4</v>
      </c>
      <c r="U144" s="1">
        <f>(Occurrence!I$3-K144)^2</f>
        <v>9.0000000000000024E-2</v>
      </c>
      <c r="V144" s="1">
        <f>(Occurrence!J$3-L144)^2</f>
        <v>1.0000000000000002E-2</v>
      </c>
      <c r="W144" s="1">
        <f>(Occurrence!K$3-M144)^2</f>
        <v>9.0000000000000024E-2</v>
      </c>
      <c r="X144" s="1">
        <f t="shared" si="25"/>
        <v>1.0301000000000002</v>
      </c>
      <c r="Z144" s="1">
        <f t="shared" si="26"/>
        <v>0</v>
      </c>
      <c r="AA144" s="1">
        <f t="shared" si="27"/>
        <v>0</v>
      </c>
      <c r="AB144" s="1">
        <f t="shared" si="28"/>
        <v>1</v>
      </c>
      <c r="AC144" s="1">
        <f t="shared" si="29"/>
        <v>1</v>
      </c>
      <c r="AD144" s="1">
        <f t="shared" si="30"/>
        <v>0</v>
      </c>
      <c r="AE144" s="1">
        <f t="shared" si="31"/>
        <v>1</v>
      </c>
      <c r="AF144" s="1">
        <f t="shared" si="32"/>
        <v>1</v>
      </c>
      <c r="AG144" s="1">
        <f t="shared" si="33"/>
        <v>1</v>
      </c>
      <c r="AH144" s="1">
        <f t="shared" si="34"/>
        <v>0</v>
      </c>
      <c r="AI144" s="1">
        <f t="shared" si="35"/>
        <v>1</v>
      </c>
      <c r="AJ144" s="1">
        <f>SUMXMY2(Z144:AI144, Occurrence!B$3:K$3)</f>
        <v>1</v>
      </c>
      <c r="AK144" s="1">
        <f t="shared" si="36"/>
        <v>9</v>
      </c>
    </row>
    <row r="145" spans="1:37">
      <c r="A145" s="1">
        <v>144</v>
      </c>
      <c r="B145" s="1">
        <v>4252143</v>
      </c>
      <c r="C145" s="6">
        <v>806</v>
      </c>
      <c r="D145" s="1">
        <v>0.4</v>
      </c>
      <c r="E145" s="1">
        <v>0.23</v>
      </c>
      <c r="F145" s="1">
        <v>0.21</v>
      </c>
      <c r="G145" s="1">
        <v>0.15</v>
      </c>
      <c r="H145" s="1">
        <v>0.09</v>
      </c>
      <c r="I145" s="1">
        <v>0.03</v>
      </c>
      <c r="J145" s="1">
        <v>0.34</v>
      </c>
      <c r="K145" s="1">
        <v>0.65</v>
      </c>
      <c r="L145" s="1">
        <v>0.88</v>
      </c>
      <c r="M145" s="1">
        <v>0.55000000000000004</v>
      </c>
      <c r="N145" s="1">
        <f>(Occurrence!B$3-D145)^2</f>
        <v>0.16000000000000003</v>
      </c>
      <c r="O145" s="1">
        <f>(Occurrence!C$3-E145)^2</f>
        <v>5.2900000000000003E-2</v>
      </c>
      <c r="P145" s="1">
        <f>(Occurrence!D$3-F145)^2</f>
        <v>0.6241000000000001</v>
      </c>
      <c r="Q145" s="1">
        <f>(Occurrence!E$3-G145)^2</f>
        <v>0.72249999999999992</v>
      </c>
      <c r="R145" s="1">
        <f>(Occurrence!F$3-H145)^2</f>
        <v>8.0999999999999996E-3</v>
      </c>
      <c r="S145" s="1">
        <f>(Occurrence!G$3-I145)^2</f>
        <v>8.9999999999999998E-4</v>
      </c>
      <c r="T145" s="1">
        <f>(Occurrence!H$3-J145)^2</f>
        <v>0.43559999999999988</v>
      </c>
      <c r="U145" s="1">
        <f>(Occurrence!I$3-K145)^2</f>
        <v>0.12249999999999998</v>
      </c>
      <c r="V145" s="1">
        <f>(Occurrence!J$3-L145)^2</f>
        <v>0.77439999999999998</v>
      </c>
      <c r="W145" s="1">
        <f>(Occurrence!K$3-M145)^2</f>
        <v>0.20249999999999996</v>
      </c>
      <c r="X145" s="1">
        <f t="shared" si="25"/>
        <v>3.1034999999999999</v>
      </c>
      <c r="Z145" s="1">
        <f t="shared" si="26"/>
        <v>0</v>
      </c>
      <c r="AA145" s="1">
        <f t="shared" si="27"/>
        <v>0</v>
      </c>
      <c r="AB145" s="1">
        <f t="shared" si="28"/>
        <v>0</v>
      </c>
      <c r="AC145" s="1">
        <f t="shared" si="29"/>
        <v>0</v>
      </c>
      <c r="AD145" s="1">
        <f t="shared" si="30"/>
        <v>0</v>
      </c>
      <c r="AE145" s="1">
        <f t="shared" si="31"/>
        <v>0</v>
      </c>
      <c r="AF145" s="1">
        <f t="shared" si="32"/>
        <v>0</v>
      </c>
      <c r="AG145" s="1">
        <f t="shared" si="33"/>
        <v>1</v>
      </c>
      <c r="AH145" s="1">
        <f t="shared" si="34"/>
        <v>1</v>
      </c>
      <c r="AI145" s="1">
        <f t="shared" si="35"/>
        <v>1</v>
      </c>
      <c r="AJ145" s="1">
        <f>SUMXMY2(Z145:AI145, Occurrence!B$3:K$3)</f>
        <v>4</v>
      </c>
      <c r="AK145" s="1">
        <f t="shared" si="36"/>
        <v>6</v>
      </c>
    </row>
    <row r="146" spans="1:37">
      <c r="A146" s="1">
        <v>145</v>
      </c>
      <c r="B146" s="1">
        <v>4252144</v>
      </c>
      <c r="C146" s="6">
        <v>806</v>
      </c>
      <c r="D146" s="1">
        <v>0.49990000000000001</v>
      </c>
      <c r="E146" s="1">
        <v>0.3972</v>
      </c>
      <c r="F146" s="1">
        <v>0.50009999999999999</v>
      </c>
      <c r="G146" s="1">
        <v>0.6028</v>
      </c>
      <c r="H146" s="1">
        <v>1</v>
      </c>
      <c r="I146" s="1">
        <v>0.5887</v>
      </c>
      <c r="J146" s="1">
        <v>0.15040000000000001</v>
      </c>
      <c r="K146" s="1">
        <v>0.30449999999999999</v>
      </c>
      <c r="L146" s="1">
        <v>0.89349999999999996</v>
      </c>
      <c r="M146" s="1">
        <v>0.45660000000000001</v>
      </c>
      <c r="N146" s="1">
        <f>(Occurrence!B$3-D146)^2</f>
        <v>0.24990001000000001</v>
      </c>
      <c r="O146" s="1">
        <f>(Occurrence!C$3-E146)^2</f>
        <v>0.15776783999999999</v>
      </c>
      <c r="P146" s="1">
        <f>(Occurrence!D$3-F146)^2</f>
        <v>0.24990001000000001</v>
      </c>
      <c r="Q146" s="1">
        <f>(Occurrence!E$3-G146)^2</f>
        <v>0.15776783999999999</v>
      </c>
      <c r="R146" s="1">
        <f>(Occurrence!F$3-H146)^2</f>
        <v>1</v>
      </c>
      <c r="S146" s="1">
        <f>(Occurrence!G$3-I146)^2</f>
        <v>0.34656768999999998</v>
      </c>
      <c r="T146" s="1">
        <f>(Occurrence!H$3-J146)^2</f>
        <v>0.72182016000000004</v>
      </c>
      <c r="U146" s="1">
        <f>(Occurrence!I$3-K146)^2</f>
        <v>0.48372025000000002</v>
      </c>
      <c r="V146" s="1">
        <f>(Occurrence!J$3-L146)^2</f>
        <v>0.79834224999999992</v>
      </c>
      <c r="W146" s="1">
        <f>(Occurrence!K$3-M146)^2</f>
        <v>0.29528356</v>
      </c>
      <c r="X146" s="1">
        <f t="shared" si="25"/>
        <v>4.46106961</v>
      </c>
      <c r="Z146" s="1">
        <f t="shared" si="26"/>
        <v>0</v>
      </c>
      <c r="AA146" s="1">
        <f t="shared" si="27"/>
        <v>0</v>
      </c>
      <c r="AB146" s="1">
        <f t="shared" si="28"/>
        <v>1</v>
      </c>
      <c r="AC146" s="1">
        <f t="shared" si="29"/>
        <v>1</v>
      </c>
      <c r="AD146" s="1">
        <f t="shared" si="30"/>
        <v>1</v>
      </c>
      <c r="AE146" s="1">
        <f t="shared" si="31"/>
        <v>1</v>
      </c>
      <c r="AF146" s="1">
        <f t="shared" si="32"/>
        <v>0</v>
      </c>
      <c r="AG146" s="1">
        <f t="shared" si="33"/>
        <v>0</v>
      </c>
      <c r="AH146" s="1">
        <f t="shared" si="34"/>
        <v>1</v>
      </c>
      <c r="AI146" s="1">
        <f t="shared" si="35"/>
        <v>0</v>
      </c>
      <c r="AJ146" s="1">
        <f>SUMXMY2(Z146:AI146, Occurrence!B$3:K$3)</f>
        <v>6</v>
      </c>
      <c r="AK146" s="1">
        <f t="shared" si="36"/>
        <v>4</v>
      </c>
    </row>
    <row r="147" spans="1:37">
      <c r="A147" s="1">
        <v>146</v>
      </c>
      <c r="B147" s="1">
        <v>4252145</v>
      </c>
      <c r="C147" s="6">
        <v>806</v>
      </c>
      <c r="D147" s="1">
        <v>0.09</v>
      </c>
      <c r="E147" s="1">
        <v>0.01</v>
      </c>
      <c r="F147" s="1">
        <v>0.06</v>
      </c>
      <c r="G147" s="1">
        <v>0.7</v>
      </c>
      <c r="H147" s="1">
        <v>2.7E-2</v>
      </c>
      <c r="I147" s="1">
        <v>0.24</v>
      </c>
      <c r="J147" s="1">
        <v>0.37</v>
      </c>
      <c r="K147" s="1">
        <v>0.15</v>
      </c>
      <c r="L147" s="1">
        <v>0.47</v>
      </c>
      <c r="M147" s="1">
        <v>0.39</v>
      </c>
      <c r="N147" s="1">
        <f>(Occurrence!B$3-D147)^2</f>
        <v>8.0999999999999996E-3</v>
      </c>
      <c r="O147" s="1">
        <f>(Occurrence!C$3-E147)^2</f>
        <v>1E-4</v>
      </c>
      <c r="P147" s="1">
        <f>(Occurrence!D$3-F147)^2</f>
        <v>0.88359999999999994</v>
      </c>
      <c r="Q147" s="1">
        <f>(Occurrence!E$3-G147)^2</f>
        <v>9.0000000000000024E-2</v>
      </c>
      <c r="R147" s="1">
        <f>(Occurrence!F$3-H147)^2</f>
        <v>7.2899999999999994E-4</v>
      </c>
      <c r="S147" s="1">
        <f>(Occurrence!G$3-I147)^2</f>
        <v>5.7599999999999998E-2</v>
      </c>
      <c r="T147" s="1">
        <f>(Occurrence!H$3-J147)^2</f>
        <v>0.39690000000000003</v>
      </c>
      <c r="U147" s="1">
        <f>(Occurrence!I$3-K147)^2</f>
        <v>0.72249999999999992</v>
      </c>
      <c r="V147" s="1">
        <f>(Occurrence!J$3-L147)^2</f>
        <v>0.22089999999999999</v>
      </c>
      <c r="W147" s="1">
        <f>(Occurrence!K$3-M147)^2</f>
        <v>0.37209999999999999</v>
      </c>
      <c r="X147" s="1">
        <f t="shared" si="25"/>
        <v>2.752529</v>
      </c>
      <c r="Z147" s="1">
        <f t="shared" si="26"/>
        <v>0</v>
      </c>
      <c r="AA147" s="1">
        <f t="shared" si="27"/>
        <v>0</v>
      </c>
      <c r="AB147" s="1">
        <f t="shared" si="28"/>
        <v>0</v>
      </c>
      <c r="AC147" s="1">
        <f t="shared" si="29"/>
        <v>1</v>
      </c>
      <c r="AD147" s="1">
        <f t="shared" si="30"/>
        <v>0</v>
      </c>
      <c r="AE147" s="1">
        <f t="shared" si="31"/>
        <v>0</v>
      </c>
      <c r="AF147" s="1">
        <f t="shared" si="32"/>
        <v>0</v>
      </c>
      <c r="AG147" s="1">
        <f t="shared" si="33"/>
        <v>0</v>
      </c>
      <c r="AH147" s="1">
        <f t="shared" si="34"/>
        <v>0</v>
      </c>
      <c r="AI147" s="1">
        <f t="shared" si="35"/>
        <v>0</v>
      </c>
      <c r="AJ147" s="1">
        <f>SUMXMY2(Z147:AI147, Occurrence!B$3:K$3)</f>
        <v>4</v>
      </c>
      <c r="AK147" s="1">
        <f t="shared" si="36"/>
        <v>6</v>
      </c>
    </row>
    <row r="148" spans="1:37">
      <c r="A148" s="1">
        <v>147</v>
      </c>
      <c r="B148" s="1">
        <v>4252146</v>
      </c>
      <c r="C148" s="6">
        <v>806</v>
      </c>
      <c r="D148" s="1">
        <v>0.35</v>
      </c>
      <c r="E148" s="1">
        <v>0.65</v>
      </c>
      <c r="F148" s="1">
        <v>0.45</v>
      </c>
      <c r="G148" s="1">
        <v>0.85</v>
      </c>
      <c r="H148" s="1">
        <v>0.2</v>
      </c>
      <c r="I148" s="1">
        <v>1.4999999999999999E-2</v>
      </c>
      <c r="J148" s="1">
        <v>0.25</v>
      </c>
      <c r="K148" s="1">
        <v>0.45</v>
      </c>
      <c r="L148" s="1">
        <v>0.32</v>
      </c>
      <c r="M148" s="1">
        <v>0.22</v>
      </c>
      <c r="N148" s="1">
        <f>(Occurrence!B$3-D148)^2</f>
        <v>0.12249999999999998</v>
      </c>
      <c r="O148" s="1">
        <f>(Occurrence!C$3-E148)^2</f>
        <v>0.42250000000000004</v>
      </c>
      <c r="P148" s="1">
        <f>(Occurrence!D$3-F148)^2</f>
        <v>0.30250000000000005</v>
      </c>
      <c r="Q148" s="1">
        <f>(Occurrence!E$3-G148)^2</f>
        <v>2.2500000000000006E-2</v>
      </c>
      <c r="R148" s="1">
        <f>(Occurrence!F$3-H148)^2</f>
        <v>4.0000000000000008E-2</v>
      </c>
      <c r="S148" s="1">
        <f>(Occurrence!G$3-I148)^2</f>
        <v>2.2499999999999999E-4</v>
      </c>
      <c r="T148" s="1">
        <f>(Occurrence!H$3-J148)^2</f>
        <v>0.5625</v>
      </c>
      <c r="U148" s="1">
        <f>(Occurrence!I$3-K148)^2</f>
        <v>0.30250000000000005</v>
      </c>
      <c r="V148" s="1">
        <f>(Occurrence!J$3-L148)^2</f>
        <v>0.1024</v>
      </c>
      <c r="W148" s="1">
        <f>(Occurrence!K$3-M148)^2</f>
        <v>0.60840000000000005</v>
      </c>
      <c r="X148" s="1">
        <f t="shared" si="25"/>
        <v>2.4860250000000002</v>
      </c>
      <c r="Z148" s="1">
        <f t="shared" si="26"/>
        <v>0</v>
      </c>
      <c r="AA148" s="1">
        <f t="shared" si="27"/>
        <v>1</v>
      </c>
      <c r="AB148" s="1">
        <f t="shared" si="28"/>
        <v>0</v>
      </c>
      <c r="AC148" s="1">
        <f t="shared" si="29"/>
        <v>1</v>
      </c>
      <c r="AD148" s="1">
        <f t="shared" si="30"/>
        <v>0</v>
      </c>
      <c r="AE148" s="1">
        <f t="shared" si="31"/>
        <v>0</v>
      </c>
      <c r="AF148" s="1">
        <f t="shared" si="32"/>
        <v>0</v>
      </c>
      <c r="AG148" s="1">
        <f t="shared" si="33"/>
        <v>0</v>
      </c>
      <c r="AH148" s="1">
        <f t="shared" si="34"/>
        <v>0</v>
      </c>
      <c r="AI148" s="1">
        <f t="shared" si="35"/>
        <v>0</v>
      </c>
      <c r="AJ148" s="1">
        <f>SUMXMY2(Z148:AI148, Occurrence!B$3:K$3)</f>
        <v>5</v>
      </c>
      <c r="AK148" s="1">
        <f t="shared" si="36"/>
        <v>5</v>
      </c>
    </row>
    <row r="149" spans="1:37">
      <c r="A149" s="1">
        <v>148</v>
      </c>
      <c r="B149" s="1">
        <v>4252147</v>
      </c>
      <c r="C149" s="6">
        <v>806</v>
      </c>
      <c r="D149" s="1">
        <v>0.08</v>
      </c>
      <c r="E149" s="1">
        <v>0.42</v>
      </c>
      <c r="F149" s="1">
        <v>0.34</v>
      </c>
      <c r="G149" s="1">
        <v>0.16</v>
      </c>
      <c r="H149" s="1">
        <v>0.57999999999999996</v>
      </c>
      <c r="I149" s="1">
        <v>0.25</v>
      </c>
      <c r="J149" s="1">
        <v>0.85</v>
      </c>
      <c r="K149" s="1">
        <v>0.7</v>
      </c>
      <c r="L149" s="1">
        <v>0.8</v>
      </c>
      <c r="M149" s="1">
        <v>0.75</v>
      </c>
      <c r="N149" s="1">
        <f>(Occurrence!B$3-D149)^2</f>
        <v>6.4000000000000003E-3</v>
      </c>
      <c r="O149" s="1">
        <f>(Occurrence!C$3-E149)^2</f>
        <v>0.17639999999999997</v>
      </c>
      <c r="P149" s="1">
        <f>(Occurrence!D$3-F149)^2</f>
        <v>0.43559999999999988</v>
      </c>
      <c r="Q149" s="1">
        <f>(Occurrence!E$3-G149)^2</f>
        <v>0.70559999999999989</v>
      </c>
      <c r="R149" s="1">
        <f>(Occurrence!F$3-H149)^2</f>
        <v>0.33639999999999998</v>
      </c>
      <c r="S149" s="1">
        <f>(Occurrence!G$3-I149)^2</f>
        <v>6.25E-2</v>
      </c>
      <c r="T149" s="1">
        <f>(Occurrence!H$3-J149)^2</f>
        <v>2.2500000000000006E-2</v>
      </c>
      <c r="U149" s="1">
        <f>(Occurrence!I$3-K149)^2</f>
        <v>9.0000000000000024E-2</v>
      </c>
      <c r="V149" s="1">
        <f>(Occurrence!J$3-L149)^2</f>
        <v>0.64000000000000012</v>
      </c>
      <c r="W149" s="1">
        <f>(Occurrence!K$3-M149)^2</f>
        <v>6.25E-2</v>
      </c>
      <c r="X149" s="1">
        <f t="shared" si="25"/>
        <v>2.5379</v>
      </c>
      <c r="Z149" s="1">
        <f t="shared" si="26"/>
        <v>0</v>
      </c>
      <c r="AA149" s="1">
        <f t="shared" si="27"/>
        <v>0</v>
      </c>
      <c r="AB149" s="1">
        <f t="shared" si="28"/>
        <v>0</v>
      </c>
      <c r="AC149" s="1">
        <f t="shared" si="29"/>
        <v>0</v>
      </c>
      <c r="AD149" s="1">
        <f t="shared" si="30"/>
        <v>1</v>
      </c>
      <c r="AE149" s="1">
        <f t="shared" si="31"/>
        <v>0</v>
      </c>
      <c r="AF149" s="1">
        <f t="shared" si="32"/>
        <v>1</v>
      </c>
      <c r="AG149" s="1">
        <f t="shared" si="33"/>
        <v>1</v>
      </c>
      <c r="AH149" s="1">
        <f t="shared" si="34"/>
        <v>1</v>
      </c>
      <c r="AI149" s="1">
        <f t="shared" si="35"/>
        <v>1</v>
      </c>
      <c r="AJ149" s="1">
        <f>SUMXMY2(Z149:AI149, Occurrence!B$3:K$3)</f>
        <v>4</v>
      </c>
      <c r="AK149" s="1">
        <f t="shared" si="36"/>
        <v>6</v>
      </c>
    </row>
    <row r="150" spans="1:37">
      <c r="A150" s="1">
        <v>149</v>
      </c>
      <c r="B150" s="1">
        <v>4252148</v>
      </c>
      <c r="C150" s="6">
        <v>806</v>
      </c>
      <c r="D150" s="1">
        <v>0.08</v>
      </c>
      <c r="E150" s="1">
        <v>0.4</v>
      </c>
      <c r="F150" s="1">
        <v>0.08</v>
      </c>
      <c r="G150" s="1">
        <v>0.4</v>
      </c>
      <c r="H150" s="1">
        <v>0.16</v>
      </c>
      <c r="I150" s="1">
        <v>0.33</v>
      </c>
      <c r="J150" s="1">
        <v>0.55000000000000004</v>
      </c>
      <c r="K150" s="1">
        <v>0.19</v>
      </c>
      <c r="L150" s="1">
        <v>0.83</v>
      </c>
      <c r="M150" s="1">
        <v>0.47</v>
      </c>
      <c r="N150" s="1">
        <f>(Occurrence!B$3-D150)^2</f>
        <v>6.4000000000000003E-3</v>
      </c>
      <c r="O150" s="1">
        <f>(Occurrence!C$3-E150)^2</f>
        <v>0.16000000000000003</v>
      </c>
      <c r="P150" s="1">
        <f>(Occurrence!D$3-F150)^2</f>
        <v>0.84640000000000004</v>
      </c>
      <c r="Q150" s="1">
        <f>(Occurrence!E$3-G150)^2</f>
        <v>0.36</v>
      </c>
      <c r="R150" s="1">
        <f>(Occurrence!F$3-H150)^2</f>
        <v>2.5600000000000001E-2</v>
      </c>
      <c r="S150" s="1">
        <f>(Occurrence!G$3-I150)^2</f>
        <v>0.10890000000000001</v>
      </c>
      <c r="T150" s="1">
        <f>(Occurrence!H$3-J150)^2</f>
        <v>0.20249999999999996</v>
      </c>
      <c r="U150" s="1">
        <f>(Occurrence!I$3-K150)^2</f>
        <v>0.65610000000000013</v>
      </c>
      <c r="V150" s="1">
        <f>(Occurrence!J$3-L150)^2</f>
        <v>0.68889999999999996</v>
      </c>
      <c r="W150" s="1">
        <f>(Occurrence!K$3-M150)^2</f>
        <v>0.28090000000000004</v>
      </c>
      <c r="X150" s="1">
        <f t="shared" si="25"/>
        <v>3.3357000000000001</v>
      </c>
      <c r="Z150" s="1">
        <f t="shared" si="26"/>
        <v>0</v>
      </c>
      <c r="AA150" s="1">
        <f t="shared" si="27"/>
        <v>0</v>
      </c>
      <c r="AB150" s="1">
        <f t="shared" si="28"/>
        <v>0</v>
      </c>
      <c r="AC150" s="1">
        <f t="shared" si="29"/>
        <v>0</v>
      </c>
      <c r="AD150" s="1">
        <f t="shared" si="30"/>
        <v>0</v>
      </c>
      <c r="AE150" s="1">
        <f t="shared" si="31"/>
        <v>0</v>
      </c>
      <c r="AF150" s="1">
        <f t="shared" si="32"/>
        <v>1</v>
      </c>
      <c r="AG150" s="1">
        <f t="shared" si="33"/>
        <v>0</v>
      </c>
      <c r="AH150" s="1">
        <f t="shared" si="34"/>
        <v>1</v>
      </c>
      <c r="AI150" s="1">
        <f t="shared" si="35"/>
        <v>0</v>
      </c>
      <c r="AJ150" s="1">
        <f>SUMXMY2(Z150:AI150, Occurrence!B$3:K$3)</f>
        <v>5</v>
      </c>
      <c r="AK150" s="1">
        <f t="shared" si="36"/>
        <v>5</v>
      </c>
    </row>
    <row r="151" spans="1:37">
      <c r="A151" s="1">
        <v>150</v>
      </c>
      <c r="B151" s="1">
        <v>4252149</v>
      </c>
      <c r="C151" s="6">
        <v>806</v>
      </c>
      <c r="D151" s="1">
        <v>0.15</v>
      </c>
      <c r="E151" s="1">
        <v>0.17</v>
      </c>
      <c r="F151" s="1">
        <v>0.64</v>
      </c>
      <c r="G151" s="1">
        <v>0.78</v>
      </c>
      <c r="H151" s="1">
        <v>0.1</v>
      </c>
      <c r="I151" s="1">
        <v>0.1</v>
      </c>
      <c r="J151" s="1">
        <v>0.1</v>
      </c>
      <c r="K151" s="1">
        <v>0.1</v>
      </c>
      <c r="L151" s="1">
        <v>0.1</v>
      </c>
      <c r="M151" s="1">
        <v>0.1</v>
      </c>
      <c r="N151" s="1">
        <f>(Occurrence!B$3-D151)^2</f>
        <v>2.2499999999999999E-2</v>
      </c>
      <c r="O151" s="1">
        <f>(Occurrence!C$3-E151)^2</f>
        <v>2.8900000000000006E-2</v>
      </c>
      <c r="P151" s="1">
        <f>(Occurrence!D$3-F151)^2</f>
        <v>0.12959999999999999</v>
      </c>
      <c r="Q151" s="1">
        <f>(Occurrence!E$3-G151)^2</f>
        <v>4.8399999999999992E-2</v>
      </c>
      <c r="R151" s="1">
        <f>(Occurrence!F$3-H151)^2</f>
        <v>1.0000000000000002E-2</v>
      </c>
      <c r="S151" s="1">
        <f>(Occurrence!G$3-I151)^2</f>
        <v>1.0000000000000002E-2</v>
      </c>
      <c r="T151" s="1">
        <f>(Occurrence!H$3-J151)^2</f>
        <v>0.81</v>
      </c>
      <c r="U151" s="1">
        <f>(Occurrence!I$3-K151)^2</f>
        <v>0.81</v>
      </c>
      <c r="V151" s="1">
        <f>(Occurrence!J$3-L151)^2</f>
        <v>1.0000000000000002E-2</v>
      </c>
      <c r="W151" s="1">
        <f>(Occurrence!K$3-M151)^2</f>
        <v>0.81</v>
      </c>
      <c r="X151" s="1">
        <f t="shared" si="25"/>
        <v>2.6894</v>
      </c>
      <c r="Z151" s="1">
        <f t="shared" si="26"/>
        <v>0</v>
      </c>
      <c r="AA151" s="1">
        <f t="shared" si="27"/>
        <v>0</v>
      </c>
      <c r="AB151" s="1">
        <f t="shared" si="28"/>
        <v>1</v>
      </c>
      <c r="AC151" s="1">
        <f t="shared" si="29"/>
        <v>1</v>
      </c>
      <c r="AD151" s="1">
        <f t="shared" si="30"/>
        <v>0</v>
      </c>
      <c r="AE151" s="1">
        <f t="shared" si="31"/>
        <v>0</v>
      </c>
      <c r="AF151" s="1">
        <f t="shared" si="32"/>
        <v>0</v>
      </c>
      <c r="AG151" s="1">
        <f t="shared" si="33"/>
        <v>0</v>
      </c>
      <c r="AH151" s="1">
        <f t="shared" si="34"/>
        <v>0</v>
      </c>
      <c r="AI151" s="1">
        <f t="shared" si="35"/>
        <v>0</v>
      </c>
      <c r="AJ151" s="1">
        <f>SUMXMY2(Z151:AI151, Occurrence!B$3:K$3)</f>
        <v>3</v>
      </c>
      <c r="AK151" s="1">
        <f t="shared" si="36"/>
        <v>7</v>
      </c>
    </row>
    <row r="152" spans="1:37">
      <c r="A152" s="1">
        <v>151</v>
      </c>
      <c r="B152" s="1">
        <v>4252150</v>
      </c>
      <c r="C152" s="6">
        <v>806</v>
      </c>
      <c r="D152" s="1">
        <v>0</v>
      </c>
      <c r="E152" s="1">
        <v>0.5</v>
      </c>
      <c r="F152" s="1">
        <v>0.25</v>
      </c>
      <c r="G152" s="1">
        <v>0.8</v>
      </c>
      <c r="H152" s="1">
        <v>0.25</v>
      </c>
      <c r="I152" s="1">
        <v>0.15</v>
      </c>
      <c r="J152" s="1">
        <v>0.2</v>
      </c>
      <c r="K152" s="1">
        <v>0.9</v>
      </c>
      <c r="L152" s="1">
        <v>0.2</v>
      </c>
      <c r="M152" s="1">
        <v>0.15</v>
      </c>
      <c r="N152" s="1">
        <f>(Occurrence!B$3-D152)^2</f>
        <v>0</v>
      </c>
      <c r="O152" s="1">
        <f>(Occurrence!C$3-E152)^2</f>
        <v>0.25</v>
      </c>
      <c r="P152" s="1">
        <f>(Occurrence!D$3-F152)^2</f>
        <v>0.5625</v>
      </c>
      <c r="Q152" s="1">
        <f>(Occurrence!E$3-G152)^2</f>
        <v>3.999999999999998E-2</v>
      </c>
      <c r="R152" s="1">
        <f>(Occurrence!F$3-H152)^2</f>
        <v>6.25E-2</v>
      </c>
      <c r="S152" s="1">
        <f>(Occurrence!G$3-I152)^2</f>
        <v>2.2499999999999999E-2</v>
      </c>
      <c r="T152" s="1">
        <f>(Occurrence!H$3-J152)^2</f>
        <v>0.64000000000000012</v>
      </c>
      <c r="U152" s="1">
        <f>(Occurrence!I$3-K152)^2</f>
        <v>9.999999999999995E-3</v>
      </c>
      <c r="V152" s="1">
        <f>(Occurrence!J$3-L152)^2</f>
        <v>4.0000000000000008E-2</v>
      </c>
      <c r="W152" s="1">
        <f>(Occurrence!K$3-M152)^2</f>
        <v>0.72249999999999992</v>
      </c>
      <c r="X152" s="1">
        <f t="shared" si="25"/>
        <v>2.35</v>
      </c>
      <c r="Z152" s="1">
        <f t="shared" si="26"/>
        <v>0</v>
      </c>
      <c r="AA152" s="1">
        <f t="shared" si="27"/>
        <v>1</v>
      </c>
      <c r="AB152" s="1">
        <f t="shared" si="28"/>
        <v>0</v>
      </c>
      <c r="AC152" s="1">
        <f t="shared" si="29"/>
        <v>1</v>
      </c>
      <c r="AD152" s="1">
        <f t="shared" si="30"/>
        <v>0</v>
      </c>
      <c r="AE152" s="1">
        <f t="shared" si="31"/>
        <v>0</v>
      </c>
      <c r="AF152" s="1">
        <f t="shared" si="32"/>
        <v>0</v>
      </c>
      <c r="AG152" s="1">
        <f t="shared" si="33"/>
        <v>1</v>
      </c>
      <c r="AH152" s="1">
        <f t="shared" si="34"/>
        <v>0</v>
      </c>
      <c r="AI152" s="1">
        <f t="shared" si="35"/>
        <v>0</v>
      </c>
      <c r="AJ152" s="1">
        <f>SUMXMY2(Z152:AI152, Occurrence!B$3:K$3)</f>
        <v>4</v>
      </c>
      <c r="AK152" s="1">
        <f t="shared" si="36"/>
        <v>6</v>
      </c>
    </row>
    <row r="153" spans="1:37">
      <c r="A153" s="1">
        <v>152</v>
      </c>
      <c r="B153" s="1">
        <v>4252151</v>
      </c>
      <c r="C153" s="6">
        <v>806</v>
      </c>
      <c r="D153" s="1">
        <v>0.2</v>
      </c>
      <c r="E153" s="1">
        <v>0.05</v>
      </c>
      <c r="F153" s="1">
        <v>0.8</v>
      </c>
      <c r="G153" s="1">
        <v>0.95</v>
      </c>
      <c r="H153" s="1">
        <v>0</v>
      </c>
      <c r="I153" s="1">
        <v>0.75</v>
      </c>
      <c r="J153" s="1">
        <v>0.98</v>
      </c>
      <c r="K153" s="1">
        <v>0.99</v>
      </c>
      <c r="L153" s="1">
        <v>0.2</v>
      </c>
      <c r="M153" s="1">
        <v>0.4</v>
      </c>
      <c r="N153" s="1">
        <f>(Occurrence!B$3-D153)^2</f>
        <v>4.0000000000000008E-2</v>
      </c>
      <c r="O153" s="1">
        <f>(Occurrence!C$3-E153)^2</f>
        <v>2.5000000000000005E-3</v>
      </c>
      <c r="P153" s="1">
        <f>(Occurrence!D$3-F153)^2</f>
        <v>3.999999999999998E-2</v>
      </c>
      <c r="Q153" s="1">
        <f>(Occurrence!E$3-G153)^2</f>
        <v>2.5000000000000044E-3</v>
      </c>
      <c r="R153" s="1">
        <f>(Occurrence!F$3-H153)^2</f>
        <v>0</v>
      </c>
      <c r="S153" s="1">
        <f>(Occurrence!G$3-I153)^2</f>
        <v>0.5625</v>
      </c>
      <c r="T153" s="1">
        <f>(Occurrence!H$3-J153)^2</f>
        <v>4.0000000000000072E-4</v>
      </c>
      <c r="U153" s="1">
        <f>(Occurrence!I$3-K153)^2</f>
        <v>1.0000000000000018E-4</v>
      </c>
      <c r="V153" s="1">
        <f>(Occurrence!J$3-L153)^2</f>
        <v>4.0000000000000008E-2</v>
      </c>
      <c r="W153" s="1">
        <f>(Occurrence!K$3-M153)^2</f>
        <v>0.36</v>
      </c>
      <c r="X153" s="1">
        <f t="shared" si="25"/>
        <v>1.048</v>
      </c>
      <c r="Z153" s="1">
        <f t="shared" si="26"/>
        <v>0</v>
      </c>
      <c r="AA153" s="1">
        <f t="shared" si="27"/>
        <v>0</v>
      </c>
      <c r="AB153" s="1">
        <f t="shared" si="28"/>
        <v>1</v>
      </c>
      <c r="AC153" s="1">
        <f t="shared" si="29"/>
        <v>1</v>
      </c>
      <c r="AD153" s="1">
        <f t="shared" si="30"/>
        <v>0</v>
      </c>
      <c r="AE153" s="1">
        <f t="shared" si="31"/>
        <v>1</v>
      </c>
      <c r="AF153" s="1">
        <f t="shared" si="32"/>
        <v>1</v>
      </c>
      <c r="AG153" s="1">
        <f t="shared" si="33"/>
        <v>1</v>
      </c>
      <c r="AH153" s="1">
        <f t="shared" si="34"/>
        <v>0</v>
      </c>
      <c r="AI153" s="1">
        <f t="shared" si="35"/>
        <v>0</v>
      </c>
      <c r="AJ153" s="1">
        <f>SUMXMY2(Z153:AI153, Occurrence!B$3:K$3)</f>
        <v>2</v>
      </c>
      <c r="AK153" s="1">
        <f t="shared" si="36"/>
        <v>8</v>
      </c>
    </row>
    <row r="154" spans="1:37">
      <c r="A154" s="1">
        <v>153</v>
      </c>
      <c r="B154" s="1">
        <v>4252152</v>
      </c>
      <c r="C154" s="6">
        <v>806</v>
      </c>
      <c r="D154" s="1">
        <v>0.32</v>
      </c>
      <c r="E154" s="1">
        <v>0.27</v>
      </c>
      <c r="F154" s="1">
        <v>0.63</v>
      </c>
      <c r="G154" s="1">
        <v>0.28999999999999998</v>
      </c>
      <c r="H154" s="1">
        <v>0.49</v>
      </c>
      <c r="I154" s="1">
        <v>0.63</v>
      </c>
      <c r="J154" s="1">
        <v>0.72</v>
      </c>
      <c r="K154" s="1">
        <v>0.23</v>
      </c>
      <c r="L154" s="1">
        <v>0.12</v>
      </c>
      <c r="M154" s="1">
        <v>0.78</v>
      </c>
      <c r="N154" s="1">
        <f>(Occurrence!B$3-D154)^2</f>
        <v>0.1024</v>
      </c>
      <c r="O154" s="1">
        <f>(Occurrence!C$3-E154)^2</f>
        <v>7.2900000000000006E-2</v>
      </c>
      <c r="P154" s="1">
        <f>(Occurrence!D$3-F154)^2</f>
        <v>0.13689999999999999</v>
      </c>
      <c r="Q154" s="1">
        <f>(Occurrence!E$3-G154)^2</f>
        <v>0.50409999999999999</v>
      </c>
      <c r="R154" s="1">
        <f>(Occurrence!F$3-H154)^2</f>
        <v>0.24009999999999998</v>
      </c>
      <c r="S154" s="1">
        <f>(Occurrence!G$3-I154)^2</f>
        <v>0.39690000000000003</v>
      </c>
      <c r="T154" s="1">
        <f>(Occurrence!H$3-J154)^2</f>
        <v>7.8400000000000011E-2</v>
      </c>
      <c r="U154" s="1">
        <f>(Occurrence!I$3-K154)^2</f>
        <v>0.59289999999999998</v>
      </c>
      <c r="V154" s="1">
        <f>(Occurrence!J$3-L154)^2</f>
        <v>1.44E-2</v>
      </c>
      <c r="W154" s="1">
        <f>(Occurrence!K$3-M154)^2</f>
        <v>4.8399999999999992E-2</v>
      </c>
      <c r="X154" s="1">
        <f t="shared" si="25"/>
        <v>2.1874000000000002</v>
      </c>
      <c r="Z154" s="1">
        <f t="shared" si="26"/>
        <v>0</v>
      </c>
      <c r="AA154" s="1">
        <f t="shared" si="27"/>
        <v>0</v>
      </c>
      <c r="AB154" s="1">
        <f t="shared" si="28"/>
        <v>1</v>
      </c>
      <c r="AC154" s="1">
        <f t="shared" si="29"/>
        <v>0</v>
      </c>
      <c r="AD154" s="1">
        <f t="shared" si="30"/>
        <v>0</v>
      </c>
      <c r="AE154" s="1">
        <f t="shared" si="31"/>
        <v>1</v>
      </c>
      <c r="AF154" s="1">
        <f t="shared" si="32"/>
        <v>1</v>
      </c>
      <c r="AG154" s="1">
        <f t="shared" si="33"/>
        <v>0</v>
      </c>
      <c r="AH154" s="1">
        <f t="shared" si="34"/>
        <v>0</v>
      </c>
      <c r="AI154" s="1">
        <f t="shared" si="35"/>
        <v>1</v>
      </c>
      <c r="AJ154" s="1">
        <f>SUMXMY2(Z154:AI154, Occurrence!B$3:K$3)</f>
        <v>3</v>
      </c>
      <c r="AK154" s="1">
        <f t="shared" si="36"/>
        <v>7</v>
      </c>
    </row>
    <row r="155" spans="1:37">
      <c r="A155" s="1">
        <v>154</v>
      </c>
      <c r="B155" s="1">
        <v>4252153</v>
      </c>
      <c r="C155" s="6">
        <v>806</v>
      </c>
      <c r="D155" s="1">
        <v>5.917E-2</v>
      </c>
      <c r="E155" s="1">
        <v>0.31838</v>
      </c>
      <c r="F155" s="1">
        <v>7.0749999999999993E-2</v>
      </c>
      <c r="G155" s="1">
        <v>0.33901999999999999</v>
      </c>
      <c r="H155" s="1">
        <v>0.12992000000000001</v>
      </c>
      <c r="I155" s="1">
        <v>0.85</v>
      </c>
      <c r="J155" s="1">
        <v>0.99</v>
      </c>
      <c r="K155" s="1">
        <v>0.2</v>
      </c>
      <c r="L155" s="1">
        <v>0.15</v>
      </c>
      <c r="M155" s="1">
        <v>0.3</v>
      </c>
      <c r="N155" s="1">
        <f>(Occurrence!B$3-D155)^2</f>
        <v>3.5010889000000002E-3</v>
      </c>
      <c r="O155" s="1">
        <f>(Occurrence!C$3-E155)^2</f>
        <v>0.1013658244</v>
      </c>
      <c r="P155" s="1">
        <f>(Occurrence!D$3-F155)^2</f>
        <v>0.86350556249999999</v>
      </c>
      <c r="Q155" s="1">
        <f>(Occurrence!E$3-G155)^2</f>
        <v>0.43689456040000002</v>
      </c>
      <c r="R155" s="1">
        <f>(Occurrence!F$3-H155)^2</f>
        <v>1.6879206400000003E-2</v>
      </c>
      <c r="S155" s="1">
        <f>(Occurrence!G$3-I155)^2</f>
        <v>0.72249999999999992</v>
      </c>
      <c r="T155" s="1">
        <f>(Occurrence!H$3-J155)^2</f>
        <v>1.0000000000000018E-4</v>
      </c>
      <c r="U155" s="1">
        <f>(Occurrence!I$3-K155)^2</f>
        <v>0.64000000000000012</v>
      </c>
      <c r="V155" s="1">
        <f>(Occurrence!J$3-L155)^2</f>
        <v>2.2499999999999999E-2</v>
      </c>
      <c r="W155" s="1">
        <f>(Occurrence!K$3-M155)^2</f>
        <v>0.48999999999999994</v>
      </c>
      <c r="X155" s="1">
        <f t="shared" si="25"/>
        <v>3.2972462426</v>
      </c>
      <c r="Z155" s="1">
        <f t="shared" si="26"/>
        <v>0</v>
      </c>
      <c r="AA155" s="1">
        <f t="shared" si="27"/>
        <v>0</v>
      </c>
      <c r="AB155" s="1">
        <f t="shared" si="28"/>
        <v>0</v>
      </c>
      <c r="AC155" s="1">
        <f t="shared" si="29"/>
        <v>0</v>
      </c>
      <c r="AD155" s="1">
        <f t="shared" si="30"/>
        <v>0</v>
      </c>
      <c r="AE155" s="1">
        <f t="shared" si="31"/>
        <v>1</v>
      </c>
      <c r="AF155" s="1">
        <f t="shared" si="32"/>
        <v>1</v>
      </c>
      <c r="AG155" s="1">
        <f t="shared" si="33"/>
        <v>0</v>
      </c>
      <c r="AH155" s="1">
        <f t="shared" si="34"/>
        <v>0</v>
      </c>
      <c r="AI155" s="1">
        <f t="shared" si="35"/>
        <v>0</v>
      </c>
      <c r="AJ155" s="1">
        <f>SUMXMY2(Z155:AI155, Occurrence!B$3:K$3)</f>
        <v>5</v>
      </c>
      <c r="AK155" s="1">
        <f t="shared" si="36"/>
        <v>5</v>
      </c>
    </row>
    <row r="156" spans="1:37">
      <c r="A156" s="1">
        <v>155</v>
      </c>
      <c r="B156" s="1">
        <v>4252154</v>
      </c>
      <c r="C156" s="6">
        <v>806</v>
      </c>
      <c r="D156" s="1">
        <v>0.15</v>
      </c>
      <c r="E156" s="1">
        <v>0.2</v>
      </c>
      <c r="F156" s="1">
        <v>0.6</v>
      </c>
      <c r="G156" s="1">
        <v>0.7</v>
      </c>
      <c r="H156" s="1">
        <v>0.25</v>
      </c>
      <c r="I156" s="1">
        <v>0.15</v>
      </c>
      <c r="J156" s="1">
        <v>0.95</v>
      </c>
      <c r="K156" s="1">
        <v>0.85</v>
      </c>
      <c r="L156" s="1">
        <v>0.35</v>
      </c>
      <c r="M156" s="1">
        <v>0.8</v>
      </c>
      <c r="N156" s="1">
        <f>(Occurrence!B$3-D156)^2</f>
        <v>2.2499999999999999E-2</v>
      </c>
      <c r="O156" s="1">
        <f>(Occurrence!C$3-E156)^2</f>
        <v>4.0000000000000008E-2</v>
      </c>
      <c r="P156" s="1">
        <f>(Occurrence!D$3-F156)^2</f>
        <v>0.16000000000000003</v>
      </c>
      <c r="Q156" s="1">
        <f>(Occurrence!E$3-G156)^2</f>
        <v>9.0000000000000024E-2</v>
      </c>
      <c r="R156" s="1">
        <f>(Occurrence!F$3-H156)^2</f>
        <v>6.25E-2</v>
      </c>
      <c r="S156" s="1">
        <f>(Occurrence!G$3-I156)^2</f>
        <v>2.2499999999999999E-2</v>
      </c>
      <c r="T156" s="1">
        <f>(Occurrence!H$3-J156)^2</f>
        <v>2.5000000000000044E-3</v>
      </c>
      <c r="U156" s="1">
        <f>(Occurrence!I$3-K156)^2</f>
        <v>2.2500000000000006E-2</v>
      </c>
      <c r="V156" s="1">
        <f>(Occurrence!J$3-L156)^2</f>
        <v>0.12249999999999998</v>
      </c>
      <c r="W156" s="1">
        <f>(Occurrence!K$3-M156)^2</f>
        <v>3.999999999999998E-2</v>
      </c>
      <c r="X156" s="1">
        <f t="shared" si="25"/>
        <v>0.58499999999999996</v>
      </c>
      <c r="Z156" s="1">
        <f t="shared" si="26"/>
        <v>0</v>
      </c>
      <c r="AA156" s="1">
        <f t="shared" si="27"/>
        <v>0</v>
      </c>
      <c r="AB156" s="1">
        <f t="shared" si="28"/>
        <v>1</v>
      </c>
      <c r="AC156" s="1">
        <f t="shared" si="29"/>
        <v>1</v>
      </c>
      <c r="AD156" s="1">
        <f t="shared" si="30"/>
        <v>0</v>
      </c>
      <c r="AE156" s="1">
        <f t="shared" si="31"/>
        <v>0</v>
      </c>
      <c r="AF156" s="1">
        <f t="shared" si="32"/>
        <v>1</v>
      </c>
      <c r="AG156" s="1">
        <f t="shared" si="33"/>
        <v>1</v>
      </c>
      <c r="AH156" s="1">
        <f t="shared" si="34"/>
        <v>0</v>
      </c>
      <c r="AI156" s="1">
        <f t="shared" si="35"/>
        <v>1</v>
      </c>
      <c r="AJ156" s="1">
        <f>SUMXMY2(Z156:AI156, Occurrence!B$3:K$3)</f>
        <v>0</v>
      </c>
      <c r="AK156" s="1">
        <f t="shared" si="36"/>
        <v>10</v>
      </c>
    </row>
    <row r="157" spans="1:37">
      <c r="A157" s="1">
        <v>156</v>
      </c>
      <c r="B157" s="1">
        <v>4252155</v>
      </c>
      <c r="C157" s="6">
        <v>806</v>
      </c>
      <c r="D157" s="1">
        <v>0.27260000000000001</v>
      </c>
      <c r="E157" s="1">
        <v>0.3518</v>
      </c>
      <c r="F157" s="1">
        <v>0.50009999999999999</v>
      </c>
      <c r="G157" s="1">
        <v>0.6028</v>
      </c>
      <c r="H157" s="1">
        <v>0.2273</v>
      </c>
      <c r="I157" s="1">
        <v>0.2</v>
      </c>
      <c r="J157" s="1">
        <v>0.98</v>
      </c>
      <c r="K157" s="1">
        <v>0.65</v>
      </c>
      <c r="L157" s="1">
        <v>0.7</v>
      </c>
      <c r="M157" s="1">
        <v>0.8</v>
      </c>
      <c r="N157" s="1">
        <f>(Occurrence!B$3-D157)^2</f>
        <v>7.4310760000000003E-2</v>
      </c>
      <c r="O157" s="1">
        <f>(Occurrence!C$3-E157)^2</f>
        <v>0.12376324</v>
      </c>
      <c r="P157" s="1">
        <f>(Occurrence!D$3-F157)^2</f>
        <v>0.24990001000000001</v>
      </c>
      <c r="Q157" s="1">
        <f>(Occurrence!E$3-G157)^2</f>
        <v>0.15776783999999999</v>
      </c>
      <c r="R157" s="1">
        <f>(Occurrence!F$3-H157)^2</f>
        <v>5.1665290000000003E-2</v>
      </c>
      <c r="S157" s="1">
        <f>(Occurrence!G$3-I157)^2</f>
        <v>4.0000000000000008E-2</v>
      </c>
      <c r="T157" s="1">
        <f>(Occurrence!H$3-J157)^2</f>
        <v>4.0000000000000072E-4</v>
      </c>
      <c r="U157" s="1">
        <f>(Occurrence!I$3-K157)^2</f>
        <v>0.12249999999999998</v>
      </c>
      <c r="V157" s="1">
        <f>(Occurrence!J$3-L157)^2</f>
        <v>0.48999999999999994</v>
      </c>
      <c r="W157" s="1">
        <f>(Occurrence!K$3-M157)^2</f>
        <v>3.999999999999998E-2</v>
      </c>
      <c r="X157" s="1">
        <f t="shared" si="25"/>
        <v>1.35030714</v>
      </c>
      <c r="Z157" s="1">
        <f t="shared" si="26"/>
        <v>0</v>
      </c>
      <c r="AA157" s="1">
        <f t="shared" si="27"/>
        <v>0</v>
      </c>
      <c r="AB157" s="1">
        <f t="shared" si="28"/>
        <v>1</v>
      </c>
      <c r="AC157" s="1">
        <f t="shared" si="29"/>
        <v>1</v>
      </c>
      <c r="AD157" s="1">
        <f t="shared" si="30"/>
        <v>0</v>
      </c>
      <c r="AE157" s="1">
        <f t="shared" si="31"/>
        <v>0</v>
      </c>
      <c r="AF157" s="1">
        <f t="shared" si="32"/>
        <v>1</v>
      </c>
      <c r="AG157" s="1">
        <f t="shared" si="33"/>
        <v>1</v>
      </c>
      <c r="AH157" s="1">
        <f t="shared" si="34"/>
        <v>1</v>
      </c>
      <c r="AI157" s="1">
        <f t="shared" si="35"/>
        <v>1</v>
      </c>
      <c r="AJ157" s="1">
        <f>SUMXMY2(Z157:AI157, Occurrence!B$3:K$3)</f>
        <v>1</v>
      </c>
      <c r="AK157" s="1">
        <f t="shared" si="36"/>
        <v>9</v>
      </c>
    </row>
    <row r="158" spans="1:37">
      <c r="A158" s="1">
        <v>157</v>
      </c>
      <c r="B158" s="1">
        <v>4252156</v>
      </c>
      <c r="C158" s="6">
        <v>806</v>
      </c>
      <c r="D158" s="1">
        <v>0.05</v>
      </c>
      <c r="E158" s="1">
        <v>0.15</v>
      </c>
      <c r="F158" s="1">
        <v>0.3</v>
      </c>
      <c r="G158" s="1">
        <v>0.6</v>
      </c>
      <c r="H158" s="1">
        <v>0.35</v>
      </c>
      <c r="I158" s="1">
        <v>0.25</v>
      </c>
      <c r="J158" s="1">
        <v>0.9</v>
      </c>
      <c r="K158" s="1">
        <v>0.7</v>
      </c>
      <c r="L158" s="1">
        <v>0.05</v>
      </c>
      <c r="M158" s="1">
        <v>0.05</v>
      </c>
      <c r="N158" s="1">
        <f>(Occurrence!B$3-D158)^2</f>
        <v>2.5000000000000005E-3</v>
      </c>
      <c r="O158" s="1">
        <f>(Occurrence!C$3-E158)^2</f>
        <v>2.2499999999999999E-2</v>
      </c>
      <c r="P158" s="1">
        <f>(Occurrence!D$3-F158)^2</f>
        <v>0.48999999999999994</v>
      </c>
      <c r="Q158" s="1">
        <f>(Occurrence!E$3-G158)^2</f>
        <v>0.16000000000000003</v>
      </c>
      <c r="R158" s="1">
        <f>(Occurrence!F$3-H158)^2</f>
        <v>0.12249999999999998</v>
      </c>
      <c r="S158" s="1">
        <f>(Occurrence!G$3-I158)^2</f>
        <v>6.25E-2</v>
      </c>
      <c r="T158" s="1">
        <f>(Occurrence!H$3-J158)^2</f>
        <v>9.999999999999995E-3</v>
      </c>
      <c r="U158" s="1">
        <f>(Occurrence!I$3-K158)^2</f>
        <v>9.0000000000000024E-2</v>
      </c>
      <c r="V158" s="1">
        <f>(Occurrence!J$3-L158)^2</f>
        <v>2.5000000000000005E-3</v>
      </c>
      <c r="W158" s="1">
        <f>(Occurrence!K$3-M158)^2</f>
        <v>0.90249999999999997</v>
      </c>
      <c r="X158" s="1">
        <f t="shared" si="25"/>
        <v>1.8649999999999998</v>
      </c>
      <c r="Z158" s="1">
        <f t="shared" si="26"/>
        <v>0</v>
      </c>
      <c r="AA158" s="1">
        <f t="shared" si="27"/>
        <v>0</v>
      </c>
      <c r="AB158" s="1">
        <f t="shared" si="28"/>
        <v>0</v>
      </c>
      <c r="AC158" s="1">
        <f t="shared" si="29"/>
        <v>1</v>
      </c>
      <c r="AD158" s="1">
        <f t="shared" si="30"/>
        <v>0</v>
      </c>
      <c r="AE158" s="1">
        <f t="shared" si="31"/>
        <v>0</v>
      </c>
      <c r="AF158" s="1">
        <f t="shared" si="32"/>
        <v>1</v>
      </c>
      <c r="AG158" s="1">
        <f t="shared" si="33"/>
        <v>1</v>
      </c>
      <c r="AH158" s="1">
        <f t="shared" si="34"/>
        <v>0</v>
      </c>
      <c r="AI158" s="1">
        <f t="shared" si="35"/>
        <v>0</v>
      </c>
      <c r="AJ158" s="1">
        <f>SUMXMY2(Z158:AI158, Occurrence!B$3:K$3)</f>
        <v>2</v>
      </c>
      <c r="AK158" s="1">
        <f t="shared" si="36"/>
        <v>8</v>
      </c>
    </row>
    <row r="159" spans="1:37">
      <c r="A159" s="1">
        <v>158</v>
      </c>
      <c r="B159" s="1">
        <v>4252157</v>
      </c>
      <c r="C159" s="6">
        <v>806</v>
      </c>
      <c r="D159" s="1">
        <v>0.1</v>
      </c>
      <c r="E159" s="1">
        <v>0.02</v>
      </c>
      <c r="F159" s="1">
        <v>0.05</v>
      </c>
      <c r="G159" s="1">
        <v>0.02</v>
      </c>
      <c r="H159" s="1">
        <v>0.1</v>
      </c>
      <c r="I159" s="1">
        <v>0.85</v>
      </c>
      <c r="J159" s="1">
        <v>0.35</v>
      </c>
      <c r="K159" s="1">
        <v>0.45</v>
      </c>
      <c r="L159" s="1">
        <v>0.35</v>
      </c>
      <c r="M159" s="1">
        <v>0.2</v>
      </c>
      <c r="N159" s="1">
        <f>(Occurrence!B$3-D159)^2</f>
        <v>1.0000000000000002E-2</v>
      </c>
      <c r="O159" s="1">
        <f>(Occurrence!C$3-E159)^2</f>
        <v>4.0000000000000002E-4</v>
      </c>
      <c r="P159" s="1">
        <f>(Occurrence!D$3-F159)^2</f>
        <v>0.90249999999999997</v>
      </c>
      <c r="Q159" s="1">
        <f>(Occurrence!E$3-G159)^2</f>
        <v>0.96039999999999992</v>
      </c>
      <c r="R159" s="1">
        <f>(Occurrence!F$3-H159)^2</f>
        <v>1.0000000000000002E-2</v>
      </c>
      <c r="S159" s="1">
        <f>(Occurrence!G$3-I159)^2</f>
        <v>0.72249999999999992</v>
      </c>
      <c r="T159" s="1">
        <f>(Occurrence!H$3-J159)^2</f>
        <v>0.42250000000000004</v>
      </c>
      <c r="U159" s="1">
        <f>(Occurrence!I$3-K159)^2</f>
        <v>0.30250000000000005</v>
      </c>
      <c r="V159" s="1">
        <f>(Occurrence!J$3-L159)^2</f>
        <v>0.12249999999999998</v>
      </c>
      <c r="W159" s="1">
        <f>(Occurrence!K$3-M159)^2</f>
        <v>0.64000000000000012</v>
      </c>
      <c r="X159" s="1">
        <f t="shared" si="25"/>
        <v>4.0933000000000002</v>
      </c>
      <c r="Z159" s="1">
        <f t="shared" si="26"/>
        <v>0</v>
      </c>
      <c r="AA159" s="1">
        <f t="shared" si="27"/>
        <v>0</v>
      </c>
      <c r="AB159" s="1">
        <f t="shared" si="28"/>
        <v>0</v>
      </c>
      <c r="AC159" s="1">
        <f t="shared" si="29"/>
        <v>0</v>
      </c>
      <c r="AD159" s="1">
        <f t="shared" si="30"/>
        <v>0</v>
      </c>
      <c r="AE159" s="1">
        <f t="shared" si="31"/>
        <v>1</v>
      </c>
      <c r="AF159" s="1">
        <f t="shared" si="32"/>
        <v>0</v>
      </c>
      <c r="AG159" s="1">
        <f t="shared" si="33"/>
        <v>0</v>
      </c>
      <c r="AH159" s="1">
        <f t="shared" si="34"/>
        <v>0</v>
      </c>
      <c r="AI159" s="1">
        <f t="shared" si="35"/>
        <v>0</v>
      </c>
      <c r="AJ159" s="1">
        <f>SUMXMY2(Z159:AI159, Occurrence!B$3:K$3)</f>
        <v>6</v>
      </c>
      <c r="AK159" s="1">
        <f t="shared" si="36"/>
        <v>4</v>
      </c>
    </row>
    <row r="160" spans="1:37">
      <c r="A160" s="1">
        <v>159</v>
      </c>
      <c r="B160" s="1">
        <v>4252158</v>
      </c>
      <c r="C160" s="6">
        <v>806</v>
      </c>
      <c r="D160" s="1">
        <v>0.6</v>
      </c>
      <c r="E160" s="1">
        <v>0.4</v>
      </c>
      <c r="F160" s="1">
        <v>0.3</v>
      </c>
      <c r="G160" s="1">
        <v>0.4</v>
      </c>
      <c r="H160" s="1">
        <v>0.2</v>
      </c>
      <c r="I160" s="1">
        <v>0.1</v>
      </c>
      <c r="J160" s="1">
        <v>1</v>
      </c>
      <c r="K160" s="1">
        <v>0.6</v>
      </c>
      <c r="L160" s="1">
        <v>0.8</v>
      </c>
      <c r="M160" s="1">
        <v>0.9</v>
      </c>
      <c r="N160" s="1">
        <f>(Occurrence!B$3-D160)^2</f>
        <v>0.36</v>
      </c>
      <c r="O160" s="1">
        <f>(Occurrence!C$3-E160)^2</f>
        <v>0.16000000000000003</v>
      </c>
      <c r="P160" s="1">
        <f>(Occurrence!D$3-F160)^2</f>
        <v>0.48999999999999994</v>
      </c>
      <c r="Q160" s="1">
        <f>(Occurrence!E$3-G160)^2</f>
        <v>0.36</v>
      </c>
      <c r="R160" s="1">
        <f>(Occurrence!F$3-H160)^2</f>
        <v>4.0000000000000008E-2</v>
      </c>
      <c r="S160" s="1">
        <f>(Occurrence!G$3-I160)^2</f>
        <v>1.0000000000000002E-2</v>
      </c>
      <c r="T160" s="1">
        <f>(Occurrence!H$3-J160)^2</f>
        <v>0</v>
      </c>
      <c r="U160" s="1">
        <f>(Occurrence!I$3-K160)^2</f>
        <v>0.16000000000000003</v>
      </c>
      <c r="V160" s="1">
        <f>(Occurrence!J$3-L160)^2</f>
        <v>0.64000000000000012</v>
      </c>
      <c r="W160" s="1">
        <f>(Occurrence!K$3-M160)^2</f>
        <v>9.999999999999995E-3</v>
      </c>
      <c r="X160" s="1">
        <f t="shared" si="25"/>
        <v>2.23</v>
      </c>
      <c r="Z160" s="1">
        <f t="shared" si="26"/>
        <v>1</v>
      </c>
      <c r="AA160" s="1">
        <f t="shared" si="27"/>
        <v>0</v>
      </c>
      <c r="AB160" s="1">
        <f t="shared" si="28"/>
        <v>0</v>
      </c>
      <c r="AC160" s="1">
        <f t="shared" si="29"/>
        <v>0</v>
      </c>
      <c r="AD160" s="1">
        <f t="shared" si="30"/>
        <v>0</v>
      </c>
      <c r="AE160" s="1">
        <f t="shared" si="31"/>
        <v>0</v>
      </c>
      <c r="AF160" s="1">
        <f t="shared" si="32"/>
        <v>1</v>
      </c>
      <c r="AG160" s="1">
        <f t="shared" si="33"/>
        <v>1</v>
      </c>
      <c r="AH160" s="1">
        <f t="shared" si="34"/>
        <v>1</v>
      </c>
      <c r="AI160" s="1">
        <f t="shared" si="35"/>
        <v>1</v>
      </c>
      <c r="AJ160" s="1">
        <f>SUMXMY2(Z160:AI160, Occurrence!B$3:K$3)</f>
        <v>4</v>
      </c>
      <c r="AK160" s="1">
        <f t="shared" si="36"/>
        <v>6</v>
      </c>
    </row>
    <row r="161" spans="1:37">
      <c r="A161" s="1">
        <v>160</v>
      </c>
      <c r="B161" s="1">
        <v>4252159</v>
      </c>
      <c r="C161" s="6">
        <v>806</v>
      </c>
      <c r="D161" s="1">
        <v>0.9</v>
      </c>
      <c r="E161" s="1">
        <v>0.95</v>
      </c>
      <c r="F161" s="1">
        <v>0.03</v>
      </c>
      <c r="G161" s="1">
        <v>0.05</v>
      </c>
      <c r="H161" s="1">
        <v>0.1</v>
      </c>
      <c r="I161" s="1">
        <v>0.47</v>
      </c>
      <c r="J161" s="1">
        <v>0.7</v>
      </c>
      <c r="K161" s="1">
        <v>0.6</v>
      </c>
      <c r="L161" s="1">
        <v>0.8</v>
      </c>
      <c r="M161" s="1">
        <v>0.3</v>
      </c>
      <c r="N161" s="1">
        <f>(Occurrence!B$3-D161)^2</f>
        <v>0.81</v>
      </c>
      <c r="O161" s="1">
        <f>(Occurrence!C$3-E161)^2</f>
        <v>0.90249999999999997</v>
      </c>
      <c r="P161" s="1">
        <f>(Occurrence!D$3-F161)^2</f>
        <v>0.94089999999999996</v>
      </c>
      <c r="Q161" s="1">
        <f>(Occurrence!E$3-G161)^2</f>
        <v>0.90249999999999997</v>
      </c>
      <c r="R161" s="1">
        <f>(Occurrence!F$3-H161)^2</f>
        <v>1.0000000000000002E-2</v>
      </c>
      <c r="S161" s="1">
        <f>(Occurrence!G$3-I161)^2</f>
        <v>0.22089999999999999</v>
      </c>
      <c r="T161" s="1">
        <f>(Occurrence!H$3-J161)^2</f>
        <v>9.0000000000000024E-2</v>
      </c>
      <c r="U161" s="1">
        <f>(Occurrence!I$3-K161)^2</f>
        <v>0.16000000000000003</v>
      </c>
      <c r="V161" s="1">
        <f>(Occurrence!J$3-L161)^2</f>
        <v>0.64000000000000012</v>
      </c>
      <c r="W161" s="1">
        <f>(Occurrence!K$3-M161)^2</f>
        <v>0.48999999999999994</v>
      </c>
      <c r="X161" s="1">
        <f t="shared" si="25"/>
        <v>5.1668000000000003</v>
      </c>
      <c r="Z161" s="1">
        <f t="shared" si="26"/>
        <v>1</v>
      </c>
      <c r="AA161" s="1">
        <f t="shared" si="27"/>
        <v>1</v>
      </c>
      <c r="AB161" s="1">
        <f t="shared" si="28"/>
        <v>0</v>
      </c>
      <c r="AC161" s="1">
        <f t="shared" si="29"/>
        <v>0</v>
      </c>
      <c r="AD161" s="1">
        <f t="shared" si="30"/>
        <v>0</v>
      </c>
      <c r="AE161" s="1">
        <f t="shared" si="31"/>
        <v>0</v>
      </c>
      <c r="AF161" s="1">
        <f t="shared" si="32"/>
        <v>1</v>
      </c>
      <c r="AG161" s="1">
        <f t="shared" si="33"/>
        <v>1</v>
      </c>
      <c r="AH161" s="1">
        <f t="shared" si="34"/>
        <v>1</v>
      </c>
      <c r="AI161" s="1">
        <f t="shared" si="35"/>
        <v>0</v>
      </c>
      <c r="AJ161" s="1">
        <f>SUMXMY2(Z161:AI161, Occurrence!B$3:K$3)</f>
        <v>6</v>
      </c>
      <c r="AK161" s="1">
        <f t="shared" si="36"/>
        <v>4</v>
      </c>
    </row>
    <row r="162" spans="1:37">
      <c r="A162" s="1">
        <v>161</v>
      </c>
      <c r="B162" s="1">
        <v>4252160</v>
      </c>
      <c r="C162" s="6">
        <v>806</v>
      </c>
      <c r="D162" s="1">
        <v>0.7</v>
      </c>
      <c r="E162" s="1">
        <v>0.1</v>
      </c>
      <c r="F162" s="1">
        <v>0.5</v>
      </c>
      <c r="G162" s="1">
        <v>0.4</v>
      </c>
      <c r="H162" s="1">
        <v>0.2</v>
      </c>
      <c r="I162" s="1">
        <v>0.8</v>
      </c>
      <c r="J162" s="1">
        <v>0.7</v>
      </c>
      <c r="K162" s="1">
        <v>0.5</v>
      </c>
      <c r="L162" s="1">
        <v>0.5</v>
      </c>
      <c r="M162" s="1">
        <v>0.5</v>
      </c>
      <c r="N162" s="1">
        <f>(Occurrence!B$3-D162)^2</f>
        <v>0.48999999999999994</v>
      </c>
      <c r="O162" s="1">
        <f>(Occurrence!C$3-E162)^2</f>
        <v>1.0000000000000002E-2</v>
      </c>
      <c r="P162" s="1">
        <f>(Occurrence!D$3-F162)^2</f>
        <v>0.25</v>
      </c>
      <c r="Q162" s="1">
        <f>(Occurrence!E$3-G162)^2</f>
        <v>0.36</v>
      </c>
      <c r="R162" s="1">
        <f>(Occurrence!F$3-H162)^2</f>
        <v>4.0000000000000008E-2</v>
      </c>
      <c r="S162" s="1">
        <f>(Occurrence!G$3-I162)^2</f>
        <v>0.64000000000000012</v>
      </c>
      <c r="T162" s="1">
        <f>(Occurrence!H$3-J162)^2</f>
        <v>9.0000000000000024E-2</v>
      </c>
      <c r="U162" s="1">
        <f>(Occurrence!I$3-K162)^2</f>
        <v>0.25</v>
      </c>
      <c r="V162" s="1">
        <f>(Occurrence!J$3-L162)^2</f>
        <v>0.25</v>
      </c>
      <c r="W162" s="1">
        <f>(Occurrence!K$3-M162)^2</f>
        <v>0.25</v>
      </c>
      <c r="X162" s="1">
        <f t="shared" si="25"/>
        <v>2.63</v>
      </c>
      <c r="Z162" s="1">
        <f t="shared" si="26"/>
        <v>1</v>
      </c>
      <c r="AA162" s="1">
        <f t="shared" si="27"/>
        <v>0</v>
      </c>
      <c r="AB162" s="1">
        <f t="shared" si="28"/>
        <v>1</v>
      </c>
      <c r="AC162" s="1">
        <f t="shared" si="29"/>
        <v>0</v>
      </c>
      <c r="AD162" s="1">
        <f t="shared" si="30"/>
        <v>0</v>
      </c>
      <c r="AE162" s="1">
        <f t="shared" si="31"/>
        <v>1</v>
      </c>
      <c r="AF162" s="1">
        <f t="shared" si="32"/>
        <v>1</v>
      </c>
      <c r="AG162" s="1">
        <f t="shared" si="33"/>
        <v>1</v>
      </c>
      <c r="AH162" s="1">
        <f t="shared" si="34"/>
        <v>1</v>
      </c>
      <c r="AI162" s="1">
        <f t="shared" si="35"/>
        <v>1</v>
      </c>
      <c r="AJ162" s="1">
        <f>SUMXMY2(Z162:AI162, Occurrence!B$3:K$3)</f>
        <v>4</v>
      </c>
      <c r="AK162" s="1">
        <f t="shared" si="36"/>
        <v>6</v>
      </c>
    </row>
    <row r="163" spans="1:37">
      <c r="A163" s="1">
        <v>162</v>
      </c>
      <c r="B163" s="1">
        <v>4252161</v>
      </c>
      <c r="C163" s="6">
        <v>806</v>
      </c>
      <c r="D163" s="1">
        <v>0.21</v>
      </c>
      <c r="E163" s="1">
        <v>0.08</v>
      </c>
      <c r="F163" s="1">
        <v>0.79</v>
      </c>
      <c r="G163" s="1">
        <v>0.92</v>
      </c>
      <c r="H163" s="1">
        <v>0</v>
      </c>
      <c r="I163" s="1">
        <v>0.5</v>
      </c>
      <c r="J163" s="1">
        <v>0.99</v>
      </c>
      <c r="K163" s="1">
        <v>0.75</v>
      </c>
      <c r="L163" s="1">
        <v>0.11</v>
      </c>
      <c r="M163" s="1">
        <v>0.68</v>
      </c>
      <c r="N163" s="1">
        <f>(Occurrence!B$3-D163)^2</f>
        <v>4.4099999999999993E-2</v>
      </c>
      <c r="O163" s="1">
        <f>(Occurrence!C$3-E163)^2</f>
        <v>6.4000000000000003E-3</v>
      </c>
      <c r="P163" s="1">
        <f>(Occurrence!D$3-F163)^2</f>
        <v>4.4099999999999986E-2</v>
      </c>
      <c r="Q163" s="1">
        <f>(Occurrence!E$3-G163)^2</f>
        <v>6.3999999999999934E-3</v>
      </c>
      <c r="R163" s="1">
        <f>(Occurrence!F$3-H163)^2</f>
        <v>0</v>
      </c>
      <c r="S163" s="1">
        <f>(Occurrence!G$3-I163)^2</f>
        <v>0.25</v>
      </c>
      <c r="T163" s="1">
        <f>(Occurrence!H$3-J163)^2</f>
        <v>1.0000000000000018E-4</v>
      </c>
      <c r="U163" s="1">
        <f>(Occurrence!I$3-K163)^2</f>
        <v>6.25E-2</v>
      </c>
      <c r="V163" s="1">
        <f>(Occurrence!J$3-L163)^2</f>
        <v>1.21E-2</v>
      </c>
      <c r="W163" s="1">
        <f>(Occurrence!K$3-M163)^2</f>
        <v>0.10239999999999996</v>
      </c>
      <c r="X163" s="1">
        <f t="shared" si="25"/>
        <v>0.5280999999999999</v>
      </c>
      <c r="Z163" s="1">
        <f t="shared" si="26"/>
        <v>0</v>
      </c>
      <c r="AA163" s="1">
        <f t="shared" si="27"/>
        <v>0</v>
      </c>
      <c r="AB163" s="1">
        <f t="shared" si="28"/>
        <v>1</v>
      </c>
      <c r="AC163" s="1">
        <f t="shared" si="29"/>
        <v>1</v>
      </c>
      <c r="AD163" s="1">
        <f t="shared" si="30"/>
        <v>0</v>
      </c>
      <c r="AE163" s="1">
        <f t="shared" si="31"/>
        <v>1</v>
      </c>
      <c r="AF163" s="1">
        <f t="shared" si="32"/>
        <v>1</v>
      </c>
      <c r="AG163" s="1">
        <f t="shared" si="33"/>
        <v>1</v>
      </c>
      <c r="AH163" s="1">
        <f t="shared" si="34"/>
        <v>0</v>
      </c>
      <c r="AI163" s="1">
        <f t="shared" si="35"/>
        <v>1</v>
      </c>
      <c r="AJ163" s="1">
        <f>SUMXMY2(Z163:AI163, Occurrence!B$3:K$3)</f>
        <v>1</v>
      </c>
      <c r="AK163" s="1">
        <f t="shared" si="36"/>
        <v>9</v>
      </c>
    </row>
    <row r="164" spans="1:37">
      <c r="A164" s="1">
        <v>163</v>
      </c>
      <c r="B164" s="1">
        <v>4252162</v>
      </c>
      <c r="C164" s="6">
        <v>806</v>
      </c>
      <c r="D164" s="1">
        <v>0.17</v>
      </c>
      <c r="E164" s="1">
        <v>0.09</v>
      </c>
      <c r="F164" s="1">
        <v>0.83</v>
      </c>
      <c r="G164" s="1">
        <v>0.91</v>
      </c>
      <c r="H164" s="1">
        <v>0</v>
      </c>
      <c r="I164" s="1">
        <v>0.7</v>
      </c>
      <c r="J164" s="1">
        <v>0.89</v>
      </c>
      <c r="K164" s="1">
        <v>0.89</v>
      </c>
      <c r="L164" s="1">
        <v>0.21</v>
      </c>
      <c r="M164" s="1">
        <v>0.7</v>
      </c>
      <c r="N164" s="1">
        <f>(Occurrence!B$3-D164)^2</f>
        <v>2.8900000000000006E-2</v>
      </c>
      <c r="O164" s="1">
        <f>(Occurrence!C$3-E164)^2</f>
        <v>8.0999999999999996E-3</v>
      </c>
      <c r="P164" s="1">
        <f>(Occurrence!D$3-F164)^2</f>
        <v>2.8900000000000012E-2</v>
      </c>
      <c r="Q164" s="1">
        <f>(Occurrence!E$3-G164)^2</f>
        <v>8.0999999999999944E-3</v>
      </c>
      <c r="R164" s="1">
        <f>(Occurrence!F$3-H164)^2</f>
        <v>0</v>
      </c>
      <c r="S164" s="1">
        <f>(Occurrence!G$3-I164)^2</f>
        <v>0.48999999999999994</v>
      </c>
      <c r="T164" s="1">
        <f>(Occurrence!H$3-J164)^2</f>
        <v>1.2099999999999998E-2</v>
      </c>
      <c r="U164" s="1">
        <f>(Occurrence!I$3-K164)^2</f>
        <v>1.2099999999999998E-2</v>
      </c>
      <c r="V164" s="1">
        <f>(Occurrence!J$3-L164)^2</f>
        <v>4.4099999999999993E-2</v>
      </c>
      <c r="W164" s="1">
        <f>(Occurrence!K$3-M164)^2</f>
        <v>9.0000000000000024E-2</v>
      </c>
      <c r="X164" s="1">
        <f t="shared" si="25"/>
        <v>0.72229999999999994</v>
      </c>
      <c r="Z164" s="1">
        <f t="shared" si="26"/>
        <v>0</v>
      </c>
      <c r="AA164" s="1">
        <f t="shared" si="27"/>
        <v>0</v>
      </c>
      <c r="AB164" s="1">
        <f t="shared" si="28"/>
        <v>1</v>
      </c>
      <c r="AC164" s="1">
        <f t="shared" si="29"/>
        <v>1</v>
      </c>
      <c r="AD164" s="1">
        <f t="shared" si="30"/>
        <v>0</v>
      </c>
      <c r="AE164" s="1">
        <f t="shared" si="31"/>
        <v>1</v>
      </c>
      <c r="AF164" s="1">
        <f t="shared" si="32"/>
        <v>1</v>
      </c>
      <c r="AG164" s="1">
        <f t="shared" si="33"/>
        <v>1</v>
      </c>
      <c r="AH164" s="1">
        <f t="shared" si="34"/>
        <v>0</v>
      </c>
      <c r="AI164" s="1">
        <f t="shared" si="35"/>
        <v>1</v>
      </c>
      <c r="AJ164" s="1">
        <f>SUMXMY2(Z164:AI164, Occurrence!B$3:K$3)</f>
        <v>1</v>
      </c>
      <c r="AK164" s="1">
        <f t="shared" si="36"/>
        <v>9</v>
      </c>
    </row>
    <row r="165" spans="1:37">
      <c r="A165" s="1">
        <v>164</v>
      </c>
      <c r="B165" s="1">
        <v>4252163</v>
      </c>
      <c r="C165" s="6">
        <v>807</v>
      </c>
      <c r="D165" s="1">
        <v>0.12</v>
      </c>
      <c r="E165" s="1">
        <v>0.16</v>
      </c>
      <c r="F165" s="1">
        <v>0.8</v>
      </c>
      <c r="G165" s="1">
        <v>0.83</v>
      </c>
      <c r="H165" s="1">
        <v>0.08</v>
      </c>
      <c r="I165" s="1">
        <v>0.25</v>
      </c>
      <c r="J165" s="1">
        <v>0.2</v>
      </c>
      <c r="K165" s="1">
        <v>0.9</v>
      </c>
      <c r="L165" s="1">
        <v>0.1</v>
      </c>
      <c r="M165" s="1">
        <v>0.4</v>
      </c>
      <c r="N165" s="1">
        <f>(Occurrence!B$3-D165)^2</f>
        <v>1.44E-2</v>
      </c>
      <c r="O165" s="1">
        <f>(Occurrence!C$3-E165)^2</f>
        <v>2.5600000000000001E-2</v>
      </c>
      <c r="P165" s="1">
        <f>(Occurrence!D$3-F165)^2</f>
        <v>3.999999999999998E-2</v>
      </c>
      <c r="Q165" s="1">
        <f>(Occurrence!E$3-G165)^2</f>
        <v>2.8900000000000012E-2</v>
      </c>
      <c r="R165" s="1">
        <f>(Occurrence!F$3-H165)^2</f>
        <v>6.4000000000000003E-3</v>
      </c>
      <c r="S165" s="1">
        <f>(Occurrence!G$3-I165)^2</f>
        <v>6.25E-2</v>
      </c>
      <c r="T165" s="1">
        <f>(Occurrence!H$3-J165)^2</f>
        <v>0.64000000000000012</v>
      </c>
      <c r="U165" s="1">
        <f>(Occurrence!I$3-K165)^2</f>
        <v>9.999999999999995E-3</v>
      </c>
      <c r="V165" s="1">
        <f>(Occurrence!J$3-L165)^2</f>
        <v>1.0000000000000002E-2</v>
      </c>
      <c r="W165" s="1">
        <f>(Occurrence!K$3-M165)^2</f>
        <v>0.36</v>
      </c>
      <c r="X165" s="1">
        <f t="shared" si="25"/>
        <v>1.1978</v>
      </c>
      <c r="Z165" s="1">
        <f t="shared" si="26"/>
        <v>0</v>
      </c>
      <c r="AA165" s="1">
        <f t="shared" si="27"/>
        <v>0</v>
      </c>
      <c r="AB165" s="1">
        <f t="shared" si="28"/>
        <v>1</v>
      </c>
      <c r="AC165" s="1">
        <f t="shared" si="29"/>
        <v>1</v>
      </c>
      <c r="AD165" s="1">
        <f t="shared" si="30"/>
        <v>0</v>
      </c>
      <c r="AE165" s="1">
        <f t="shared" si="31"/>
        <v>0</v>
      </c>
      <c r="AF165" s="1">
        <f t="shared" si="32"/>
        <v>0</v>
      </c>
      <c r="AG165" s="1">
        <f t="shared" si="33"/>
        <v>1</v>
      </c>
      <c r="AH165" s="1">
        <f t="shared" si="34"/>
        <v>0</v>
      </c>
      <c r="AI165" s="1">
        <f t="shared" si="35"/>
        <v>0</v>
      </c>
      <c r="AJ165" s="1">
        <f>SUMXMY2(Z165:AI165, Occurrence!B$3:K$3)</f>
        <v>2</v>
      </c>
      <c r="AK165" s="1">
        <f t="shared" si="36"/>
        <v>8</v>
      </c>
    </row>
    <row r="166" spans="1:37">
      <c r="A166" s="1">
        <v>165</v>
      </c>
      <c r="B166" s="1">
        <v>4252164</v>
      </c>
      <c r="C166" s="6">
        <v>807</v>
      </c>
      <c r="D166" s="1">
        <v>0.05</v>
      </c>
      <c r="E166" s="1">
        <v>0.2</v>
      </c>
      <c r="F166" s="1">
        <v>0.9</v>
      </c>
      <c r="G166" s="1">
        <v>0.9</v>
      </c>
      <c r="H166" s="1">
        <v>0.05</v>
      </c>
      <c r="I166" s="1">
        <v>0.7</v>
      </c>
      <c r="J166" s="1">
        <v>0.9</v>
      </c>
      <c r="K166" s="1">
        <v>0.85</v>
      </c>
      <c r="L166" s="1">
        <v>0.95</v>
      </c>
      <c r="M166" s="1">
        <v>0.8</v>
      </c>
      <c r="N166" s="1">
        <f>(Occurrence!B$3-D166)^2</f>
        <v>2.5000000000000005E-3</v>
      </c>
      <c r="O166" s="1">
        <f>(Occurrence!C$3-E166)^2</f>
        <v>4.0000000000000008E-2</v>
      </c>
      <c r="P166" s="1">
        <f>(Occurrence!D$3-F166)^2</f>
        <v>9.999999999999995E-3</v>
      </c>
      <c r="Q166" s="1">
        <f>(Occurrence!E$3-G166)^2</f>
        <v>9.999999999999995E-3</v>
      </c>
      <c r="R166" s="1">
        <f>(Occurrence!F$3-H166)^2</f>
        <v>2.5000000000000005E-3</v>
      </c>
      <c r="S166" s="1">
        <f>(Occurrence!G$3-I166)^2</f>
        <v>0.48999999999999994</v>
      </c>
      <c r="T166" s="1">
        <f>(Occurrence!H$3-J166)^2</f>
        <v>9.999999999999995E-3</v>
      </c>
      <c r="U166" s="1">
        <f>(Occurrence!I$3-K166)^2</f>
        <v>2.2500000000000006E-2</v>
      </c>
      <c r="V166" s="1">
        <f>(Occurrence!J$3-L166)^2</f>
        <v>0.90249999999999997</v>
      </c>
      <c r="W166" s="1">
        <f>(Occurrence!K$3-M166)^2</f>
        <v>3.999999999999998E-2</v>
      </c>
      <c r="X166" s="1">
        <f t="shared" si="25"/>
        <v>1.5299999999999998</v>
      </c>
      <c r="Z166" s="1">
        <f t="shared" si="26"/>
        <v>0</v>
      </c>
      <c r="AA166" s="1">
        <f t="shared" si="27"/>
        <v>0</v>
      </c>
      <c r="AB166" s="1">
        <f t="shared" si="28"/>
        <v>1</v>
      </c>
      <c r="AC166" s="1">
        <f t="shared" si="29"/>
        <v>1</v>
      </c>
      <c r="AD166" s="1">
        <f t="shared" si="30"/>
        <v>0</v>
      </c>
      <c r="AE166" s="1">
        <f t="shared" si="31"/>
        <v>1</v>
      </c>
      <c r="AF166" s="1">
        <f t="shared" si="32"/>
        <v>1</v>
      </c>
      <c r="AG166" s="1">
        <f t="shared" si="33"/>
        <v>1</v>
      </c>
      <c r="AH166" s="1">
        <f t="shared" si="34"/>
        <v>1</v>
      </c>
      <c r="AI166" s="1">
        <f t="shared" si="35"/>
        <v>1</v>
      </c>
      <c r="AJ166" s="1">
        <f>SUMXMY2(Z166:AI166, Occurrence!B$3:K$3)</f>
        <v>2</v>
      </c>
      <c r="AK166" s="1">
        <f t="shared" si="36"/>
        <v>8</v>
      </c>
    </row>
    <row r="167" spans="1:37">
      <c r="A167" s="1">
        <v>166</v>
      </c>
      <c r="B167" s="1">
        <v>4252165</v>
      </c>
      <c r="C167" s="6">
        <v>807</v>
      </c>
      <c r="D167" s="1">
        <v>0.32</v>
      </c>
      <c r="E167" s="1">
        <v>0.14000000000000001</v>
      </c>
      <c r="F167" s="1">
        <v>0.17</v>
      </c>
      <c r="G167" s="1">
        <v>0.17</v>
      </c>
      <c r="H167" s="1">
        <v>0.33</v>
      </c>
      <c r="I167" s="1">
        <v>0.45</v>
      </c>
      <c r="J167" s="1">
        <v>0.31</v>
      </c>
      <c r="K167" s="1">
        <v>0.27</v>
      </c>
      <c r="L167" s="1">
        <v>0.12</v>
      </c>
      <c r="M167" s="1">
        <v>0.83</v>
      </c>
      <c r="N167" s="1">
        <f>(Occurrence!B$3-D167)^2</f>
        <v>0.1024</v>
      </c>
      <c r="O167" s="1">
        <f>(Occurrence!C$3-E167)^2</f>
        <v>1.9600000000000003E-2</v>
      </c>
      <c r="P167" s="1">
        <f>(Occurrence!D$3-F167)^2</f>
        <v>0.68889999999999996</v>
      </c>
      <c r="Q167" s="1">
        <f>(Occurrence!E$3-G167)^2</f>
        <v>0.68889999999999996</v>
      </c>
      <c r="R167" s="1">
        <f>(Occurrence!F$3-H167)^2</f>
        <v>0.10890000000000001</v>
      </c>
      <c r="S167" s="1">
        <f>(Occurrence!G$3-I167)^2</f>
        <v>0.20250000000000001</v>
      </c>
      <c r="T167" s="1">
        <f>(Occurrence!H$3-J167)^2</f>
        <v>0.47609999999999991</v>
      </c>
      <c r="U167" s="1">
        <f>(Occurrence!I$3-K167)^2</f>
        <v>0.53289999999999993</v>
      </c>
      <c r="V167" s="1">
        <f>(Occurrence!J$3-L167)^2</f>
        <v>1.44E-2</v>
      </c>
      <c r="W167" s="1">
        <f>(Occurrence!K$3-M167)^2</f>
        <v>2.8900000000000012E-2</v>
      </c>
      <c r="X167" s="1">
        <f t="shared" si="25"/>
        <v>2.8635000000000002</v>
      </c>
      <c r="Z167" s="1">
        <f t="shared" si="26"/>
        <v>0</v>
      </c>
      <c r="AA167" s="1">
        <f t="shared" si="27"/>
        <v>0</v>
      </c>
      <c r="AB167" s="1">
        <f t="shared" si="28"/>
        <v>0</v>
      </c>
      <c r="AC167" s="1">
        <f t="shared" si="29"/>
        <v>0</v>
      </c>
      <c r="AD167" s="1">
        <f t="shared" si="30"/>
        <v>0</v>
      </c>
      <c r="AE167" s="1">
        <f t="shared" si="31"/>
        <v>0</v>
      </c>
      <c r="AF167" s="1">
        <f t="shared" si="32"/>
        <v>0</v>
      </c>
      <c r="AG167" s="1">
        <f t="shared" si="33"/>
        <v>0</v>
      </c>
      <c r="AH167" s="1">
        <f t="shared" si="34"/>
        <v>0</v>
      </c>
      <c r="AI167" s="1">
        <f t="shared" si="35"/>
        <v>1</v>
      </c>
      <c r="AJ167" s="1">
        <f>SUMXMY2(Z167:AI167, Occurrence!B$3:K$3)</f>
        <v>4</v>
      </c>
      <c r="AK167" s="1">
        <f t="shared" si="36"/>
        <v>6</v>
      </c>
    </row>
    <row r="168" spans="1:37">
      <c r="A168" s="1">
        <v>167</v>
      </c>
      <c r="B168" s="1">
        <v>4252166</v>
      </c>
      <c r="C168" s="6">
        <v>807</v>
      </c>
      <c r="D168" s="1">
        <v>0.3</v>
      </c>
      <c r="E168" s="1">
        <v>0.1</v>
      </c>
      <c r="F168" s="1">
        <v>0.4</v>
      </c>
      <c r="G168" s="1">
        <v>0.6</v>
      </c>
      <c r="H168" s="1">
        <v>0.2</v>
      </c>
      <c r="I168" s="1">
        <v>0.6</v>
      </c>
      <c r="J168" s="1">
        <v>0.32</v>
      </c>
      <c r="K168" s="1">
        <v>0.3</v>
      </c>
      <c r="L168" s="1">
        <v>0.3</v>
      </c>
      <c r="M168" s="1">
        <v>0.52</v>
      </c>
      <c r="N168" s="1">
        <f>(Occurrence!B$3-D168)^2</f>
        <v>0.09</v>
      </c>
      <c r="O168" s="1">
        <f>(Occurrence!C$3-E168)^2</f>
        <v>1.0000000000000002E-2</v>
      </c>
      <c r="P168" s="1">
        <f>(Occurrence!D$3-F168)^2</f>
        <v>0.36</v>
      </c>
      <c r="Q168" s="1">
        <f>(Occurrence!E$3-G168)^2</f>
        <v>0.16000000000000003</v>
      </c>
      <c r="R168" s="1">
        <f>(Occurrence!F$3-H168)^2</f>
        <v>4.0000000000000008E-2</v>
      </c>
      <c r="S168" s="1">
        <f>(Occurrence!G$3-I168)^2</f>
        <v>0.36</v>
      </c>
      <c r="T168" s="1">
        <f>(Occurrence!H$3-J168)^2</f>
        <v>0.46239999999999992</v>
      </c>
      <c r="U168" s="1">
        <f>(Occurrence!I$3-K168)^2</f>
        <v>0.48999999999999994</v>
      </c>
      <c r="V168" s="1">
        <f>(Occurrence!J$3-L168)^2</f>
        <v>0.09</v>
      </c>
      <c r="W168" s="1">
        <f>(Occurrence!K$3-M168)^2</f>
        <v>0.23039999999999999</v>
      </c>
      <c r="X168" s="1">
        <f t="shared" si="25"/>
        <v>2.2927999999999997</v>
      </c>
      <c r="Z168" s="1">
        <f t="shared" si="26"/>
        <v>0</v>
      </c>
      <c r="AA168" s="1">
        <f t="shared" si="27"/>
        <v>0</v>
      </c>
      <c r="AB168" s="1">
        <f t="shared" si="28"/>
        <v>0</v>
      </c>
      <c r="AC168" s="1">
        <f t="shared" si="29"/>
        <v>1</v>
      </c>
      <c r="AD168" s="1">
        <f t="shared" si="30"/>
        <v>0</v>
      </c>
      <c r="AE168" s="1">
        <f t="shared" si="31"/>
        <v>1</v>
      </c>
      <c r="AF168" s="1">
        <f t="shared" si="32"/>
        <v>0</v>
      </c>
      <c r="AG168" s="1">
        <f t="shared" si="33"/>
        <v>0</v>
      </c>
      <c r="AH168" s="1">
        <f t="shared" si="34"/>
        <v>0</v>
      </c>
      <c r="AI168" s="1">
        <f t="shared" si="35"/>
        <v>1</v>
      </c>
      <c r="AJ168" s="1">
        <f>SUMXMY2(Z168:AI168, Occurrence!B$3:K$3)</f>
        <v>4</v>
      </c>
      <c r="AK168" s="1">
        <f t="shared" si="36"/>
        <v>6</v>
      </c>
    </row>
    <row r="169" spans="1:37">
      <c r="A169" s="1">
        <v>168</v>
      </c>
      <c r="B169" s="1">
        <v>4252167</v>
      </c>
      <c r="C169" s="6">
        <v>807</v>
      </c>
      <c r="D169" s="1">
        <v>0.2</v>
      </c>
      <c r="E169" s="1">
        <v>0.4</v>
      </c>
      <c r="F169" s="1">
        <v>0.2</v>
      </c>
      <c r="G169" s="1">
        <v>0.4</v>
      </c>
      <c r="H169" s="1">
        <v>0.75</v>
      </c>
      <c r="I169" s="1">
        <v>0.65</v>
      </c>
      <c r="J169" s="1">
        <v>0.22</v>
      </c>
      <c r="K169" s="1">
        <v>0.5</v>
      </c>
      <c r="L169" s="1">
        <v>0.2</v>
      </c>
      <c r="M169" s="1">
        <v>0.6</v>
      </c>
      <c r="N169" s="1">
        <f>(Occurrence!B$3-D169)^2</f>
        <v>4.0000000000000008E-2</v>
      </c>
      <c r="O169" s="1">
        <f>(Occurrence!C$3-E169)^2</f>
        <v>0.16000000000000003</v>
      </c>
      <c r="P169" s="1">
        <f>(Occurrence!D$3-F169)^2</f>
        <v>0.64000000000000012</v>
      </c>
      <c r="Q169" s="1">
        <f>(Occurrence!E$3-G169)^2</f>
        <v>0.36</v>
      </c>
      <c r="R169" s="1">
        <f>(Occurrence!F$3-H169)^2</f>
        <v>0.5625</v>
      </c>
      <c r="S169" s="1">
        <f>(Occurrence!G$3-I169)^2</f>
        <v>0.42250000000000004</v>
      </c>
      <c r="T169" s="1">
        <f>(Occurrence!H$3-J169)^2</f>
        <v>0.60840000000000005</v>
      </c>
      <c r="U169" s="1">
        <f>(Occurrence!I$3-K169)^2</f>
        <v>0.25</v>
      </c>
      <c r="V169" s="1">
        <f>(Occurrence!J$3-L169)^2</f>
        <v>4.0000000000000008E-2</v>
      </c>
      <c r="W169" s="1">
        <f>(Occurrence!K$3-M169)^2</f>
        <v>0.16000000000000003</v>
      </c>
      <c r="X169" s="1">
        <f t="shared" si="25"/>
        <v>3.2434000000000003</v>
      </c>
      <c r="Z169" s="1">
        <f t="shared" si="26"/>
        <v>0</v>
      </c>
      <c r="AA169" s="1">
        <f t="shared" si="27"/>
        <v>0</v>
      </c>
      <c r="AB169" s="1">
        <f t="shared" si="28"/>
        <v>0</v>
      </c>
      <c r="AC169" s="1">
        <f t="shared" si="29"/>
        <v>0</v>
      </c>
      <c r="AD169" s="1">
        <f t="shared" si="30"/>
        <v>1</v>
      </c>
      <c r="AE169" s="1">
        <f t="shared" si="31"/>
        <v>1</v>
      </c>
      <c r="AF169" s="1">
        <f t="shared" si="32"/>
        <v>0</v>
      </c>
      <c r="AG169" s="1">
        <f t="shared" si="33"/>
        <v>1</v>
      </c>
      <c r="AH169" s="1">
        <f t="shared" si="34"/>
        <v>0</v>
      </c>
      <c r="AI169" s="1">
        <f t="shared" si="35"/>
        <v>1</v>
      </c>
      <c r="AJ169" s="1">
        <f>SUMXMY2(Z169:AI169, Occurrence!B$3:K$3)</f>
        <v>5</v>
      </c>
      <c r="AK169" s="1">
        <f t="shared" si="36"/>
        <v>5</v>
      </c>
    </row>
    <row r="170" spans="1:37">
      <c r="A170" s="1">
        <v>169</v>
      </c>
      <c r="B170" s="1">
        <v>4252168</v>
      </c>
      <c r="C170" s="6">
        <v>807</v>
      </c>
      <c r="D170" s="1">
        <v>0.02</v>
      </c>
      <c r="E170" s="1">
        <v>0.05</v>
      </c>
      <c r="F170" s="1">
        <v>0.04</v>
      </c>
      <c r="G170" s="1">
        <v>7.0000000000000007E-2</v>
      </c>
      <c r="H170" s="1">
        <v>0.04</v>
      </c>
      <c r="I170" s="1">
        <v>0.08</v>
      </c>
      <c r="J170" s="1">
        <v>0.06</v>
      </c>
      <c r="K170" s="1">
        <v>0.04</v>
      </c>
      <c r="L170" s="1">
        <v>0.05</v>
      </c>
      <c r="M170" s="1">
        <v>7.0000000000000007E-2</v>
      </c>
      <c r="N170" s="1">
        <f>(Occurrence!B$3-D170)^2</f>
        <v>4.0000000000000002E-4</v>
      </c>
      <c r="O170" s="1">
        <f>(Occurrence!C$3-E170)^2</f>
        <v>2.5000000000000005E-3</v>
      </c>
      <c r="P170" s="1">
        <f>(Occurrence!D$3-F170)^2</f>
        <v>0.92159999999999997</v>
      </c>
      <c r="Q170" s="1">
        <f>(Occurrence!E$3-G170)^2</f>
        <v>0.86489999999999989</v>
      </c>
      <c r="R170" s="1">
        <f>(Occurrence!F$3-H170)^2</f>
        <v>1.6000000000000001E-3</v>
      </c>
      <c r="S170" s="1">
        <f>(Occurrence!G$3-I170)^2</f>
        <v>6.4000000000000003E-3</v>
      </c>
      <c r="T170" s="1">
        <f>(Occurrence!H$3-J170)^2</f>
        <v>0.88359999999999994</v>
      </c>
      <c r="U170" s="1">
        <f>(Occurrence!I$3-K170)^2</f>
        <v>0.92159999999999997</v>
      </c>
      <c r="V170" s="1">
        <f>(Occurrence!J$3-L170)^2</f>
        <v>2.5000000000000005E-3</v>
      </c>
      <c r="W170" s="1">
        <f>(Occurrence!K$3-M170)^2</f>
        <v>0.86489999999999989</v>
      </c>
      <c r="X170" s="1">
        <f t="shared" si="25"/>
        <v>4.47</v>
      </c>
      <c r="Z170" s="1">
        <f t="shared" si="26"/>
        <v>0</v>
      </c>
      <c r="AA170" s="1">
        <f t="shared" si="27"/>
        <v>0</v>
      </c>
      <c r="AB170" s="1">
        <f t="shared" si="28"/>
        <v>0</v>
      </c>
      <c r="AC170" s="1">
        <f t="shared" si="29"/>
        <v>0</v>
      </c>
      <c r="AD170" s="1">
        <f t="shared" si="30"/>
        <v>0</v>
      </c>
      <c r="AE170" s="1">
        <f t="shared" si="31"/>
        <v>0</v>
      </c>
      <c r="AF170" s="1">
        <f t="shared" si="32"/>
        <v>0</v>
      </c>
      <c r="AG170" s="1">
        <f t="shared" si="33"/>
        <v>0</v>
      </c>
      <c r="AH170" s="1">
        <f t="shared" si="34"/>
        <v>0</v>
      </c>
      <c r="AI170" s="1">
        <f t="shared" si="35"/>
        <v>0</v>
      </c>
      <c r="AJ170" s="1">
        <f>SUMXMY2(Z170:AI170, Occurrence!B$3:K$3)</f>
        <v>5</v>
      </c>
      <c r="AK170" s="1">
        <f t="shared" si="36"/>
        <v>5</v>
      </c>
    </row>
    <row r="171" spans="1:37">
      <c r="A171" s="1">
        <v>170</v>
      </c>
      <c r="B171" s="1">
        <v>4252169</v>
      </c>
      <c r="C171" s="6">
        <v>807</v>
      </c>
      <c r="D171" s="1">
        <v>0.67</v>
      </c>
      <c r="E171" s="1">
        <v>0.33</v>
      </c>
      <c r="F171" s="1">
        <v>0.75</v>
      </c>
      <c r="G171" s="1">
        <v>0.23</v>
      </c>
      <c r="H171" s="1">
        <v>0.45</v>
      </c>
      <c r="I171" s="1">
        <v>0.65</v>
      </c>
      <c r="J171" s="1">
        <v>0.15</v>
      </c>
      <c r="K171" s="1">
        <v>0.33</v>
      </c>
      <c r="L171" s="1">
        <v>0.67</v>
      </c>
      <c r="M171" s="1">
        <v>0.89</v>
      </c>
      <c r="N171" s="1">
        <f>(Occurrence!B$3-D171)^2</f>
        <v>0.44890000000000008</v>
      </c>
      <c r="O171" s="1">
        <f>(Occurrence!C$3-E171)^2</f>
        <v>0.10890000000000001</v>
      </c>
      <c r="P171" s="1">
        <f>(Occurrence!D$3-F171)^2</f>
        <v>6.25E-2</v>
      </c>
      <c r="Q171" s="1">
        <f>(Occurrence!E$3-G171)^2</f>
        <v>0.59289999999999998</v>
      </c>
      <c r="R171" s="1">
        <f>(Occurrence!F$3-H171)^2</f>
        <v>0.20250000000000001</v>
      </c>
      <c r="S171" s="1">
        <f>(Occurrence!G$3-I171)^2</f>
        <v>0.42250000000000004</v>
      </c>
      <c r="T171" s="1">
        <f>(Occurrence!H$3-J171)^2</f>
        <v>0.72249999999999992</v>
      </c>
      <c r="U171" s="1">
        <f>(Occurrence!I$3-K171)^2</f>
        <v>0.44889999999999991</v>
      </c>
      <c r="V171" s="1">
        <f>(Occurrence!J$3-L171)^2</f>
        <v>0.44890000000000008</v>
      </c>
      <c r="W171" s="1">
        <f>(Occurrence!K$3-M171)^2</f>
        <v>1.2099999999999998E-2</v>
      </c>
      <c r="X171" s="1">
        <f t="shared" si="25"/>
        <v>3.4706000000000001</v>
      </c>
      <c r="Z171" s="1">
        <f t="shared" si="26"/>
        <v>1</v>
      </c>
      <c r="AA171" s="1">
        <f t="shared" si="27"/>
        <v>0</v>
      </c>
      <c r="AB171" s="1">
        <f t="shared" si="28"/>
        <v>1</v>
      </c>
      <c r="AC171" s="1">
        <f t="shared" si="29"/>
        <v>0</v>
      </c>
      <c r="AD171" s="1">
        <f t="shared" si="30"/>
        <v>0</v>
      </c>
      <c r="AE171" s="1">
        <f t="shared" si="31"/>
        <v>1</v>
      </c>
      <c r="AF171" s="1">
        <f t="shared" si="32"/>
        <v>0</v>
      </c>
      <c r="AG171" s="1">
        <f t="shared" si="33"/>
        <v>0</v>
      </c>
      <c r="AH171" s="1">
        <f t="shared" si="34"/>
        <v>1</v>
      </c>
      <c r="AI171" s="1">
        <f t="shared" si="35"/>
        <v>1</v>
      </c>
      <c r="AJ171" s="1">
        <f>SUMXMY2(Z171:AI171, Occurrence!B$3:K$3)</f>
        <v>6</v>
      </c>
      <c r="AK171" s="1">
        <f t="shared" si="36"/>
        <v>4</v>
      </c>
    </row>
    <row r="172" spans="1:37">
      <c r="A172" s="1">
        <v>171</v>
      </c>
      <c r="B172" s="1">
        <v>4252170</v>
      </c>
      <c r="C172" s="6">
        <v>807</v>
      </c>
      <c r="D172" s="1">
        <v>0.2</v>
      </c>
      <c r="E172" s="1">
        <v>0.35</v>
      </c>
      <c r="F172" s="1">
        <v>0.2</v>
      </c>
      <c r="G172" s="1">
        <v>0.4</v>
      </c>
      <c r="H172" s="1">
        <v>0.6</v>
      </c>
      <c r="I172" s="1">
        <v>0.85</v>
      </c>
      <c r="J172" s="1">
        <v>0.5</v>
      </c>
      <c r="K172" s="1">
        <v>0.2</v>
      </c>
      <c r="L172" s="1">
        <v>0.15</v>
      </c>
      <c r="M172" s="1">
        <v>0.75</v>
      </c>
      <c r="N172" s="1">
        <f>(Occurrence!B$3-D172)^2</f>
        <v>4.0000000000000008E-2</v>
      </c>
      <c r="O172" s="1">
        <f>(Occurrence!C$3-E172)^2</f>
        <v>0.12249999999999998</v>
      </c>
      <c r="P172" s="1">
        <f>(Occurrence!D$3-F172)^2</f>
        <v>0.64000000000000012</v>
      </c>
      <c r="Q172" s="1">
        <f>(Occurrence!E$3-G172)^2</f>
        <v>0.36</v>
      </c>
      <c r="R172" s="1">
        <f>(Occurrence!F$3-H172)^2</f>
        <v>0.36</v>
      </c>
      <c r="S172" s="1">
        <f>(Occurrence!G$3-I172)^2</f>
        <v>0.72249999999999992</v>
      </c>
      <c r="T172" s="1">
        <f>(Occurrence!H$3-J172)^2</f>
        <v>0.25</v>
      </c>
      <c r="U172" s="1">
        <f>(Occurrence!I$3-K172)^2</f>
        <v>0.64000000000000012</v>
      </c>
      <c r="V172" s="1">
        <f>(Occurrence!J$3-L172)^2</f>
        <v>2.2499999999999999E-2</v>
      </c>
      <c r="W172" s="1">
        <f>(Occurrence!K$3-M172)^2</f>
        <v>6.25E-2</v>
      </c>
      <c r="X172" s="1">
        <f t="shared" si="25"/>
        <v>3.22</v>
      </c>
      <c r="Z172" s="1">
        <f t="shared" si="26"/>
        <v>0</v>
      </c>
      <c r="AA172" s="1">
        <f t="shared" si="27"/>
        <v>0</v>
      </c>
      <c r="AB172" s="1">
        <f t="shared" si="28"/>
        <v>0</v>
      </c>
      <c r="AC172" s="1">
        <f t="shared" si="29"/>
        <v>0</v>
      </c>
      <c r="AD172" s="1">
        <f t="shared" si="30"/>
        <v>1</v>
      </c>
      <c r="AE172" s="1">
        <f t="shared" si="31"/>
        <v>1</v>
      </c>
      <c r="AF172" s="1">
        <f t="shared" si="32"/>
        <v>1</v>
      </c>
      <c r="AG172" s="1">
        <f t="shared" si="33"/>
        <v>0</v>
      </c>
      <c r="AH172" s="1">
        <f t="shared" si="34"/>
        <v>0</v>
      </c>
      <c r="AI172" s="1">
        <f t="shared" si="35"/>
        <v>1</v>
      </c>
      <c r="AJ172" s="1">
        <f>SUMXMY2(Z172:AI172, Occurrence!B$3:K$3)</f>
        <v>5</v>
      </c>
      <c r="AK172" s="1">
        <f t="shared" si="36"/>
        <v>5</v>
      </c>
    </row>
    <row r="173" spans="1:37">
      <c r="A173" s="1">
        <v>172</v>
      </c>
      <c r="B173" s="1">
        <v>4252171</v>
      </c>
      <c r="C173" s="6">
        <v>807</v>
      </c>
      <c r="D173" s="1">
        <v>0.15</v>
      </c>
      <c r="E173" s="1">
        <v>0.25</v>
      </c>
      <c r="F173" s="1">
        <v>0.25</v>
      </c>
      <c r="G173" s="1">
        <v>0.4</v>
      </c>
      <c r="H173" s="1">
        <v>0.6</v>
      </c>
      <c r="I173" s="1">
        <v>0.85</v>
      </c>
      <c r="J173" s="1">
        <v>0.5</v>
      </c>
      <c r="K173" s="1">
        <v>0.2</v>
      </c>
      <c r="L173" s="1">
        <v>0.15</v>
      </c>
      <c r="M173" s="1">
        <v>0.75</v>
      </c>
      <c r="N173" s="1">
        <f>(Occurrence!B$3-D173)^2</f>
        <v>2.2499999999999999E-2</v>
      </c>
      <c r="O173" s="1">
        <f>(Occurrence!C$3-E173)^2</f>
        <v>6.25E-2</v>
      </c>
      <c r="P173" s="1">
        <f>(Occurrence!D$3-F173)^2</f>
        <v>0.5625</v>
      </c>
      <c r="Q173" s="1">
        <f>(Occurrence!E$3-G173)^2</f>
        <v>0.36</v>
      </c>
      <c r="R173" s="1">
        <f>(Occurrence!F$3-H173)^2</f>
        <v>0.36</v>
      </c>
      <c r="S173" s="1">
        <f>(Occurrence!G$3-I173)^2</f>
        <v>0.72249999999999992</v>
      </c>
      <c r="T173" s="1">
        <f>(Occurrence!H$3-J173)^2</f>
        <v>0.25</v>
      </c>
      <c r="U173" s="1">
        <f>(Occurrence!I$3-K173)^2</f>
        <v>0.64000000000000012</v>
      </c>
      <c r="V173" s="1">
        <f>(Occurrence!J$3-L173)^2</f>
        <v>2.2499999999999999E-2</v>
      </c>
      <c r="W173" s="1">
        <f>(Occurrence!K$3-M173)^2</f>
        <v>6.25E-2</v>
      </c>
      <c r="X173" s="1">
        <f t="shared" si="25"/>
        <v>3.0649999999999999</v>
      </c>
      <c r="Z173" s="1">
        <f t="shared" si="26"/>
        <v>0</v>
      </c>
      <c r="AA173" s="1">
        <f t="shared" si="27"/>
        <v>0</v>
      </c>
      <c r="AB173" s="1">
        <f t="shared" si="28"/>
        <v>0</v>
      </c>
      <c r="AC173" s="1">
        <f t="shared" si="29"/>
        <v>0</v>
      </c>
      <c r="AD173" s="1">
        <f t="shared" si="30"/>
        <v>1</v>
      </c>
      <c r="AE173" s="1">
        <f t="shared" si="31"/>
        <v>1</v>
      </c>
      <c r="AF173" s="1">
        <f t="shared" si="32"/>
        <v>1</v>
      </c>
      <c r="AG173" s="1">
        <f t="shared" si="33"/>
        <v>0</v>
      </c>
      <c r="AH173" s="1">
        <f t="shared" si="34"/>
        <v>0</v>
      </c>
      <c r="AI173" s="1">
        <f t="shared" si="35"/>
        <v>1</v>
      </c>
      <c r="AJ173" s="1">
        <f>SUMXMY2(Z173:AI173, Occurrence!B$3:K$3)</f>
        <v>5</v>
      </c>
      <c r="AK173" s="1">
        <f t="shared" si="36"/>
        <v>5</v>
      </c>
    </row>
    <row r="174" spans="1:37">
      <c r="A174" s="1">
        <v>173</v>
      </c>
      <c r="B174" s="1">
        <v>4252172</v>
      </c>
      <c r="C174" s="6">
        <v>807</v>
      </c>
      <c r="D174" s="1">
        <v>0.5</v>
      </c>
      <c r="E174" s="1">
        <v>0.1</v>
      </c>
      <c r="F174" s="1">
        <v>0.5</v>
      </c>
      <c r="G174" s="1">
        <v>0.1</v>
      </c>
      <c r="H174" s="1">
        <v>0.5</v>
      </c>
      <c r="I174" s="1">
        <v>0.5</v>
      </c>
      <c r="J174" s="1">
        <v>0.5</v>
      </c>
      <c r="K174" s="1">
        <v>0.5</v>
      </c>
      <c r="L174" s="1">
        <v>0.5</v>
      </c>
      <c r="M174" s="1">
        <v>0.5</v>
      </c>
      <c r="N174" s="1">
        <f>(Occurrence!B$3-D174)^2</f>
        <v>0.25</v>
      </c>
      <c r="O174" s="1">
        <f>(Occurrence!C$3-E174)^2</f>
        <v>1.0000000000000002E-2</v>
      </c>
      <c r="P174" s="1">
        <f>(Occurrence!D$3-F174)^2</f>
        <v>0.25</v>
      </c>
      <c r="Q174" s="1">
        <f>(Occurrence!E$3-G174)^2</f>
        <v>0.81</v>
      </c>
      <c r="R174" s="1">
        <f>(Occurrence!F$3-H174)^2</f>
        <v>0.25</v>
      </c>
      <c r="S174" s="1">
        <f>(Occurrence!G$3-I174)^2</f>
        <v>0.25</v>
      </c>
      <c r="T174" s="1">
        <f>(Occurrence!H$3-J174)^2</f>
        <v>0.25</v>
      </c>
      <c r="U174" s="1">
        <f>(Occurrence!I$3-K174)^2</f>
        <v>0.25</v>
      </c>
      <c r="V174" s="1">
        <f>(Occurrence!J$3-L174)^2</f>
        <v>0.25</v>
      </c>
      <c r="W174" s="1">
        <f>(Occurrence!K$3-M174)^2</f>
        <v>0.25</v>
      </c>
      <c r="X174" s="1">
        <f t="shared" si="25"/>
        <v>2.8200000000000003</v>
      </c>
      <c r="Z174" s="1">
        <f t="shared" si="26"/>
        <v>1</v>
      </c>
      <c r="AA174" s="1">
        <f t="shared" si="27"/>
        <v>0</v>
      </c>
      <c r="AB174" s="1">
        <f t="shared" si="28"/>
        <v>1</v>
      </c>
      <c r="AC174" s="1">
        <f t="shared" si="29"/>
        <v>0</v>
      </c>
      <c r="AD174" s="1">
        <f t="shared" si="30"/>
        <v>1</v>
      </c>
      <c r="AE174" s="1">
        <f t="shared" si="31"/>
        <v>1</v>
      </c>
      <c r="AF174" s="1">
        <f t="shared" si="32"/>
        <v>1</v>
      </c>
      <c r="AG174" s="1">
        <f t="shared" si="33"/>
        <v>1</v>
      </c>
      <c r="AH174" s="1">
        <f t="shared" si="34"/>
        <v>1</v>
      </c>
      <c r="AI174" s="1">
        <f t="shared" si="35"/>
        <v>1</v>
      </c>
      <c r="AJ174" s="1">
        <f>SUMXMY2(Z174:AI174, Occurrence!B$3:K$3)</f>
        <v>5</v>
      </c>
      <c r="AK174" s="1">
        <f t="shared" si="36"/>
        <v>5</v>
      </c>
    </row>
    <row r="175" spans="1:37">
      <c r="A175" s="1">
        <v>174</v>
      </c>
      <c r="B175" s="1">
        <v>4252173</v>
      </c>
      <c r="C175" s="6">
        <v>807</v>
      </c>
      <c r="D175" s="1">
        <v>0.1</v>
      </c>
      <c r="E175" s="1">
        <v>0.71</v>
      </c>
      <c r="F175" s="1">
        <v>0.8</v>
      </c>
      <c r="G175" s="1">
        <v>0.92</v>
      </c>
      <c r="H175" s="1">
        <v>0.98</v>
      </c>
      <c r="I175" s="1">
        <v>0.22</v>
      </c>
      <c r="J175" s="1">
        <v>0.95</v>
      </c>
      <c r="K175" s="1">
        <v>0.6</v>
      </c>
      <c r="L175" s="1">
        <v>0.43</v>
      </c>
      <c r="M175" s="1">
        <v>0.7</v>
      </c>
      <c r="N175" s="1">
        <f>(Occurrence!B$3-D175)^2</f>
        <v>1.0000000000000002E-2</v>
      </c>
      <c r="O175" s="1">
        <f>(Occurrence!C$3-E175)^2</f>
        <v>0.50409999999999999</v>
      </c>
      <c r="P175" s="1">
        <f>(Occurrence!D$3-F175)^2</f>
        <v>3.999999999999998E-2</v>
      </c>
      <c r="Q175" s="1">
        <f>(Occurrence!E$3-G175)^2</f>
        <v>6.3999999999999934E-3</v>
      </c>
      <c r="R175" s="1">
        <f>(Occurrence!F$3-H175)^2</f>
        <v>0.96039999999999992</v>
      </c>
      <c r="S175" s="1">
        <f>(Occurrence!G$3-I175)^2</f>
        <v>4.8399999999999999E-2</v>
      </c>
      <c r="T175" s="1">
        <f>(Occurrence!H$3-J175)^2</f>
        <v>2.5000000000000044E-3</v>
      </c>
      <c r="U175" s="1">
        <f>(Occurrence!I$3-K175)^2</f>
        <v>0.16000000000000003</v>
      </c>
      <c r="V175" s="1">
        <f>(Occurrence!J$3-L175)^2</f>
        <v>0.18489999999999998</v>
      </c>
      <c r="W175" s="1">
        <f>(Occurrence!K$3-M175)^2</f>
        <v>9.0000000000000024E-2</v>
      </c>
      <c r="X175" s="1">
        <f t="shared" si="25"/>
        <v>2.0066999999999999</v>
      </c>
      <c r="Z175" s="1">
        <f t="shared" si="26"/>
        <v>0</v>
      </c>
      <c r="AA175" s="1">
        <f t="shared" si="27"/>
        <v>1</v>
      </c>
      <c r="AB175" s="1">
        <f t="shared" si="28"/>
        <v>1</v>
      </c>
      <c r="AC175" s="1">
        <f t="shared" si="29"/>
        <v>1</v>
      </c>
      <c r="AD175" s="1">
        <f t="shared" si="30"/>
        <v>1</v>
      </c>
      <c r="AE175" s="1">
        <f t="shared" si="31"/>
        <v>0</v>
      </c>
      <c r="AF175" s="1">
        <f t="shared" si="32"/>
        <v>1</v>
      </c>
      <c r="AG175" s="1">
        <f t="shared" si="33"/>
        <v>1</v>
      </c>
      <c r="AH175" s="1">
        <f t="shared" si="34"/>
        <v>0</v>
      </c>
      <c r="AI175" s="1">
        <f t="shared" si="35"/>
        <v>1</v>
      </c>
      <c r="AJ175" s="1">
        <f>SUMXMY2(Z175:AI175, Occurrence!B$3:K$3)</f>
        <v>2</v>
      </c>
      <c r="AK175" s="1">
        <f t="shared" si="36"/>
        <v>8</v>
      </c>
    </row>
    <row r="176" spans="1:37">
      <c r="A176" s="1">
        <v>175</v>
      </c>
      <c r="B176" s="1">
        <v>4252174</v>
      </c>
      <c r="C176" s="6">
        <v>807</v>
      </c>
      <c r="D176" s="1">
        <v>0.99</v>
      </c>
      <c r="E176" s="1">
        <v>0.99</v>
      </c>
      <c r="F176" s="1">
        <v>0.99</v>
      </c>
      <c r="G176" s="1">
        <v>0.99</v>
      </c>
      <c r="H176" s="1">
        <v>0.99</v>
      </c>
      <c r="I176" s="1">
        <v>0.5</v>
      </c>
      <c r="J176" s="1">
        <v>0.9</v>
      </c>
      <c r="K176" s="1">
        <v>0.8</v>
      </c>
      <c r="L176" s="1">
        <v>0.99</v>
      </c>
      <c r="M176" s="1">
        <v>0.87</v>
      </c>
      <c r="N176" s="1">
        <f>(Occurrence!B$3-D176)^2</f>
        <v>0.98009999999999997</v>
      </c>
      <c r="O176" s="1">
        <f>(Occurrence!C$3-E176)^2</f>
        <v>0.98009999999999997</v>
      </c>
      <c r="P176" s="1">
        <f>(Occurrence!D$3-F176)^2</f>
        <v>1.0000000000000018E-4</v>
      </c>
      <c r="Q176" s="1">
        <f>(Occurrence!E$3-G176)^2</f>
        <v>1.0000000000000018E-4</v>
      </c>
      <c r="R176" s="1">
        <f>(Occurrence!F$3-H176)^2</f>
        <v>0.98009999999999997</v>
      </c>
      <c r="S176" s="1">
        <f>(Occurrence!G$3-I176)^2</f>
        <v>0.25</v>
      </c>
      <c r="T176" s="1">
        <f>(Occurrence!H$3-J176)^2</f>
        <v>9.999999999999995E-3</v>
      </c>
      <c r="U176" s="1">
        <f>(Occurrence!I$3-K176)^2</f>
        <v>3.999999999999998E-2</v>
      </c>
      <c r="V176" s="1">
        <f>(Occurrence!J$3-L176)^2</f>
        <v>0.98009999999999997</v>
      </c>
      <c r="W176" s="1">
        <f>(Occurrence!K$3-M176)^2</f>
        <v>1.6900000000000002E-2</v>
      </c>
      <c r="X176" s="1">
        <f t="shared" si="25"/>
        <v>4.2374999999999998</v>
      </c>
      <c r="Z176" s="1">
        <f t="shared" si="26"/>
        <v>1</v>
      </c>
      <c r="AA176" s="1">
        <f t="shared" si="27"/>
        <v>1</v>
      </c>
      <c r="AB176" s="1">
        <f t="shared" si="28"/>
        <v>1</v>
      </c>
      <c r="AC176" s="1">
        <f t="shared" si="29"/>
        <v>1</v>
      </c>
      <c r="AD176" s="1">
        <f t="shared" si="30"/>
        <v>1</v>
      </c>
      <c r="AE176" s="1">
        <f t="shared" si="31"/>
        <v>1</v>
      </c>
      <c r="AF176" s="1">
        <f t="shared" si="32"/>
        <v>1</v>
      </c>
      <c r="AG176" s="1">
        <f t="shared" si="33"/>
        <v>1</v>
      </c>
      <c r="AH176" s="1">
        <f t="shared" si="34"/>
        <v>1</v>
      </c>
      <c r="AI176" s="1">
        <f t="shared" si="35"/>
        <v>1</v>
      </c>
      <c r="AJ176" s="1">
        <f>SUMXMY2(Z176:AI176, Occurrence!B$3:K$3)</f>
        <v>5</v>
      </c>
      <c r="AK176" s="1">
        <f t="shared" si="36"/>
        <v>5</v>
      </c>
    </row>
    <row r="177" spans="1:37">
      <c r="A177" s="1">
        <v>176</v>
      </c>
      <c r="B177" s="1">
        <v>4252175</v>
      </c>
      <c r="C177" s="6">
        <v>807</v>
      </c>
      <c r="D177" s="1">
        <v>0.1</v>
      </c>
      <c r="E177" s="1">
        <v>0.15</v>
      </c>
      <c r="F177" s="1">
        <v>0.02</v>
      </c>
      <c r="G177" s="1">
        <v>0.23</v>
      </c>
      <c r="H177" s="1">
        <v>0.12</v>
      </c>
      <c r="I177" s="1">
        <v>0.05</v>
      </c>
      <c r="J177" s="1">
        <v>0.1</v>
      </c>
      <c r="K177" s="1">
        <v>0.09</v>
      </c>
      <c r="L177" s="1">
        <v>0.31</v>
      </c>
      <c r="M177" s="1">
        <v>0.11</v>
      </c>
      <c r="N177" s="1">
        <f>(Occurrence!B$3-D177)^2</f>
        <v>1.0000000000000002E-2</v>
      </c>
      <c r="O177" s="1">
        <f>(Occurrence!C$3-E177)^2</f>
        <v>2.2499999999999999E-2</v>
      </c>
      <c r="P177" s="1">
        <f>(Occurrence!D$3-F177)^2</f>
        <v>0.96039999999999992</v>
      </c>
      <c r="Q177" s="1">
        <f>(Occurrence!E$3-G177)^2</f>
        <v>0.59289999999999998</v>
      </c>
      <c r="R177" s="1">
        <f>(Occurrence!F$3-H177)^2</f>
        <v>1.44E-2</v>
      </c>
      <c r="S177" s="1">
        <f>(Occurrence!G$3-I177)^2</f>
        <v>2.5000000000000005E-3</v>
      </c>
      <c r="T177" s="1">
        <f>(Occurrence!H$3-J177)^2</f>
        <v>0.81</v>
      </c>
      <c r="U177" s="1">
        <f>(Occurrence!I$3-K177)^2</f>
        <v>0.82810000000000006</v>
      </c>
      <c r="V177" s="1">
        <f>(Occurrence!J$3-L177)^2</f>
        <v>9.6100000000000005E-2</v>
      </c>
      <c r="W177" s="1">
        <f>(Occurrence!K$3-M177)^2</f>
        <v>0.79210000000000003</v>
      </c>
      <c r="X177" s="1">
        <f t="shared" si="25"/>
        <v>4.1289999999999996</v>
      </c>
      <c r="Z177" s="1">
        <f t="shared" si="26"/>
        <v>0</v>
      </c>
      <c r="AA177" s="1">
        <f t="shared" si="27"/>
        <v>0</v>
      </c>
      <c r="AB177" s="1">
        <f t="shared" si="28"/>
        <v>0</v>
      </c>
      <c r="AC177" s="1">
        <f t="shared" si="29"/>
        <v>0</v>
      </c>
      <c r="AD177" s="1">
        <f t="shared" si="30"/>
        <v>0</v>
      </c>
      <c r="AE177" s="1">
        <f t="shared" si="31"/>
        <v>0</v>
      </c>
      <c r="AF177" s="1">
        <f t="shared" si="32"/>
        <v>0</v>
      </c>
      <c r="AG177" s="1">
        <f t="shared" si="33"/>
        <v>0</v>
      </c>
      <c r="AH177" s="1">
        <f t="shared" si="34"/>
        <v>0</v>
      </c>
      <c r="AI177" s="1">
        <f t="shared" si="35"/>
        <v>0</v>
      </c>
      <c r="AJ177" s="1">
        <f>SUMXMY2(Z177:AI177, Occurrence!B$3:K$3)</f>
        <v>5</v>
      </c>
      <c r="AK177" s="1">
        <f t="shared" si="36"/>
        <v>5</v>
      </c>
    </row>
    <row r="178" spans="1:37">
      <c r="A178" s="1">
        <v>177</v>
      </c>
      <c r="B178" s="1">
        <v>4252176</v>
      </c>
      <c r="C178" s="6">
        <v>807</v>
      </c>
      <c r="D178" s="1">
        <v>0.05</v>
      </c>
      <c r="E178" s="1">
        <v>7.0000000000000007E-2</v>
      </c>
      <c r="F178" s="1">
        <v>0.05</v>
      </c>
      <c r="G178" s="1">
        <v>7.0000000000000007E-2</v>
      </c>
      <c r="H178" s="1">
        <v>0.75</v>
      </c>
      <c r="I178" s="1">
        <v>0.05</v>
      </c>
      <c r="J178" s="1">
        <v>0.3</v>
      </c>
      <c r="K178" s="1">
        <v>0.75</v>
      </c>
      <c r="L178" s="1">
        <v>0.67</v>
      </c>
      <c r="M178" s="1">
        <v>0.15</v>
      </c>
      <c r="N178" s="1">
        <f>(Occurrence!B$3-D178)^2</f>
        <v>2.5000000000000005E-3</v>
      </c>
      <c r="O178" s="1">
        <f>(Occurrence!C$3-E178)^2</f>
        <v>4.9000000000000007E-3</v>
      </c>
      <c r="P178" s="1">
        <f>(Occurrence!D$3-F178)^2</f>
        <v>0.90249999999999997</v>
      </c>
      <c r="Q178" s="1">
        <f>(Occurrence!E$3-G178)^2</f>
        <v>0.86489999999999989</v>
      </c>
      <c r="R178" s="1">
        <f>(Occurrence!F$3-H178)^2</f>
        <v>0.5625</v>
      </c>
      <c r="S178" s="1">
        <f>(Occurrence!G$3-I178)^2</f>
        <v>2.5000000000000005E-3</v>
      </c>
      <c r="T178" s="1">
        <f>(Occurrence!H$3-J178)^2</f>
        <v>0.48999999999999994</v>
      </c>
      <c r="U178" s="1">
        <f>(Occurrence!I$3-K178)^2</f>
        <v>6.25E-2</v>
      </c>
      <c r="V178" s="1">
        <f>(Occurrence!J$3-L178)^2</f>
        <v>0.44890000000000008</v>
      </c>
      <c r="W178" s="1">
        <f>(Occurrence!K$3-M178)^2</f>
        <v>0.72249999999999992</v>
      </c>
      <c r="X178" s="1">
        <f t="shared" si="25"/>
        <v>4.0636999999999999</v>
      </c>
      <c r="Z178" s="1">
        <f t="shared" si="26"/>
        <v>0</v>
      </c>
      <c r="AA178" s="1">
        <f t="shared" si="27"/>
        <v>0</v>
      </c>
      <c r="AB178" s="1">
        <f t="shared" si="28"/>
        <v>0</v>
      </c>
      <c r="AC178" s="1">
        <f t="shared" si="29"/>
        <v>0</v>
      </c>
      <c r="AD178" s="1">
        <f t="shared" si="30"/>
        <v>1</v>
      </c>
      <c r="AE178" s="1">
        <f t="shared" si="31"/>
        <v>0</v>
      </c>
      <c r="AF178" s="1">
        <f t="shared" si="32"/>
        <v>0</v>
      </c>
      <c r="AG178" s="1">
        <f t="shared" si="33"/>
        <v>1</v>
      </c>
      <c r="AH178" s="1">
        <f t="shared" si="34"/>
        <v>1</v>
      </c>
      <c r="AI178" s="1">
        <f t="shared" si="35"/>
        <v>0</v>
      </c>
      <c r="AJ178" s="1">
        <f>SUMXMY2(Z178:AI178, Occurrence!B$3:K$3)</f>
        <v>6</v>
      </c>
      <c r="AK178" s="1">
        <f t="shared" si="36"/>
        <v>4</v>
      </c>
    </row>
    <row r="179" spans="1:37">
      <c r="A179" s="1">
        <v>178</v>
      </c>
      <c r="B179" s="1">
        <v>4252177</v>
      </c>
      <c r="C179" s="6">
        <v>807</v>
      </c>
      <c r="D179" s="1">
        <v>7.0000000000000007E-2</v>
      </c>
      <c r="E179" s="1">
        <v>0.2</v>
      </c>
      <c r="F179" s="1">
        <v>0.2</v>
      </c>
      <c r="G179" s="1">
        <v>0.47</v>
      </c>
      <c r="H179" s="1">
        <v>0.27</v>
      </c>
      <c r="I179" s="1">
        <v>0.21</v>
      </c>
      <c r="J179" s="1">
        <v>0.01</v>
      </c>
      <c r="K179" s="1">
        <v>0.7</v>
      </c>
      <c r="L179" s="1">
        <v>0.99</v>
      </c>
      <c r="M179" s="1">
        <v>0.41</v>
      </c>
      <c r="N179" s="1">
        <f>(Occurrence!B$3-D179)^2</f>
        <v>4.9000000000000007E-3</v>
      </c>
      <c r="O179" s="1">
        <f>(Occurrence!C$3-E179)^2</f>
        <v>4.0000000000000008E-2</v>
      </c>
      <c r="P179" s="1">
        <f>(Occurrence!D$3-F179)^2</f>
        <v>0.64000000000000012</v>
      </c>
      <c r="Q179" s="1">
        <f>(Occurrence!E$3-G179)^2</f>
        <v>0.28090000000000004</v>
      </c>
      <c r="R179" s="1">
        <f>(Occurrence!F$3-H179)^2</f>
        <v>7.2900000000000006E-2</v>
      </c>
      <c r="S179" s="1">
        <f>(Occurrence!G$3-I179)^2</f>
        <v>4.4099999999999993E-2</v>
      </c>
      <c r="T179" s="1">
        <f>(Occurrence!H$3-J179)^2</f>
        <v>0.98009999999999997</v>
      </c>
      <c r="U179" s="1">
        <f>(Occurrence!I$3-K179)^2</f>
        <v>9.0000000000000024E-2</v>
      </c>
      <c r="V179" s="1">
        <f>(Occurrence!J$3-L179)^2</f>
        <v>0.98009999999999997</v>
      </c>
      <c r="W179" s="1">
        <f>(Occurrence!K$3-M179)^2</f>
        <v>0.34810000000000008</v>
      </c>
      <c r="X179" s="1">
        <f t="shared" si="25"/>
        <v>3.4811000000000001</v>
      </c>
      <c r="Z179" s="1">
        <f t="shared" si="26"/>
        <v>0</v>
      </c>
      <c r="AA179" s="1">
        <f t="shared" si="27"/>
        <v>0</v>
      </c>
      <c r="AB179" s="1">
        <f t="shared" si="28"/>
        <v>0</v>
      </c>
      <c r="AC179" s="1">
        <f t="shared" si="29"/>
        <v>0</v>
      </c>
      <c r="AD179" s="1">
        <f t="shared" si="30"/>
        <v>0</v>
      </c>
      <c r="AE179" s="1">
        <f t="shared" si="31"/>
        <v>0</v>
      </c>
      <c r="AF179" s="1">
        <f t="shared" si="32"/>
        <v>0</v>
      </c>
      <c r="AG179" s="1">
        <f t="shared" si="33"/>
        <v>1</v>
      </c>
      <c r="AH179" s="1">
        <f t="shared" si="34"/>
        <v>1</v>
      </c>
      <c r="AI179" s="1">
        <f t="shared" si="35"/>
        <v>0</v>
      </c>
      <c r="AJ179" s="1">
        <f>SUMXMY2(Z179:AI179, Occurrence!B$3:K$3)</f>
        <v>5</v>
      </c>
      <c r="AK179" s="1">
        <f t="shared" si="36"/>
        <v>5</v>
      </c>
    </row>
    <row r="180" spans="1:37">
      <c r="A180" s="1">
        <v>179</v>
      </c>
      <c r="B180" s="1">
        <v>4252178</v>
      </c>
      <c r="C180" s="6">
        <v>807</v>
      </c>
      <c r="D180" s="1">
        <v>0.5</v>
      </c>
      <c r="E180" s="1">
        <v>0.1</v>
      </c>
      <c r="F180" s="1">
        <v>0.5</v>
      </c>
      <c r="G180" s="1">
        <v>0.1</v>
      </c>
      <c r="H180" s="1">
        <v>0.8</v>
      </c>
      <c r="I180" s="1">
        <v>0.9</v>
      </c>
      <c r="J180" s="1">
        <v>0.3</v>
      </c>
      <c r="K180" s="1">
        <v>0.7</v>
      </c>
      <c r="L180" s="1">
        <v>0.4</v>
      </c>
      <c r="M180" s="1">
        <v>0.2</v>
      </c>
      <c r="N180" s="1">
        <f>(Occurrence!B$3-D180)^2</f>
        <v>0.25</v>
      </c>
      <c r="O180" s="1">
        <f>(Occurrence!C$3-E180)^2</f>
        <v>1.0000000000000002E-2</v>
      </c>
      <c r="P180" s="1">
        <f>(Occurrence!D$3-F180)^2</f>
        <v>0.25</v>
      </c>
      <c r="Q180" s="1">
        <f>(Occurrence!E$3-G180)^2</f>
        <v>0.81</v>
      </c>
      <c r="R180" s="1">
        <f>(Occurrence!F$3-H180)^2</f>
        <v>0.64000000000000012</v>
      </c>
      <c r="S180" s="1">
        <f>(Occurrence!G$3-I180)^2</f>
        <v>0.81</v>
      </c>
      <c r="T180" s="1">
        <f>(Occurrence!H$3-J180)^2</f>
        <v>0.48999999999999994</v>
      </c>
      <c r="U180" s="1">
        <f>(Occurrence!I$3-K180)^2</f>
        <v>9.0000000000000024E-2</v>
      </c>
      <c r="V180" s="1">
        <f>(Occurrence!J$3-L180)^2</f>
        <v>0.16000000000000003</v>
      </c>
      <c r="W180" s="1">
        <f>(Occurrence!K$3-M180)^2</f>
        <v>0.64000000000000012</v>
      </c>
      <c r="X180" s="1">
        <f t="shared" si="25"/>
        <v>4.1500000000000004</v>
      </c>
      <c r="Z180" s="1">
        <f t="shared" si="26"/>
        <v>1</v>
      </c>
      <c r="AA180" s="1">
        <f t="shared" si="27"/>
        <v>0</v>
      </c>
      <c r="AB180" s="1">
        <f t="shared" si="28"/>
        <v>1</v>
      </c>
      <c r="AC180" s="1">
        <f t="shared" si="29"/>
        <v>0</v>
      </c>
      <c r="AD180" s="1">
        <f t="shared" si="30"/>
        <v>1</v>
      </c>
      <c r="AE180" s="1">
        <f t="shared" si="31"/>
        <v>1</v>
      </c>
      <c r="AF180" s="1">
        <f t="shared" si="32"/>
        <v>0</v>
      </c>
      <c r="AG180" s="1">
        <f t="shared" si="33"/>
        <v>1</v>
      </c>
      <c r="AH180" s="1">
        <f t="shared" si="34"/>
        <v>0</v>
      </c>
      <c r="AI180" s="1">
        <f t="shared" si="35"/>
        <v>0</v>
      </c>
      <c r="AJ180" s="1">
        <f>SUMXMY2(Z180:AI180, Occurrence!B$3:K$3)</f>
        <v>6</v>
      </c>
      <c r="AK180" s="1">
        <f t="shared" si="36"/>
        <v>4</v>
      </c>
    </row>
    <row r="181" spans="1:37">
      <c r="A181" s="1">
        <v>180</v>
      </c>
      <c r="B181" s="1">
        <v>4252179</v>
      </c>
      <c r="C181" s="6">
        <v>807</v>
      </c>
      <c r="D181" s="1">
        <v>0.2</v>
      </c>
      <c r="E181" s="1">
        <v>0.5</v>
      </c>
      <c r="F181" s="1">
        <v>0.6</v>
      </c>
      <c r="G181" s="1">
        <v>0.8</v>
      </c>
      <c r="H181" s="1">
        <v>0.8</v>
      </c>
      <c r="I181" s="1">
        <v>0.4</v>
      </c>
      <c r="J181" s="1">
        <v>0.7</v>
      </c>
      <c r="K181" s="1">
        <v>0.85</v>
      </c>
      <c r="L181" s="1">
        <v>0.2</v>
      </c>
      <c r="M181" s="1">
        <v>0.6</v>
      </c>
      <c r="N181" s="1">
        <f>(Occurrence!B$3-D181)^2</f>
        <v>4.0000000000000008E-2</v>
      </c>
      <c r="O181" s="1">
        <f>(Occurrence!C$3-E181)^2</f>
        <v>0.25</v>
      </c>
      <c r="P181" s="1">
        <f>(Occurrence!D$3-F181)^2</f>
        <v>0.16000000000000003</v>
      </c>
      <c r="Q181" s="1">
        <f>(Occurrence!E$3-G181)^2</f>
        <v>3.999999999999998E-2</v>
      </c>
      <c r="R181" s="1">
        <f>(Occurrence!F$3-H181)^2</f>
        <v>0.64000000000000012</v>
      </c>
      <c r="S181" s="1">
        <f>(Occurrence!G$3-I181)^2</f>
        <v>0.16000000000000003</v>
      </c>
      <c r="T181" s="1">
        <f>(Occurrence!H$3-J181)^2</f>
        <v>9.0000000000000024E-2</v>
      </c>
      <c r="U181" s="1">
        <f>(Occurrence!I$3-K181)^2</f>
        <v>2.2500000000000006E-2</v>
      </c>
      <c r="V181" s="1">
        <f>(Occurrence!J$3-L181)^2</f>
        <v>4.0000000000000008E-2</v>
      </c>
      <c r="W181" s="1">
        <f>(Occurrence!K$3-M181)^2</f>
        <v>0.16000000000000003</v>
      </c>
      <c r="X181" s="1">
        <f t="shared" si="25"/>
        <v>1.6025</v>
      </c>
      <c r="Z181" s="1">
        <f t="shared" si="26"/>
        <v>0</v>
      </c>
      <c r="AA181" s="1">
        <f t="shared" si="27"/>
        <v>1</v>
      </c>
      <c r="AB181" s="1">
        <f t="shared" si="28"/>
        <v>1</v>
      </c>
      <c r="AC181" s="1">
        <f t="shared" si="29"/>
        <v>1</v>
      </c>
      <c r="AD181" s="1">
        <f t="shared" si="30"/>
        <v>1</v>
      </c>
      <c r="AE181" s="1">
        <f t="shared" si="31"/>
        <v>0</v>
      </c>
      <c r="AF181" s="1">
        <f t="shared" si="32"/>
        <v>1</v>
      </c>
      <c r="AG181" s="1">
        <f t="shared" si="33"/>
        <v>1</v>
      </c>
      <c r="AH181" s="1">
        <f t="shared" si="34"/>
        <v>0</v>
      </c>
      <c r="AI181" s="1">
        <f t="shared" si="35"/>
        <v>1</v>
      </c>
      <c r="AJ181" s="1">
        <f>SUMXMY2(Z181:AI181, Occurrence!B$3:K$3)</f>
        <v>2</v>
      </c>
      <c r="AK181" s="1">
        <f t="shared" si="36"/>
        <v>8</v>
      </c>
    </row>
    <row r="182" spans="1:37">
      <c r="A182" s="1">
        <v>181</v>
      </c>
      <c r="B182" s="1">
        <v>4252180</v>
      </c>
      <c r="C182" s="6">
        <v>807</v>
      </c>
      <c r="D182" s="1">
        <v>0.8</v>
      </c>
      <c r="E182" s="1">
        <v>0.15</v>
      </c>
      <c r="F182" s="1">
        <v>0.2</v>
      </c>
      <c r="G182" s="1">
        <v>0.5</v>
      </c>
      <c r="H182" s="1">
        <v>0.85</v>
      </c>
      <c r="I182" s="1">
        <v>0.2</v>
      </c>
      <c r="J182" s="1">
        <v>0.6</v>
      </c>
      <c r="K182" s="1">
        <v>0.8</v>
      </c>
      <c r="L182" s="1">
        <v>0.2</v>
      </c>
      <c r="M182" s="1">
        <v>0.55000000000000004</v>
      </c>
      <c r="N182" s="1">
        <f>(Occurrence!B$3-D182)^2</f>
        <v>0.64000000000000012</v>
      </c>
      <c r="O182" s="1">
        <f>(Occurrence!C$3-E182)^2</f>
        <v>2.2499999999999999E-2</v>
      </c>
      <c r="P182" s="1">
        <f>(Occurrence!D$3-F182)^2</f>
        <v>0.64000000000000012</v>
      </c>
      <c r="Q182" s="1">
        <f>(Occurrence!E$3-G182)^2</f>
        <v>0.25</v>
      </c>
      <c r="R182" s="1">
        <f>(Occurrence!F$3-H182)^2</f>
        <v>0.72249999999999992</v>
      </c>
      <c r="S182" s="1">
        <f>(Occurrence!G$3-I182)^2</f>
        <v>4.0000000000000008E-2</v>
      </c>
      <c r="T182" s="1">
        <f>(Occurrence!H$3-J182)^2</f>
        <v>0.16000000000000003</v>
      </c>
      <c r="U182" s="1">
        <f>(Occurrence!I$3-K182)^2</f>
        <v>3.999999999999998E-2</v>
      </c>
      <c r="V182" s="1">
        <f>(Occurrence!J$3-L182)^2</f>
        <v>4.0000000000000008E-2</v>
      </c>
      <c r="W182" s="1">
        <f>(Occurrence!K$3-M182)^2</f>
        <v>0.20249999999999996</v>
      </c>
      <c r="X182" s="1">
        <f t="shared" si="25"/>
        <v>2.7575000000000007</v>
      </c>
      <c r="Z182" s="1">
        <f t="shared" si="26"/>
        <v>1</v>
      </c>
      <c r="AA182" s="1">
        <f t="shared" si="27"/>
        <v>0</v>
      </c>
      <c r="AB182" s="1">
        <f t="shared" si="28"/>
        <v>0</v>
      </c>
      <c r="AC182" s="1">
        <f t="shared" si="29"/>
        <v>1</v>
      </c>
      <c r="AD182" s="1">
        <f t="shared" si="30"/>
        <v>1</v>
      </c>
      <c r="AE182" s="1">
        <f t="shared" si="31"/>
        <v>0</v>
      </c>
      <c r="AF182" s="1">
        <f t="shared" si="32"/>
        <v>1</v>
      </c>
      <c r="AG182" s="1">
        <f t="shared" si="33"/>
        <v>1</v>
      </c>
      <c r="AH182" s="1">
        <f t="shared" si="34"/>
        <v>0</v>
      </c>
      <c r="AI182" s="1">
        <f t="shared" si="35"/>
        <v>1</v>
      </c>
      <c r="AJ182" s="1">
        <f>SUMXMY2(Z182:AI182, Occurrence!B$3:K$3)</f>
        <v>3</v>
      </c>
      <c r="AK182" s="1">
        <f t="shared" si="36"/>
        <v>7</v>
      </c>
    </row>
    <row r="183" spans="1:37">
      <c r="A183" s="1">
        <v>182</v>
      </c>
      <c r="B183" s="1">
        <v>4252181</v>
      </c>
      <c r="C183" s="6">
        <v>807</v>
      </c>
      <c r="D183" s="1">
        <v>0.8</v>
      </c>
      <c r="E183" s="1">
        <v>0.15</v>
      </c>
      <c r="F183" s="1">
        <v>0.02</v>
      </c>
      <c r="G183" s="1">
        <v>0.45</v>
      </c>
      <c r="H183" s="1">
        <v>0.85</v>
      </c>
      <c r="I183" s="1">
        <v>0.9</v>
      </c>
      <c r="J183" s="1">
        <v>0.75</v>
      </c>
      <c r="K183" s="1">
        <v>0.85</v>
      </c>
      <c r="L183" s="1">
        <v>0.15</v>
      </c>
      <c r="M183" s="1">
        <v>0.88</v>
      </c>
      <c r="N183" s="1">
        <f>(Occurrence!B$3-D183)^2</f>
        <v>0.64000000000000012</v>
      </c>
      <c r="O183" s="1">
        <f>(Occurrence!C$3-E183)^2</f>
        <v>2.2499999999999999E-2</v>
      </c>
      <c r="P183" s="1">
        <f>(Occurrence!D$3-F183)^2</f>
        <v>0.96039999999999992</v>
      </c>
      <c r="Q183" s="1">
        <f>(Occurrence!E$3-G183)^2</f>
        <v>0.30250000000000005</v>
      </c>
      <c r="R183" s="1">
        <f>(Occurrence!F$3-H183)^2</f>
        <v>0.72249999999999992</v>
      </c>
      <c r="S183" s="1">
        <f>(Occurrence!G$3-I183)^2</f>
        <v>0.81</v>
      </c>
      <c r="T183" s="1">
        <f>(Occurrence!H$3-J183)^2</f>
        <v>6.25E-2</v>
      </c>
      <c r="U183" s="1">
        <f>(Occurrence!I$3-K183)^2</f>
        <v>2.2500000000000006E-2</v>
      </c>
      <c r="V183" s="1">
        <f>(Occurrence!J$3-L183)^2</f>
        <v>2.2499999999999999E-2</v>
      </c>
      <c r="W183" s="1">
        <f>(Occurrence!K$3-M183)^2</f>
        <v>1.44E-2</v>
      </c>
      <c r="X183" s="1">
        <f t="shared" si="25"/>
        <v>3.5798000000000001</v>
      </c>
      <c r="Z183" s="1">
        <f t="shared" si="26"/>
        <v>1</v>
      </c>
      <c r="AA183" s="1">
        <f t="shared" si="27"/>
        <v>0</v>
      </c>
      <c r="AB183" s="1">
        <f t="shared" si="28"/>
        <v>0</v>
      </c>
      <c r="AC183" s="1">
        <f t="shared" si="29"/>
        <v>0</v>
      </c>
      <c r="AD183" s="1">
        <f t="shared" si="30"/>
        <v>1</v>
      </c>
      <c r="AE183" s="1">
        <f t="shared" si="31"/>
        <v>1</v>
      </c>
      <c r="AF183" s="1">
        <f t="shared" si="32"/>
        <v>1</v>
      </c>
      <c r="AG183" s="1">
        <f t="shared" si="33"/>
        <v>1</v>
      </c>
      <c r="AH183" s="1">
        <f t="shared" si="34"/>
        <v>0</v>
      </c>
      <c r="AI183" s="1">
        <f t="shared" si="35"/>
        <v>1</v>
      </c>
      <c r="AJ183" s="1">
        <f>SUMXMY2(Z183:AI183, Occurrence!B$3:K$3)</f>
        <v>5</v>
      </c>
      <c r="AK183" s="1">
        <f t="shared" si="36"/>
        <v>5</v>
      </c>
    </row>
    <row r="184" spans="1:37">
      <c r="A184" s="1">
        <v>183</v>
      </c>
      <c r="B184" s="1">
        <v>4252182</v>
      </c>
      <c r="C184" s="6">
        <v>807</v>
      </c>
      <c r="D184" s="1">
        <v>0.50509999999999999</v>
      </c>
      <c r="E184" s="1">
        <v>0.34200000000000003</v>
      </c>
      <c r="F184" s="1">
        <v>0.2117</v>
      </c>
      <c r="G184" s="1">
        <v>0.61919999999999997</v>
      </c>
      <c r="H184" s="1">
        <v>0.44500000000000001</v>
      </c>
      <c r="I184" s="1">
        <v>0.373</v>
      </c>
      <c r="J184" s="1">
        <v>0.20100000000000001</v>
      </c>
      <c r="K184" s="1">
        <v>0.75</v>
      </c>
      <c r="L184" s="1">
        <v>0.55400000000000005</v>
      </c>
      <c r="M184" s="1">
        <v>0.77600000000000002</v>
      </c>
      <c r="N184" s="1">
        <f>(Occurrence!B$3-D184)^2</f>
        <v>0.25512601000000001</v>
      </c>
      <c r="O184" s="1">
        <f>(Occurrence!C$3-E184)^2</f>
        <v>0.11696400000000001</v>
      </c>
      <c r="P184" s="1">
        <f>(Occurrence!D$3-F184)^2</f>
        <v>0.62141689</v>
      </c>
      <c r="Q184" s="1">
        <f>(Occurrence!E$3-G184)^2</f>
        <v>0.14500864000000002</v>
      </c>
      <c r="R184" s="1">
        <f>(Occurrence!F$3-H184)^2</f>
        <v>0.19802500000000001</v>
      </c>
      <c r="S184" s="1">
        <f>(Occurrence!G$3-I184)^2</f>
        <v>0.139129</v>
      </c>
      <c r="T184" s="1">
        <f>(Occurrence!H$3-J184)^2</f>
        <v>0.63840099999999989</v>
      </c>
      <c r="U184" s="1">
        <f>(Occurrence!I$3-K184)^2</f>
        <v>6.25E-2</v>
      </c>
      <c r="V184" s="1">
        <f>(Occurrence!J$3-L184)^2</f>
        <v>0.30691600000000008</v>
      </c>
      <c r="W184" s="1">
        <f>(Occurrence!K$3-M184)^2</f>
        <v>5.0175999999999991E-2</v>
      </c>
      <c r="X184" s="1">
        <f t="shared" si="25"/>
        <v>2.5336625400000004</v>
      </c>
      <c r="Z184" s="1">
        <f t="shared" si="26"/>
        <v>1</v>
      </c>
      <c r="AA184" s="1">
        <f t="shared" si="27"/>
        <v>0</v>
      </c>
      <c r="AB184" s="1">
        <f t="shared" si="28"/>
        <v>0</v>
      </c>
      <c r="AC184" s="1">
        <f t="shared" si="29"/>
        <v>1</v>
      </c>
      <c r="AD184" s="1">
        <f t="shared" si="30"/>
        <v>0</v>
      </c>
      <c r="AE184" s="1">
        <f t="shared" si="31"/>
        <v>0</v>
      </c>
      <c r="AF184" s="1">
        <f t="shared" si="32"/>
        <v>0</v>
      </c>
      <c r="AG184" s="1">
        <f t="shared" si="33"/>
        <v>1</v>
      </c>
      <c r="AH184" s="1">
        <f t="shared" si="34"/>
        <v>1</v>
      </c>
      <c r="AI184" s="1">
        <f t="shared" si="35"/>
        <v>1</v>
      </c>
      <c r="AJ184" s="1">
        <f>SUMXMY2(Z184:AI184, Occurrence!B$3:K$3)</f>
        <v>4</v>
      </c>
      <c r="AK184" s="1">
        <f t="shared" si="36"/>
        <v>6</v>
      </c>
    </row>
    <row r="185" spans="1:37">
      <c r="A185" s="1">
        <v>184</v>
      </c>
      <c r="B185" s="1">
        <v>4252183</v>
      </c>
      <c r="C185" s="6">
        <v>807</v>
      </c>
      <c r="D185" s="1">
        <v>0.05</v>
      </c>
      <c r="E185" s="1">
        <v>0.15</v>
      </c>
      <c r="F185" s="1">
        <v>0.6</v>
      </c>
      <c r="G185" s="1">
        <v>0.2</v>
      </c>
      <c r="H185" s="1">
        <v>0.35</v>
      </c>
      <c r="I185" s="1">
        <v>0.8</v>
      </c>
      <c r="J185" s="1">
        <v>0.99</v>
      </c>
      <c r="K185" s="1">
        <v>0.65</v>
      </c>
      <c r="L185" s="1">
        <v>0.25</v>
      </c>
      <c r="M185" s="1">
        <v>0.9</v>
      </c>
      <c r="N185" s="1">
        <f>(Occurrence!B$3-D185)^2</f>
        <v>2.5000000000000005E-3</v>
      </c>
      <c r="O185" s="1">
        <f>(Occurrence!C$3-E185)^2</f>
        <v>2.2499999999999999E-2</v>
      </c>
      <c r="P185" s="1">
        <f>(Occurrence!D$3-F185)^2</f>
        <v>0.16000000000000003</v>
      </c>
      <c r="Q185" s="1">
        <f>(Occurrence!E$3-G185)^2</f>
        <v>0.64000000000000012</v>
      </c>
      <c r="R185" s="1">
        <f>(Occurrence!F$3-H185)^2</f>
        <v>0.12249999999999998</v>
      </c>
      <c r="S185" s="1">
        <f>(Occurrence!G$3-I185)^2</f>
        <v>0.64000000000000012</v>
      </c>
      <c r="T185" s="1">
        <f>(Occurrence!H$3-J185)^2</f>
        <v>1.0000000000000018E-4</v>
      </c>
      <c r="U185" s="1">
        <f>(Occurrence!I$3-K185)^2</f>
        <v>0.12249999999999998</v>
      </c>
      <c r="V185" s="1">
        <f>(Occurrence!J$3-L185)^2</f>
        <v>6.25E-2</v>
      </c>
      <c r="W185" s="1">
        <f>(Occurrence!K$3-M185)^2</f>
        <v>9.999999999999995E-3</v>
      </c>
      <c r="X185" s="1">
        <f t="shared" si="25"/>
        <v>1.7826000000000004</v>
      </c>
      <c r="Z185" s="1">
        <f t="shared" si="26"/>
        <v>0</v>
      </c>
      <c r="AA185" s="1">
        <f t="shared" si="27"/>
        <v>0</v>
      </c>
      <c r="AB185" s="1">
        <f t="shared" si="28"/>
        <v>1</v>
      </c>
      <c r="AC185" s="1">
        <f t="shared" si="29"/>
        <v>0</v>
      </c>
      <c r="AD185" s="1">
        <f t="shared" si="30"/>
        <v>0</v>
      </c>
      <c r="AE185" s="1">
        <f t="shared" si="31"/>
        <v>1</v>
      </c>
      <c r="AF185" s="1">
        <f t="shared" si="32"/>
        <v>1</v>
      </c>
      <c r="AG185" s="1">
        <f t="shared" si="33"/>
        <v>1</v>
      </c>
      <c r="AH185" s="1">
        <f t="shared" si="34"/>
        <v>0</v>
      </c>
      <c r="AI185" s="1">
        <f t="shared" si="35"/>
        <v>1</v>
      </c>
      <c r="AJ185" s="1">
        <f>SUMXMY2(Z185:AI185, Occurrence!B$3:K$3)</f>
        <v>2</v>
      </c>
      <c r="AK185" s="1">
        <f t="shared" si="36"/>
        <v>8</v>
      </c>
    </row>
    <row r="186" spans="1:37">
      <c r="A186" s="1">
        <v>185</v>
      </c>
      <c r="B186" s="1">
        <v>4252184</v>
      </c>
      <c r="C186" s="6">
        <v>807</v>
      </c>
      <c r="D186" s="1">
        <v>0.01</v>
      </c>
      <c r="E186" s="1">
        <v>0.1</v>
      </c>
      <c r="F186" s="1">
        <v>0.7</v>
      </c>
      <c r="G186" s="1">
        <v>0.99990000000000001</v>
      </c>
      <c r="H186" s="1">
        <v>1E-3</v>
      </c>
      <c r="I186" s="1">
        <v>0.7</v>
      </c>
      <c r="J186" s="1">
        <v>0.4</v>
      </c>
      <c r="K186" s="1">
        <v>0.2</v>
      </c>
      <c r="L186" s="1">
        <v>0.5</v>
      </c>
      <c r="M186" s="1">
        <v>0.3</v>
      </c>
      <c r="N186" s="1">
        <f>(Occurrence!B$3-D186)^2</f>
        <v>1E-4</v>
      </c>
      <c r="O186" s="1">
        <f>(Occurrence!C$3-E186)^2</f>
        <v>1.0000000000000002E-2</v>
      </c>
      <c r="P186" s="1">
        <f>(Occurrence!D$3-F186)^2</f>
        <v>9.0000000000000024E-2</v>
      </c>
      <c r="Q186" s="1">
        <f>(Occurrence!E$3-G186)^2</f>
        <v>9.9999999999977966E-9</v>
      </c>
      <c r="R186" s="1">
        <f>(Occurrence!F$3-H186)^2</f>
        <v>9.9999999999999995E-7</v>
      </c>
      <c r="S186" s="1">
        <f>(Occurrence!G$3-I186)^2</f>
        <v>0.48999999999999994</v>
      </c>
      <c r="T186" s="1">
        <f>(Occurrence!H$3-J186)^2</f>
        <v>0.36</v>
      </c>
      <c r="U186" s="1">
        <f>(Occurrence!I$3-K186)^2</f>
        <v>0.64000000000000012</v>
      </c>
      <c r="V186" s="1">
        <f>(Occurrence!J$3-L186)^2</f>
        <v>0.25</v>
      </c>
      <c r="W186" s="1">
        <f>(Occurrence!K$3-M186)^2</f>
        <v>0.48999999999999994</v>
      </c>
      <c r="X186" s="1">
        <f t="shared" si="25"/>
        <v>2.3301010099999999</v>
      </c>
      <c r="Z186" s="1">
        <f t="shared" si="26"/>
        <v>0</v>
      </c>
      <c r="AA186" s="1">
        <f t="shared" si="27"/>
        <v>0</v>
      </c>
      <c r="AB186" s="1">
        <f t="shared" si="28"/>
        <v>1</v>
      </c>
      <c r="AC186" s="1">
        <f t="shared" si="29"/>
        <v>1</v>
      </c>
      <c r="AD186" s="1">
        <f t="shared" si="30"/>
        <v>0</v>
      </c>
      <c r="AE186" s="1">
        <f t="shared" si="31"/>
        <v>1</v>
      </c>
      <c r="AF186" s="1">
        <f t="shared" si="32"/>
        <v>0</v>
      </c>
      <c r="AG186" s="1">
        <f t="shared" si="33"/>
        <v>0</v>
      </c>
      <c r="AH186" s="1">
        <f t="shared" si="34"/>
        <v>1</v>
      </c>
      <c r="AI186" s="1">
        <f t="shared" si="35"/>
        <v>0</v>
      </c>
      <c r="AJ186" s="1">
        <f>SUMXMY2(Z186:AI186, Occurrence!B$3:K$3)</f>
        <v>5</v>
      </c>
      <c r="AK186" s="1">
        <f t="shared" si="36"/>
        <v>5</v>
      </c>
    </row>
    <row r="187" spans="1:37">
      <c r="A187" s="1">
        <v>186</v>
      </c>
      <c r="B187" s="1">
        <v>4252185</v>
      </c>
      <c r="C187" s="6">
        <v>807</v>
      </c>
      <c r="D187" s="1">
        <v>0.23</v>
      </c>
      <c r="E187" s="1">
        <v>0.72</v>
      </c>
      <c r="F187" s="1">
        <v>0.03</v>
      </c>
      <c r="G187" s="1">
        <v>0.85</v>
      </c>
      <c r="H187" s="1">
        <v>0.98</v>
      </c>
      <c r="I187" s="1">
        <v>0.77</v>
      </c>
      <c r="J187" s="1">
        <v>0.99</v>
      </c>
      <c r="K187" s="1">
        <v>0.95</v>
      </c>
      <c r="L187" s="1">
        <v>0.99</v>
      </c>
      <c r="M187" s="1">
        <v>0.57999999999999996</v>
      </c>
      <c r="N187" s="1">
        <f>(Occurrence!B$3-D187)^2</f>
        <v>5.2900000000000003E-2</v>
      </c>
      <c r="O187" s="1">
        <f>(Occurrence!C$3-E187)^2</f>
        <v>0.51839999999999997</v>
      </c>
      <c r="P187" s="1">
        <f>(Occurrence!D$3-F187)^2</f>
        <v>0.94089999999999996</v>
      </c>
      <c r="Q187" s="1">
        <f>(Occurrence!E$3-G187)^2</f>
        <v>2.2500000000000006E-2</v>
      </c>
      <c r="R187" s="1">
        <f>(Occurrence!F$3-H187)^2</f>
        <v>0.96039999999999992</v>
      </c>
      <c r="S187" s="1">
        <f>(Occurrence!G$3-I187)^2</f>
        <v>0.59289999999999998</v>
      </c>
      <c r="T187" s="1">
        <f>(Occurrence!H$3-J187)^2</f>
        <v>1.0000000000000018E-4</v>
      </c>
      <c r="U187" s="1">
        <f>(Occurrence!I$3-K187)^2</f>
        <v>2.5000000000000044E-3</v>
      </c>
      <c r="V187" s="1">
        <f>(Occurrence!J$3-L187)^2</f>
        <v>0.98009999999999997</v>
      </c>
      <c r="W187" s="1">
        <f>(Occurrence!K$3-M187)^2</f>
        <v>0.17640000000000003</v>
      </c>
      <c r="X187" s="1">
        <f t="shared" si="25"/>
        <v>4.2471000000000005</v>
      </c>
      <c r="Z187" s="1">
        <f t="shared" si="26"/>
        <v>0</v>
      </c>
      <c r="AA187" s="1">
        <f t="shared" si="27"/>
        <v>1</v>
      </c>
      <c r="AB187" s="1">
        <f t="shared" si="28"/>
        <v>0</v>
      </c>
      <c r="AC187" s="1">
        <f t="shared" si="29"/>
        <v>1</v>
      </c>
      <c r="AD187" s="1">
        <f t="shared" si="30"/>
        <v>1</v>
      </c>
      <c r="AE187" s="1">
        <f t="shared" si="31"/>
        <v>1</v>
      </c>
      <c r="AF187" s="1">
        <f t="shared" si="32"/>
        <v>1</v>
      </c>
      <c r="AG187" s="1">
        <f t="shared" si="33"/>
        <v>1</v>
      </c>
      <c r="AH187" s="1">
        <f t="shared" si="34"/>
        <v>1</v>
      </c>
      <c r="AI187" s="1">
        <f t="shared" si="35"/>
        <v>1</v>
      </c>
      <c r="AJ187" s="1">
        <f>SUMXMY2(Z187:AI187, Occurrence!B$3:K$3)</f>
        <v>5</v>
      </c>
      <c r="AK187" s="1">
        <f t="shared" si="36"/>
        <v>5</v>
      </c>
    </row>
    <row r="188" spans="1:37">
      <c r="A188" s="1">
        <v>187</v>
      </c>
      <c r="B188" s="1">
        <v>4252186</v>
      </c>
      <c r="C188" s="6">
        <v>807</v>
      </c>
      <c r="D188" s="1">
        <v>0.01</v>
      </c>
      <c r="E188" s="1">
        <v>0.2</v>
      </c>
      <c r="F188" s="1">
        <v>0.02</v>
      </c>
      <c r="G188" s="1">
        <v>0.5</v>
      </c>
      <c r="H188" s="1">
        <v>0.3</v>
      </c>
      <c r="I188" s="1">
        <v>0.2</v>
      </c>
      <c r="J188" s="1">
        <v>0.5</v>
      </c>
      <c r="K188" s="1">
        <v>0.05</v>
      </c>
      <c r="L188" s="1">
        <v>0.6</v>
      </c>
      <c r="M188" s="1">
        <v>0.04</v>
      </c>
      <c r="N188" s="1">
        <f>(Occurrence!B$3-D188)^2</f>
        <v>1E-4</v>
      </c>
      <c r="O188" s="1">
        <f>(Occurrence!C$3-E188)^2</f>
        <v>4.0000000000000008E-2</v>
      </c>
      <c r="P188" s="1">
        <f>(Occurrence!D$3-F188)^2</f>
        <v>0.96039999999999992</v>
      </c>
      <c r="Q188" s="1">
        <f>(Occurrence!E$3-G188)^2</f>
        <v>0.25</v>
      </c>
      <c r="R188" s="1">
        <f>(Occurrence!F$3-H188)^2</f>
        <v>0.09</v>
      </c>
      <c r="S188" s="1">
        <f>(Occurrence!G$3-I188)^2</f>
        <v>4.0000000000000008E-2</v>
      </c>
      <c r="T188" s="1">
        <f>(Occurrence!H$3-J188)^2</f>
        <v>0.25</v>
      </c>
      <c r="U188" s="1">
        <f>(Occurrence!I$3-K188)^2</f>
        <v>0.90249999999999997</v>
      </c>
      <c r="V188" s="1">
        <f>(Occurrence!J$3-L188)^2</f>
        <v>0.36</v>
      </c>
      <c r="W188" s="1">
        <f>(Occurrence!K$3-M188)^2</f>
        <v>0.92159999999999997</v>
      </c>
      <c r="X188" s="1">
        <f t="shared" si="25"/>
        <v>3.8145999999999995</v>
      </c>
      <c r="Z188" s="1">
        <f t="shared" si="26"/>
        <v>0</v>
      </c>
      <c r="AA188" s="1">
        <f t="shared" si="27"/>
        <v>0</v>
      </c>
      <c r="AB188" s="1">
        <f t="shared" si="28"/>
        <v>0</v>
      </c>
      <c r="AC188" s="1">
        <f t="shared" si="29"/>
        <v>1</v>
      </c>
      <c r="AD188" s="1">
        <f t="shared" si="30"/>
        <v>0</v>
      </c>
      <c r="AE188" s="1">
        <f t="shared" si="31"/>
        <v>0</v>
      </c>
      <c r="AF188" s="1">
        <f t="shared" si="32"/>
        <v>1</v>
      </c>
      <c r="AG188" s="1">
        <f t="shared" si="33"/>
        <v>0</v>
      </c>
      <c r="AH188" s="1">
        <f t="shared" si="34"/>
        <v>1</v>
      </c>
      <c r="AI188" s="1">
        <f t="shared" si="35"/>
        <v>0</v>
      </c>
      <c r="AJ188" s="1">
        <f>SUMXMY2(Z188:AI188, Occurrence!B$3:K$3)</f>
        <v>4</v>
      </c>
      <c r="AK188" s="1">
        <f t="shared" si="36"/>
        <v>6</v>
      </c>
    </row>
    <row r="189" spans="1:37">
      <c r="A189" s="1">
        <v>188</v>
      </c>
      <c r="B189" s="1">
        <v>4252187</v>
      </c>
      <c r="C189" s="6">
        <v>807</v>
      </c>
      <c r="D189" s="1">
        <v>0.53120000000000001</v>
      </c>
      <c r="E189" s="1">
        <v>0.2465</v>
      </c>
      <c r="F189" s="1">
        <v>0.35759999999999997</v>
      </c>
      <c r="G189" s="1">
        <v>0.82130000000000003</v>
      </c>
      <c r="H189" s="1">
        <v>0.43930000000000002</v>
      </c>
      <c r="I189" s="1">
        <v>0.2</v>
      </c>
      <c r="J189" s="1">
        <v>0.54179999999999995</v>
      </c>
      <c r="K189" s="1">
        <v>0.95269999999999999</v>
      </c>
      <c r="L189" s="1">
        <v>0.1</v>
      </c>
      <c r="M189" s="1">
        <v>0.60950000000000004</v>
      </c>
      <c r="N189" s="1">
        <f>(Occurrence!B$3-D189)^2</f>
        <v>0.28217344</v>
      </c>
      <c r="O189" s="1">
        <f>(Occurrence!C$3-E189)^2</f>
        <v>6.0762249999999997E-2</v>
      </c>
      <c r="P189" s="1">
        <f>(Occurrence!D$3-F189)^2</f>
        <v>0.41267776000000012</v>
      </c>
      <c r="Q189" s="1">
        <f>(Occurrence!E$3-G189)^2</f>
        <v>3.1933689999999987E-2</v>
      </c>
      <c r="R189" s="1">
        <f>(Occurrence!F$3-H189)^2</f>
        <v>0.19298449000000001</v>
      </c>
      <c r="S189" s="1">
        <f>(Occurrence!G$3-I189)^2</f>
        <v>4.0000000000000008E-2</v>
      </c>
      <c r="T189" s="1">
        <f>(Occurrence!H$3-J189)^2</f>
        <v>0.20994724000000003</v>
      </c>
      <c r="U189" s="1">
        <f>(Occurrence!I$3-K189)^2</f>
        <v>2.2372900000000007E-3</v>
      </c>
      <c r="V189" s="1">
        <f>(Occurrence!J$3-L189)^2</f>
        <v>1.0000000000000002E-2</v>
      </c>
      <c r="W189" s="1">
        <f>(Occurrence!K$3-M189)^2</f>
        <v>0.15249024999999997</v>
      </c>
      <c r="X189" s="1">
        <f t="shared" si="25"/>
        <v>1.3952064100000003</v>
      </c>
      <c r="Z189" s="1">
        <f t="shared" si="26"/>
        <v>1</v>
      </c>
      <c r="AA189" s="1">
        <f t="shared" si="27"/>
        <v>0</v>
      </c>
      <c r="AB189" s="1">
        <f t="shared" si="28"/>
        <v>0</v>
      </c>
      <c r="AC189" s="1">
        <f t="shared" si="29"/>
        <v>1</v>
      </c>
      <c r="AD189" s="1">
        <f t="shared" si="30"/>
        <v>0</v>
      </c>
      <c r="AE189" s="1">
        <f t="shared" si="31"/>
        <v>0</v>
      </c>
      <c r="AF189" s="1">
        <f t="shared" si="32"/>
        <v>1</v>
      </c>
      <c r="AG189" s="1">
        <f t="shared" si="33"/>
        <v>1</v>
      </c>
      <c r="AH189" s="1">
        <f t="shared" si="34"/>
        <v>0</v>
      </c>
      <c r="AI189" s="1">
        <f t="shared" si="35"/>
        <v>1</v>
      </c>
      <c r="AJ189" s="1">
        <f>SUMXMY2(Z189:AI189, Occurrence!B$3:K$3)</f>
        <v>2</v>
      </c>
      <c r="AK189" s="1">
        <f t="shared" si="36"/>
        <v>8</v>
      </c>
    </row>
    <row r="190" spans="1:37">
      <c r="A190" s="1">
        <v>189</v>
      </c>
      <c r="B190" s="1">
        <v>4252188</v>
      </c>
      <c r="C190" s="6">
        <v>807</v>
      </c>
      <c r="D190" s="1">
        <v>0.223</v>
      </c>
      <c r="E190" s="1">
        <v>0.1</v>
      </c>
      <c r="F190" s="1">
        <v>0.67</v>
      </c>
      <c r="G190" s="1">
        <v>0.88</v>
      </c>
      <c r="H190" s="1">
        <v>0.44500000000000001</v>
      </c>
      <c r="I190" s="1">
        <v>0.5</v>
      </c>
      <c r="J190" s="1">
        <v>0.56999999999999995</v>
      </c>
      <c r="K190" s="1">
        <v>0.88</v>
      </c>
      <c r="L190" s="1">
        <v>0.59</v>
      </c>
      <c r="M190" s="1">
        <v>0.43</v>
      </c>
      <c r="N190" s="1">
        <f>(Occurrence!B$3-D190)^2</f>
        <v>4.9729000000000002E-2</v>
      </c>
      <c r="O190" s="1">
        <f>(Occurrence!C$3-E190)^2</f>
        <v>1.0000000000000002E-2</v>
      </c>
      <c r="P190" s="1">
        <f>(Occurrence!D$3-F190)^2</f>
        <v>0.10889999999999997</v>
      </c>
      <c r="Q190" s="1">
        <f>(Occurrence!E$3-G190)^2</f>
        <v>1.44E-2</v>
      </c>
      <c r="R190" s="1">
        <f>(Occurrence!F$3-H190)^2</f>
        <v>0.19802500000000001</v>
      </c>
      <c r="S190" s="1">
        <f>(Occurrence!G$3-I190)^2</f>
        <v>0.25</v>
      </c>
      <c r="T190" s="1">
        <f>(Occurrence!H$3-J190)^2</f>
        <v>0.18490000000000004</v>
      </c>
      <c r="U190" s="1">
        <f>(Occurrence!I$3-K190)^2</f>
        <v>1.44E-2</v>
      </c>
      <c r="V190" s="1">
        <f>(Occurrence!J$3-L190)^2</f>
        <v>0.34809999999999997</v>
      </c>
      <c r="W190" s="1">
        <f>(Occurrence!K$3-M190)^2</f>
        <v>0.32490000000000008</v>
      </c>
      <c r="X190" s="1">
        <f t="shared" si="25"/>
        <v>1.5033539999999999</v>
      </c>
      <c r="Z190" s="1">
        <f t="shared" si="26"/>
        <v>0</v>
      </c>
      <c r="AA190" s="1">
        <f t="shared" si="27"/>
        <v>0</v>
      </c>
      <c r="AB190" s="1">
        <f t="shared" si="28"/>
        <v>1</v>
      </c>
      <c r="AC190" s="1">
        <f t="shared" si="29"/>
        <v>1</v>
      </c>
      <c r="AD190" s="1">
        <f t="shared" si="30"/>
        <v>0</v>
      </c>
      <c r="AE190" s="1">
        <f t="shared" si="31"/>
        <v>1</v>
      </c>
      <c r="AF190" s="1">
        <f t="shared" si="32"/>
        <v>1</v>
      </c>
      <c r="AG190" s="1">
        <f t="shared" si="33"/>
        <v>1</v>
      </c>
      <c r="AH190" s="1">
        <f t="shared" si="34"/>
        <v>1</v>
      </c>
      <c r="AI190" s="1">
        <f t="shared" si="35"/>
        <v>0</v>
      </c>
      <c r="AJ190" s="1">
        <f>SUMXMY2(Z190:AI190, Occurrence!B$3:K$3)</f>
        <v>3</v>
      </c>
      <c r="AK190" s="1">
        <f t="shared" si="36"/>
        <v>7</v>
      </c>
    </row>
    <row r="191" spans="1:37">
      <c r="A191" s="1">
        <v>190</v>
      </c>
      <c r="B191" s="1">
        <v>4252189</v>
      </c>
      <c r="C191" s="6">
        <v>807</v>
      </c>
      <c r="D191" s="1">
        <v>7.0000000000000007E-2</v>
      </c>
      <c r="E191" s="1">
        <v>0.03</v>
      </c>
      <c r="F191" s="1">
        <v>0.86</v>
      </c>
      <c r="G191" s="1">
        <v>0.89</v>
      </c>
      <c r="H191" s="1">
        <v>0.47</v>
      </c>
      <c r="I191" s="1">
        <v>0.35</v>
      </c>
      <c r="J191" s="1">
        <v>0.75</v>
      </c>
      <c r="K191" s="1">
        <v>0.15</v>
      </c>
      <c r="L191" s="1">
        <v>0.2</v>
      </c>
      <c r="M191" s="1">
        <v>0.34</v>
      </c>
      <c r="N191" s="1">
        <f>(Occurrence!B$3-D191)^2</f>
        <v>4.9000000000000007E-3</v>
      </c>
      <c r="O191" s="1">
        <f>(Occurrence!C$3-E191)^2</f>
        <v>8.9999999999999998E-4</v>
      </c>
      <c r="P191" s="1">
        <f>(Occurrence!D$3-F191)^2</f>
        <v>1.9600000000000003E-2</v>
      </c>
      <c r="Q191" s="1">
        <f>(Occurrence!E$3-G191)^2</f>
        <v>1.2099999999999998E-2</v>
      </c>
      <c r="R191" s="1">
        <f>(Occurrence!F$3-H191)^2</f>
        <v>0.22089999999999999</v>
      </c>
      <c r="S191" s="1">
        <f>(Occurrence!G$3-I191)^2</f>
        <v>0.12249999999999998</v>
      </c>
      <c r="T191" s="1">
        <f>(Occurrence!H$3-J191)^2</f>
        <v>6.25E-2</v>
      </c>
      <c r="U191" s="1">
        <f>(Occurrence!I$3-K191)^2</f>
        <v>0.72249999999999992</v>
      </c>
      <c r="V191" s="1">
        <f>(Occurrence!J$3-L191)^2</f>
        <v>4.0000000000000008E-2</v>
      </c>
      <c r="W191" s="1">
        <f>(Occurrence!K$3-M191)^2</f>
        <v>0.43559999999999988</v>
      </c>
      <c r="X191" s="1">
        <f t="shared" si="25"/>
        <v>1.6414999999999997</v>
      </c>
      <c r="Z191" s="1">
        <f t="shared" si="26"/>
        <v>0</v>
      </c>
      <c r="AA191" s="1">
        <f t="shared" si="27"/>
        <v>0</v>
      </c>
      <c r="AB191" s="1">
        <f t="shared" si="28"/>
        <v>1</v>
      </c>
      <c r="AC191" s="1">
        <f t="shared" si="29"/>
        <v>1</v>
      </c>
      <c r="AD191" s="1">
        <f t="shared" si="30"/>
        <v>0</v>
      </c>
      <c r="AE191" s="1">
        <f t="shared" si="31"/>
        <v>0</v>
      </c>
      <c r="AF191" s="1">
        <f t="shared" si="32"/>
        <v>1</v>
      </c>
      <c r="AG191" s="1">
        <f t="shared" si="33"/>
        <v>0</v>
      </c>
      <c r="AH191" s="1">
        <f t="shared" si="34"/>
        <v>0</v>
      </c>
      <c r="AI191" s="1">
        <f t="shared" si="35"/>
        <v>0</v>
      </c>
      <c r="AJ191" s="1">
        <f>SUMXMY2(Z191:AI191, Occurrence!B$3:K$3)</f>
        <v>2</v>
      </c>
      <c r="AK191" s="1">
        <f t="shared" si="36"/>
        <v>8</v>
      </c>
    </row>
    <row r="192" spans="1:37">
      <c r="A192" s="1">
        <v>191</v>
      </c>
      <c r="B192" s="1">
        <v>4252190</v>
      </c>
      <c r="C192" s="6">
        <v>807</v>
      </c>
      <c r="D192" s="1">
        <v>0.4</v>
      </c>
      <c r="E192" s="1">
        <v>0.2</v>
      </c>
      <c r="F192" s="1">
        <v>0.7</v>
      </c>
      <c r="G192" s="1">
        <v>0.3</v>
      </c>
      <c r="H192" s="1">
        <v>0.9</v>
      </c>
      <c r="I192" s="1">
        <v>0</v>
      </c>
      <c r="J192" s="1">
        <v>0.3</v>
      </c>
      <c r="K192" s="1">
        <v>0.6</v>
      </c>
      <c r="L192" s="1">
        <v>0.8</v>
      </c>
      <c r="M192" s="1">
        <v>0.5</v>
      </c>
      <c r="N192" s="1">
        <f>(Occurrence!B$3-D192)^2</f>
        <v>0.16000000000000003</v>
      </c>
      <c r="O192" s="1">
        <f>(Occurrence!C$3-E192)^2</f>
        <v>4.0000000000000008E-2</v>
      </c>
      <c r="P192" s="1">
        <f>(Occurrence!D$3-F192)^2</f>
        <v>9.0000000000000024E-2</v>
      </c>
      <c r="Q192" s="1">
        <f>(Occurrence!E$3-G192)^2</f>
        <v>0.48999999999999994</v>
      </c>
      <c r="R192" s="1">
        <f>(Occurrence!F$3-H192)^2</f>
        <v>0.81</v>
      </c>
      <c r="S192" s="1">
        <f>(Occurrence!G$3-I192)^2</f>
        <v>0</v>
      </c>
      <c r="T192" s="1">
        <f>(Occurrence!H$3-J192)^2</f>
        <v>0.48999999999999994</v>
      </c>
      <c r="U192" s="1">
        <f>(Occurrence!I$3-K192)^2</f>
        <v>0.16000000000000003</v>
      </c>
      <c r="V192" s="1">
        <f>(Occurrence!J$3-L192)^2</f>
        <v>0.64000000000000012</v>
      </c>
      <c r="W192" s="1">
        <f>(Occurrence!K$3-M192)^2</f>
        <v>0.25</v>
      </c>
      <c r="X192" s="1">
        <f t="shared" si="25"/>
        <v>3.1300000000000003</v>
      </c>
      <c r="Z192" s="1">
        <f t="shared" si="26"/>
        <v>0</v>
      </c>
      <c r="AA192" s="1">
        <f t="shared" si="27"/>
        <v>0</v>
      </c>
      <c r="AB192" s="1">
        <f t="shared" si="28"/>
        <v>1</v>
      </c>
      <c r="AC192" s="1">
        <f t="shared" si="29"/>
        <v>0</v>
      </c>
      <c r="AD192" s="1">
        <f t="shared" si="30"/>
        <v>1</v>
      </c>
      <c r="AE192" s="1">
        <f t="shared" si="31"/>
        <v>0</v>
      </c>
      <c r="AF192" s="1">
        <f t="shared" si="32"/>
        <v>0</v>
      </c>
      <c r="AG192" s="1">
        <f t="shared" si="33"/>
        <v>1</v>
      </c>
      <c r="AH192" s="1">
        <f t="shared" si="34"/>
        <v>1</v>
      </c>
      <c r="AI192" s="1">
        <f t="shared" si="35"/>
        <v>1</v>
      </c>
      <c r="AJ192" s="1">
        <f>SUMXMY2(Z192:AI192, Occurrence!B$3:K$3)</f>
        <v>4</v>
      </c>
      <c r="AK192" s="1">
        <f t="shared" si="36"/>
        <v>6</v>
      </c>
    </row>
    <row r="193" spans="1:37">
      <c r="A193" s="1">
        <v>192</v>
      </c>
      <c r="B193" s="1">
        <v>4252191</v>
      </c>
      <c r="C193" s="6">
        <v>808</v>
      </c>
      <c r="D193" s="1">
        <v>0.1</v>
      </c>
      <c r="E193" s="1">
        <v>0.2</v>
      </c>
      <c r="F193" s="1">
        <v>0.2</v>
      </c>
      <c r="G193" s="1">
        <v>0.3</v>
      </c>
      <c r="H193" s="1">
        <v>0.2</v>
      </c>
      <c r="I193" s="1">
        <v>0.95</v>
      </c>
      <c r="J193" s="1">
        <v>0.5</v>
      </c>
      <c r="K193" s="1">
        <v>0.3</v>
      </c>
      <c r="L193" s="1">
        <v>0.5</v>
      </c>
      <c r="M193" s="1">
        <v>0.7</v>
      </c>
      <c r="N193" s="1">
        <f>(Occurrence!B$3-D193)^2</f>
        <v>1.0000000000000002E-2</v>
      </c>
      <c r="O193" s="1">
        <f>(Occurrence!C$3-E193)^2</f>
        <v>4.0000000000000008E-2</v>
      </c>
      <c r="P193" s="1">
        <f>(Occurrence!D$3-F193)^2</f>
        <v>0.64000000000000012</v>
      </c>
      <c r="Q193" s="1">
        <f>(Occurrence!E$3-G193)^2</f>
        <v>0.48999999999999994</v>
      </c>
      <c r="R193" s="1">
        <f>(Occurrence!F$3-H193)^2</f>
        <v>4.0000000000000008E-2</v>
      </c>
      <c r="S193" s="1">
        <f>(Occurrence!G$3-I193)^2</f>
        <v>0.90249999999999997</v>
      </c>
      <c r="T193" s="1">
        <f>(Occurrence!H$3-J193)^2</f>
        <v>0.25</v>
      </c>
      <c r="U193" s="1">
        <f>(Occurrence!I$3-K193)^2</f>
        <v>0.48999999999999994</v>
      </c>
      <c r="V193" s="1">
        <f>(Occurrence!J$3-L193)^2</f>
        <v>0.25</v>
      </c>
      <c r="W193" s="1">
        <f>(Occurrence!K$3-M193)^2</f>
        <v>9.0000000000000024E-2</v>
      </c>
      <c r="X193" s="1">
        <f t="shared" si="25"/>
        <v>3.2024999999999997</v>
      </c>
      <c r="Z193" s="1">
        <f t="shared" si="26"/>
        <v>0</v>
      </c>
      <c r="AA193" s="1">
        <f t="shared" si="27"/>
        <v>0</v>
      </c>
      <c r="AB193" s="1">
        <f t="shared" si="28"/>
        <v>0</v>
      </c>
      <c r="AC193" s="1">
        <f t="shared" si="29"/>
        <v>0</v>
      </c>
      <c r="AD193" s="1">
        <f t="shared" si="30"/>
        <v>0</v>
      </c>
      <c r="AE193" s="1">
        <f t="shared" si="31"/>
        <v>1</v>
      </c>
      <c r="AF193" s="1">
        <f t="shared" si="32"/>
        <v>1</v>
      </c>
      <c r="AG193" s="1">
        <f t="shared" si="33"/>
        <v>0</v>
      </c>
      <c r="AH193" s="1">
        <f t="shared" si="34"/>
        <v>1</v>
      </c>
      <c r="AI193" s="1">
        <f t="shared" si="35"/>
        <v>1</v>
      </c>
      <c r="AJ193" s="1">
        <f>SUMXMY2(Z193:AI193, Occurrence!B$3:K$3)</f>
        <v>5</v>
      </c>
      <c r="AK193" s="1">
        <f t="shared" si="36"/>
        <v>5</v>
      </c>
    </row>
    <row r="194" spans="1:37">
      <c r="A194" s="1">
        <v>193</v>
      </c>
      <c r="B194" s="1">
        <v>4252192</v>
      </c>
      <c r="C194" s="6">
        <v>808</v>
      </c>
      <c r="D194" s="1">
        <v>0.28000000000000003</v>
      </c>
      <c r="E194" s="1">
        <v>0.35</v>
      </c>
      <c r="F194" s="1">
        <v>0.56000000000000005</v>
      </c>
      <c r="G194" s="1">
        <v>0.65</v>
      </c>
      <c r="H194" s="1">
        <v>0.5</v>
      </c>
      <c r="I194" s="1">
        <v>0.32</v>
      </c>
      <c r="J194" s="1">
        <v>0.05</v>
      </c>
      <c r="K194" s="1">
        <v>0.75</v>
      </c>
      <c r="L194" s="1">
        <v>0.25</v>
      </c>
      <c r="M194" s="1">
        <v>0.8</v>
      </c>
      <c r="N194" s="1">
        <f>(Occurrence!B$3-D194)^2</f>
        <v>7.8400000000000011E-2</v>
      </c>
      <c r="O194" s="1">
        <f>(Occurrence!C$3-E194)^2</f>
        <v>0.12249999999999998</v>
      </c>
      <c r="P194" s="1">
        <f>(Occurrence!D$3-F194)^2</f>
        <v>0.19359999999999997</v>
      </c>
      <c r="Q194" s="1">
        <f>(Occurrence!E$3-G194)^2</f>
        <v>0.12249999999999998</v>
      </c>
      <c r="R194" s="1">
        <f>(Occurrence!F$3-H194)^2</f>
        <v>0.25</v>
      </c>
      <c r="S194" s="1">
        <f>(Occurrence!G$3-I194)^2</f>
        <v>0.1024</v>
      </c>
      <c r="T194" s="1">
        <f>(Occurrence!H$3-J194)^2</f>
        <v>0.90249999999999997</v>
      </c>
      <c r="U194" s="1">
        <f>(Occurrence!I$3-K194)^2</f>
        <v>6.25E-2</v>
      </c>
      <c r="V194" s="1">
        <f>(Occurrence!J$3-L194)^2</f>
        <v>6.25E-2</v>
      </c>
      <c r="W194" s="1">
        <f>(Occurrence!K$3-M194)^2</f>
        <v>3.999999999999998E-2</v>
      </c>
      <c r="X194" s="1">
        <f t="shared" si="25"/>
        <v>1.9369000000000001</v>
      </c>
      <c r="Z194" s="1">
        <f t="shared" si="26"/>
        <v>0</v>
      </c>
      <c r="AA194" s="1">
        <f t="shared" si="27"/>
        <v>0</v>
      </c>
      <c r="AB194" s="1">
        <f t="shared" si="28"/>
        <v>1</v>
      </c>
      <c r="AC194" s="1">
        <f t="shared" si="29"/>
        <v>1</v>
      </c>
      <c r="AD194" s="1">
        <f t="shared" si="30"/>
        <v>1</v>
      </c>
      <c r="AE194" s="1">
        <f t="shared" si="31"/>
        <v>0</v>
      </c>
      <c r="AF194" s="1">
        <f t="shared" si="32"/>
        <v>0</v>
      </c>
      <c r="AG194" s="1">
        <f t="shared" si="33"/>
        <v>1</v>
      </c>
      <c r="AH194" s="1">
        <f t="shared" si="34"/>
        <v>0</v>
      </c>
      <c r="AI194" s="1">
        <f t="shared" si="35"/>
        <v>1</v>
      </c>
      <c r="AJ194" s="1">
        <f>SUMXMY2(Z194:AI194, Occurrence!B$3:K$3)</f>
        <v>2</v>
      </c>
      <c r="AK194" s="1">
        <f t="shared" si="36"/>
        <v>8</v>
      </c>
    </row>
    <row r="195" spans="1:37">
      <c r="A195" s="1">
        <v>194</v>
      </c>
      <c r="B195" s="1">
        <v>4252193</v>
      </c>
      <c r="C195" s="6">
        <v>808</v>
      </c>
      <c r="D195" s="1">
        <v>0.7</v>
      </c>
      <c r="E195" s="1">
        <v>0.5</v>
      </c>
      <c r="F195" s="1">
        <v>0.4</v>
      </c>
      <c r="G195" s="1">
        <v>0.8</v>
      </c>
      <c r="H195" s="1">
        <v>0.4</v>
      </c>
      <c r="I195" s="1">
        <v>0.4</v>
      </c>
      <c r="J195" s="1">
        <v>0.5</v>
      </c>
      <c r="K195" s="1">
        <v>0.3</v>
      </c>
      <c r="L195" s="1">
        <v>0.1</v>
      </c>
      <c r="M195" s="1">
        <v>0.6</v>
      </c>
      <c r="N195" s="1">
        <f>(Occurrence!B$3-D195)^2</f>
        <v>0.48999999999999994</v>
      </c>
      <c r="O195" s="1">
        <f>(Occurrence!C$3-E195)^2</f>
        <v>0.25</v>
      </c>
      <c r="P195" s="1">
        <f>(Occurrence!D$3-F195)^2</f>
        <v>0.36</v>
      </c>
      <c r="Q195" s="1">
        <f>(Occurrence!E$3-G195)^2</f>
        <v>3.999999999999998E-2</v>
      </c>
      <c r="R195" s="1">
        <f>(Occurrence!F$3-H195)^2</f>
        <v>0.16000000000000003</v>
      </c>
      <c r="S195" s="1">
        <f>(Occurrence!G$3-I195)^2</f>
        <v>0.16000000000000003</v>
      </c>
      <c r="T195" s="1">
        <f>(Occurrence!H$3-J195)^2</f>
        <v>0.25</v>
      </c>
      <c r="U195" s="1">
        <f>(Occurrence!I$3-K195)^2</f>
        <v>0.48999999999999994</v>
      </c>
      <c r="V195" s="1">
        <f>(Occurrence!J$3-L195)^2</f>
        <v>1.0000000000000002E-2</v>
      </c>
      <c r="W195" s="1">
        <f>(Occurrence!K$3-M195)^2</f>
        <v>0.16000000000000003</v>
      </c>
      <c r="X195" s="1">
        <f t="shared" ref="X195:X258" si="37">SUM(N195:W195)</f>
        <v>2.37</v>
      </c>
      <c r="Z195" s="1">
        <f t="shared" ref="Z195:Z258" si="38">ROUND(D195, 0)</f>
        <v>1</v>
      </c>
      <c r="AA195" s="1">
        <f t="shared" ref="AA195:AA258" si="39">ROUND(E195, 0)</f>
        <v>1</v>
      </c>
      <c r="AB195" s="1">
        <f t="shared" ref="AB195:AB258" si="40">ROUND(F195, 0)</f>
        <v>0</v>
      </c>
      <c r="AC195" s="1">
        <f t="shared" ref="AC195:AC258" si="41">ROUND(G195, 0)</f>
        <v>1</v>
      </c>
      <c r="AD195" s="1">
        <f t="shared" ref="AD195:AD258" si="42">ROUND(H195, 0)</f>
        <v>0</v>
      </c>
      <c r="AE195" s="1">
        <f t="shared" ref="AE195:AE258" si="43">ROUND(I195, 0)</f>
        <v>0</v>
      </c>
      <c r="AF195" s="1">
        <f t="shared" ref="AF195:AF258" si="44">ROUND(J195, 0)</f>
        <v>1</v>
      </c>
      <c r="AG195" s="1">
        <f t="shared" ref="AG195:AG258" si="45">ROUND(K195, 0)</f>
        <v>0</v>
      </c>
      <c r="AH195" s="1">
        <f t="shared" ref="AH195:AH258" si="46">ROUND(L195, 0)</f>
        <v>0</v>
      </c>
      <c r="AI195" s="1">
        <f t="shared" ref="AI195:AI258" si="47">ROUND(M195, 0)</f>
        <v>1</v>
      </c>
      <c r="AJ195" s="1">
        <f>SUMXMY2(Z195:AI195, Occurrence!B$3:K$3)</f>
        <v>4</v>
      </c>
      <c r="AK195" s="1">
        <f t="shared" ref="AK195:AK258" si="48">10-AJ195</f>
        <v>6</v>
      </c>
    </row>
    <row r="196" spans="1:37">
      <c r="A196" s="1">
        <v>195</v>
      </c>
      <c r="B196" s="1">
        <v>4252194</v>
      </c>
      <c r="C196" s="6">
        <v>808</v>
      </c>
      <c r="D196" s="1">
        <v>0.4</v>
      </c>
      <c r="E196" s="1">
        <v>0.12</v>
      </c>
      <c r="F196" s="1">
        <v>0.6</v>
      </c>
      <c r="G196" s="1">
        <v>0.88</v>
      </c>
      <c r="H196" s="1">
        <v>0.8</v>
      </c>
      <c r="I196" s="1">
        <v>0.7</v>
      </c>
      <c r="J196" s="1">
        <v>0.37</v>
      </c>
      <c r="K196" s="1">
        <v>0.23</v>
      </c>
      <c r="L196" s="1">
        <v>0.76</v>
      </c>
      <c r="M196" s="1">
        <v>0.69</v>
      </c>
      <c r="N196" s="1">
        <f>(Occurrence!B$3-D196)^2</f>
        <v>0.16000000000000003</v>
      </c>
      <c r="O196" s="1">
        <f>(Occurrence!C$3-E196)^2</f>
        <v>1.44E-2</v>
      </c>
      <c r="P196" s="1">
        <f>(Occurrence!D$3-F196)^2</f>
        <v>0.16000000000000003</v>
      </c>
      <c r="Q196" s="1">
        <f>(Occurrence!E$3-G196)^2</f>
        <v>1.44E-2</v>
      </c>
      <c r="R196" s="1">
        <f>(Occurrence!F$3-H196)^2</f>
        <v>0.64000000000000012</v>
      </c>
      <c r="S196" s="1">
        <f>(Occurrence!G$3-I196)^2</f>
        <v>0.48999999999999994</v>
      </c>
      <c r="T196" s="1">
        <f>(Occurrence!H$3-J196)^2</f>
        <v>0.39690000000000003</v>
      </c>
      <c r="U196" s="1">
        <f>(Occurrence!I$3-K196)^2</f>
        <v>0.59289999999999998</v>
      </c>
      <c r="V196" s="1">
        <f>(Occurrence!J$3-L196)^2</f>
        <v>0.5776</v>
      </c>
      <c r="W196" s="1">
        <f>(Occurrence!K$3-M196)^2</f>
        <v>9.6100000000000033E-2</v>
      </c>
      <c r="X196" s="1">
        <f t="shared" si="37"/>
        <v>3.1423000000000001</v>
      </c>
      <c r="Z196" s="1">
        <f t="shared" si="38"/>
        <v>0</v>
      </c>
      <c r="AA196" s="1">
        <f t="shared" si="39"/>
        <v>0</v>
      </c>
      <c r="AB196" s="1">
        <f t="shared" si="40"/>
        <v>1</v>
      </c>
      <c r="AC196" s="1">
        <f t="shared" si="41"/>
        <v>1</v>
      </c>
      <c r="AD196" s="1">
        <f t="shared" si="42"/>
        <v>1</v>
      </c>
      <c r="AE196" s="1">
        <f t="shared" si="43"/>
        <v>1</v>
      </c>
      <c r="AF196" s="1">
        <f t="shared" si="44"/>
        <v>0</v>
      </c>
      <c r="AG196" s="1">
        <f t="shared" si="45"/>
        <v>0</v>
      </c>
      <c r="AH196" s="1">
        <f t="shared" si="46"/>
        <v>1</v>
      </c>
      <c r="AI196" s="1">
        <f t="shared" si="47"/>
        <v>1</v>
      </c>
      <c r="AJ196" s="1">
        <f>SUMXMY2(Z196:AI196, Occurrence!B$3:K$3)</f>
        <v>5</v>
      </c>
      <c r="AK196" s="1">
        <f t="shared" si="48"/>
        <v>5</v>
      </c>
    </row>
    <row r="197" spans="1:37">
      <c r="A197" s="1">
        <v>196</v>
      </c>
      <c r="B197" s="1">
        <v>4252195</v>
      </c>
      <c r="C197" s="6">
        <v>808</v>
      </c>
      <c r="D197" s="1">
        <v>0.05</v>
      </c>
      <c r="E197" s="1">
        <v>0.1</v>
      </c>
      <c r="F197" s="1">
        <v>0.95</v>
      </c>
      <c r="G197" s="1">
        <v>0.9</v>
      </c>
      <c r="H197" s="1">
        <v>0.05</v>
      </c>
      <c r="I197" s="1">
        <v>0.3</v>
      </c>
      <c r="J197" s="1">
        <v>0.99</v>
      </c>
      <c r="K197" s="1">
        <v>0.5</v>
      </c>
      <c r="L197" s="1">
        <v>0.5</v>
      </c>
      <c r="M197" s="1">
        <v>0.5</v>
      </c>
      <c r="N197" s="1">
        <f>(Occurrence!B$3-D197)^2</f>
        <v>2.5000000000000005E-3</v>
      </c>
      <c r="O197" s="1">
        <f>(Occurrence!C$3-E197)^2</f>
        <v>1.0000000000000002E-2</v>
      </c>
      <c r="P197" s="1">
        <f>(Occurrence!D$3-F197)^2</f>
        <v>2.5000000000000044E-3</v>
      </c>
      <c r="Q197" s="1">
        <f>(Occurrence!E$3-G197)^2</f>
        <v>9.999999999999995E-3</v>
      </c>
      <c r="R197" s="1">
        <f>(Occurrence!F$3-H197)^2</f>
        <v>2.5000000000000005E-3</v>
      </c>
      <c r="S197" s="1">
        <f>(Occurrence!G$3-I197)^2</f>
        <v>0.09</v>
      </c>
      <c r="T197" s="1">
        <f>(Occurrence!H$3-J197)^2</f>
        <v>1.0000000000000018E-4</v>
      </c>
      <c r="U197" s="1">
        <f>(Occurrence!I$3-K197)^2</f>
        <v>0.25</v>
      </c>
      <c r="V197" s="1">
        <f>(Occurrence!J$3-L197)^2</f>
        <v>0.25</v>
      </c>
      <c r="W197" s="1">
        <f>(Occurrence!K$3-M197)^2</f>
        <v>0.25</v>
      </c>
      <c r="X197" s="1">
        <f t="shared" si="37"/>
        <v>0.86759999999999993</v>
      </c>
      <c r="Z197" s="1">
        <f t="shared" si="38"/>
        <v>0</v>
      </c>
      <c r="AA197" s="1">
        <f t="shared" si="39"/>
        <v>0</v>
      </c>
      <c r="AB197" s="1">
        <f t="shared" si="40"/>
        <v>1</v>
      </c>
      <c r="AC197" s="1">
        <f t="shared" si="41"/>
        <v>1</v>
      </c>
      <c r="AD197" s="1">
        <f t="shared" si="42"/>
        <v>0</v>
      </c>
      <c r="AE197" s="1">
        <f t="shared" si="43"/>
        <v>0</v>
      </c>
      <c r="AF197" s="1">
        <f t="shared" si="44"/>
        <v>1</v>
      </c>
      <c r="AG197" s="1">
        <f t="shared" si="45"/>
        <v>1</v>
      </c>
      <c r="AH197" s="1">
        <f t="shared" si="46"/>
        <v>1</v>
      </c>
      <c r="AI197" s="1">
        <f t="shared" si="47"/>
        <v>1</v>
      </c>
      <c r="AJ197" s="1">
        <f>SUMXMY2(Z197:AI197, Occurrence!B$3:K$3)</f>
        <v>1</v>
      </c>
      <c r="AK197" s="1">
        <f t="shared" si="48"/>
        <v>9</v>
      </c>
    </row>
    <row r="198" spans="1:37">
      <c r="A198" s="1">
        <v>197</v>
      </c>
      <c r="B198" s="1">
        <v>4252196</v>
      </c>
      <c r="C198" s="6">
        <v>808</v>
      </c>
      <c r="D198" s="1">
        <v>0.1</v>
      </c>
      <c r="E198" s="1">
        <v>0.2</v>
      </c>
      <c r="F198" s="1">
        <v>0.1</v>
      </c>
      <c r="G198" s="1">
        <v>0.2</v>
      </c>
      <c r="H198" s="1">
        <v>0.8</v>
      </c>
      <c r="I198" s="1">
        <v>0.6</v>
      </c>
      <c r="J198" s="1">
        <v>0.5</v>
      </c>
      <c r="K198" s="1">
        <v>0.3</v>
      </c>
      <c r="L198" s="1">
        <v>0.1</v>
      </c>
      <c r="M198" s="1">
        <v>0.4</v>
      </c>
      <c r="N198" s="1">
        <f>(Occurrence!B$3-D198)^2</f>
        <v>1.0000000000000002E-2</v>
      </c>
      <c r="O198" s="1">
        <f>(Occurrence!C$3-E198)^2</f>
        <v>4.0000000000000008E-2</v>
      </c>
      <c r="P198" s="1">
        <f>(Occurrence!D$3-F198)^2</f>
        <v>0.81</v>
      </c>
      <c r="Q198" s="1">
        <f>(Occurrence!E$3-G198)^2</f>
        <v>0.64000000000000012</v>
      </c>
      <c r="R198" s="1">
        <f>(Occurrence!F$3-H198)^2</f>
        <v>0.64000000000000012</v>
      </c>
      <c r="S198" s="1">
        <f>(Occurrence!G$3-I198)^2</f>
        <v>0.36</v>
      </c>
      <c r="T198" s="1">
        <f>(Occurrence!H$3-J198)^2</f>
        <v>0.25</v>
      </c>
      <c r="U198" s="1">
        <f>(Occurrence!I$3-K198)^2</f>
        <v>0.48999999999999994</v>
      </c>
      <c r="V198" s="1">
        <f>(Occurrence!J$3-L198)^2</f>
        <v>1.0000000000000002E-2</v>
      </c>
      <c r="W198" s="1">
        <f>(Occurrence!K$3-M198)^2</f>
        <v>0.36</v>
      </c>
      <c r="X198" s="1">
        <f t="shared" si="37"/>
        <v>3.61</v>
      </c>
      <c r="Z198" s="1">
        <f t="shared" si="38"/>
        <v>0</v>
      </c>
      <c r="AA198" s="1">
        <f t="shared" si="39"/>
        <v>0</v>
      </c>
      <c r="AB198" s="1">
        <f t="shared" si="40"/>
        <v>0</v>
      </c>
      <c r="AC198" s="1">
        <f t="shared" si="41"/>
        <v>0</v>
      </c>
      <c r="AD198" s="1">
        <f t="shared" si="42"/>
        <v>1</v>
      </c>
      <c r="AE198" s="1">
        <f t="shared" si="43"/>
        <v>1</v>
      </c>
      <c r="AF198" s="1">
        <f t="shared" si="44"/>
        <v>1</v>
      </c>
      <c r="AG198" s="1">
        <f t="shared" si="45"/>
        <v>0</v>
      </c>
      <c r="AH198" s="1">
        <f t="shared" si="46"/>
        <v>0</v>
      </c>
      <c r="AI198" s="1">
        <f t="shared" si="47"/>
        <v>0</v>
      </c>
      <c r="AJ198" s="1">
        <f>SUMXMY2(Z198:AI198, Occurrence!B$3:K$3)</f>
        <v>6</v>
      </c>
      <c r="AK198" s="1">
        <f t="shared" si="48"/>
        <v>4</v>
      </c>
    </row>
    <row r="199" spans="1:37">
      <c r="A199" s="1">
        <v>198</v>
      </c>
      <c r="B199" s="1">
        <v>4252197</v>
      </c>
      <c r="C199" s="6">
        <v>808</v>
      </c>
      <c r="D199" s="1">
        <v>0.2</v>
      </c>
      <c r="E199" s="1">
        <v>0</v>
      </c>
      <c r="F199" s="1">
        <v>1</v>
      </c>
      <c r="G199" s="1">
        <v>1</v>
      </c>
      <c r="H199" s="1">
        <v>0.7</v>
      </c>
      <c r="I199" s="1">
        <v>0</v>
      </c>
      <c r="J199" s="1">
        <v>1</v>
      </c>
      <c r="K199" s="1">
        <v>0.6</v>
      </c>
      <c r="L199" s="1">
        <v>0</v>
      </c>
      <c r="M199" s="1">
        <v>1</v>
      </c>
      <c r="N199" s="1">
        <f>(Occurrence!B$3-D199)^2</f>
        <v>4.0000000000000008E-2</v>
      </c>
      <c r="O199" s="1">
        <f>(Occurrence!C$3-E199)^2</f>
        <v>0</v>
      </c>
      <c r="P199" s="1">
        <f>(Occurrence!D$3-F199)^2</f>
        <v>0</v>
      </c>
      <c r="Q199" s="1">
        <f>(Occurrence!E$3-G199)^2</f>
        <v>0</v>
      </c>
      <c r="R199" s="1">
        <f>(Occurrence!F$3-H199)^2</f>
        <v>0.48999999999999994</v>
      </c>
      <c r="S199" s="1">
        <f>(Occurrence!G$3-I199)^2</f>
        <v>0</v>
      </c>
      <c r="T199" s="1">
        <f>(Occurrence!H$3-J199)^2</f>
        <v>0</v>
      </c>
      <c r="U199" s="1">
        <f>(Occurrence!I$3-K199)^2</f>
        <v>0.16000000000000003</v>
      </c>
      <c r="V199" s="1">
        <f>(Occurrence!J$3-L199)^2</f>
        <v>0</v>
      </c>
      <c r="W199" s="1">
        <f>(Occurrence!K$3-M199)^2</f>
        <v>0</v>
      </c>
      <c r="X199" s="1">
        <f t="shared" si="37"/>
        <v>0.69</v>
      </c>
      <c r="Z199" s="1">
        <f t="shared" si="38"/>
        <v>0</v>
      </c>
      <c r="AA199" s="1">
        <f t="shared" si="39"/>
        <v>0</v>
      </c>
      <c r="AB199" s="1">
        <f t="shared" si="40"/>
        <v>1</v>
      </c>
      <c r="AC199" s="1">
        <f t="shared" si="41"/>
        <v>1</v>
      </c>
      <c r="AD199" s="1">
        <f t="shared" si="42"/>
        <v>1</v>
      </c>
      <c r="AE199" s="1">
        <f t="shared" si="43"/>
        <v>0</v>
      </c>
      <c r="AF199" s="1">
        <f t="shared" si="44"/>
        <v>1</v>
      </c>
      <c r="AG199" s="1">
        <f t="shared" si="45"/>
        <v>1</v>
      </c>
      <c r="AH199" s="1">
        <f t="shared" si="46"/>
        <v>0</v>
      </c>
      <c r="AI199" s="1">
        <f t="shared" si="47"/>
        <v>1</v>
      </c>
      <c r="AJ199" s="1">
        <f>SUMXMY2(Z199:AI199, Occurrence!B$3:K$3)</f>
        <v>1</v>
      </c>
      <c r="AK199" s="1">
        <f t="shared" si="48"/>
        <v>9</v>
      </c>
    </row>
    <row r="200" spans="1:37">
      <c r="A200" s="1">
        <v>199</v>
      </c>
      <c r="B200" s="1">
        <v>4252198</v>
      </c>
      <c r="C200" s="6">
        <v>808</v>
      </c>
      <c r="D200" s="1">
        <v>0.6</v>
      </c>
      <c r="E200" s="1">
        <v>0.7</v>
      </c>
      <c r="F200" s="1">
        <v>0.3</v>
      </c>
      <c r="G200" s="1">
        <v>0.5</v>
      </c>
      <c r="H200" s="1">
        <v>0.1</v>
      </c>
      <c r="I200" s="1">
        <v>0.8</v>
      </c>
      <c r="J200" s="1">
        <v>0.5</v>
      </c>
      <c r="K200" s="1">
        <v>0.4</v>
      </c>
      <c r="L200" s="1">
        <v>0.9</v>
      </c>
      <c r="M200" s="1">
        <v>0.5</v>
      </c>
      <c r="N200" s="1">
        <f>(Occurrence!B$3-D200)^2</f>
        <v>0.36</v>
      </c>
      <c r="O200" s="1">
        <f>(Occurrence!C$3-E200)^2</f>
        <v>0.48999999999999994</v>
      </c>
      <c r="P200" s="1">
        <f>(Occurrence!D$3-F200)^2</f>
        <v>0.48999999999999994</v>
      </c>
      <c r="Q200" s="1">
        <f>(Occurrence!E$3-G200)^2</f>
        <v>0.25</v>
      </c>
      <c r="R200" s="1">
        <f>(Occurrence!F$3-H200)^2</f>
        <v>1.0000000000000002E-2</v>
      </c>
      <c r="S200" s="1">
        <f>(Occurrence!G$3-I200)^2</f>
        <v>0.64000000000000012</v>
      </c>
      <c r="T200" s="1">
        <f>(Occurrence!H$3-J200)^2</f>
        <v>0.25</v>
      </c>
      <c r="U200" s="1">
        <f>(Occurrence!I$3-K200)^2</f>
        <v>0.36</v>
      </c>
      <c r="V200" s="1">
        <f>(Occurrence!J$3-L200)^2</f>
        <v>0.81</v>
      </c>
      <c r="W200" s="1">
        <f>(Occurrence!K$3-M200)^2</f>
        <v>0.25</v>
      </c>
      <c r="X200" s="1">
        <f t="shared" si="37"/>
        <v>3.91</v>
      </c>
      <c r="Z200" s="1">
        <f t="shared" si="38"/>
        <v>1</v>
      </c>
      <c r="AA200" s="1">
        <f t="shared" si="39"/>
        <v>1</v>
      </c>
      <c r="AB200" s="1">
        <f t="shared" si="40"/>
        <v>0</v>
      </c>
      <c r="AC200" s="1">
        <f t="shared" si="41"/>
        <v>1</v>
      </c>
      <c r="AD200" s="1">
        <f t="shared" si="42"/>
        <v>0</v>
      </c>
      <c r="AE200" s="1">
        <f t="shared" si="43"/>
        <v>1</v>
      </c>
      <c r="AF200" s="1">
        <f t="shared" si="44"/>
        <v>1</v>
      </c>
      <c r="AG200" s="1">
        <f t="shared" si="45"/>
        <v>0</v>
      </c>
      <c r="AH200" s="1">
        <f t="shared" si="46"/>
        <v>1</v>
      </c>
      <c r="AI200" s="1">
        <f t="shared" si="47"/>
        <v>1</v>
      </c>
      <c r="AJ200" s="1">
        <f>SUMXMY2(Z200:AI200, Occurrence!B$3:K$3)</f>
        <v>6</v>
      </c>
      <c r="AK200" s="1">
        <f t="shared" si="48"/>
        <v>4</v>
      </c>
    </row>
    <row r="201" spans="1:37">
      <c r="A201" s="1">
        <v>200</v>
      </c>
      <c r="B201" s="1">
        <v>4252199</v>
      </c>
      <c r="C201" s="6">
        <v>808</v>
      </c>
      <c r="D201" s="1">
        <v>0.6</v>
      </c>
      <c r="E201" s="1">
        <v>0.7</v>
      </c>
      <c r="F201" s="1">
        <v>0.3</v>
      </c>
      <c r="G201" s="1">
        <v>0.5</v>
      </c>
      <c r="H201" s="1">
        <v>0.1</v>
      </c>
      <c r="I201" s="1">
        <v>0.8</v>
      </c>
      <c r="J201" s="1">
        <v>0.5</v>
      </c>
      <c r="K201" s="1">
        <v>0.4</v>
      </c>
      <c r="L201" s="1">
        <v>0.9</v>
      </c>
      <c r="M201" s="1">
        <v>0.5</v>
      </c>
      <c r="N201" s="1">
        <f>(Occurrence!B$3-D201)^2</f>
        <v>0.36</v>
      </c>
      <c r="O201" s="1">
        <f>(Occurrence!C$3-E201)^2</f>
        <v>0.48999999999999994</v>
      </c>
      <c r="P201" s="1">
        <f>(Occurrence!D$3-F201)^2</f>
        <v>0.48999999999999994</v>
      </c>
      <c r="Q201" s="1">
        <f>(Occurrence!E$3-G201)^2</f>
        <v>0.25</v>
      </c>
      <c r="R201" s="1">
        <f>(Occurrence!F$3-H201)^2</f>
        <v>1.0000000000000002E-2</v>
      </c>
      <c r="S201" s="1">
        <f>(Occurrence!G$3-I201)^2</f>
        <v>0.64000000000000012</v>
      </c>
      <c r="T201" s="1">
        <f>(Occurrence!H$3-J201)^2</f>
        <v>0.25</v>
      </c>
      <c r="U201" s="1">
        <f>(Occurrence!I$3-K201)^2</f>
        <v>0.36</v>
      </c>
      <c r="V201" s="1">
        <f>(Occurrence!J$3-L201)^2</f>
        <v>0.81</v>
      </c>
      <c r="W201" s="1">
        <f>(Occurrence!K$3-M201)^2</f>
        <v>0.25</v>
      </c>
      <c r="X201" s="1">
        <f t="shared" si="37"/>
        <v>3.91</v>
      </c>
      <c r="Z201" s="1">
        <f t="shared" si="38"/>
        <v>1</v>
      </c>
      <c r="AA201" s="1">
        <f t="shared" si="39"/>
        <v>1</v>
      </c>
      <c r="AB201" s="1">
        <f t="shared" si="40"/>
        <v>0</v>
      </c>
      <c r="AC201" s="1">
        <f t="shared" si="41"/>
        <v>1</v>
      </c>
      <c r="AD201" s="1">
        <f t="shared" si="42"/>
        <v>0</v>
      </c>
      <c r="AE201" s="1">
        <f t="shared" si="43"/>
        <v>1</v>
      </c>
      <c r="AF201" s="1">
        <f t="shared" si="44"/>
        <v>1</v>
      </c>
      <c r="AG201" s="1">
        <f t="shared" si="45"/>
        <v>0</v>
      </c>
      <c r="AH201" s="1">
        <f t="shared" si="46"/>
        <v>1</v>
      </c>
      <c r="AI201" s="1">
        <f t="shared" si="47"/>
        <v>1</v>
      </c>
      <c r="AJ201" s="1">
        <f>SUMXMY2(Z201:AI201, Occurrence!B$3:K$3)</f>
        <v>6</v>
      </c>
      <c r="AK201" s="1">
        <f t="shared" si="48"/>
        <v>4</v>
      </c>
    </row>
    <row r="202" spans="1:37">
      <c r="A202" s="1">
        <v>201</v>
      </c>
      <c r="B202" s="1">
        <v>4252200</v>
      </c>
      <c r="C202" s="6">
        <v>808</v>
      </c>
      <c r="D202" s="1">
        <v>0.3</v>
      </c>
      <c r="E202" s="1">
        <v>0.1</v>
      </c>
      <c r="F202" s="1">
        <v>0.3</v>
      </c>
      <c r="G202" s="1">
        <v>0.9</v>
      </c>
      <c r="H202" s="1">
        <v>0.4</v>
      </c>
      <c r="I202" s="1">
        <v>0.2</v>
      </c>
      <c r="J202" s="1">
        <v>0.7</v>
      </c>
      <c r="K202" s="1">
        <v>0.9</v>
      </c>
      <c r="L202" s="1">
        <v>0.9</v>
      </c>
      <c r="M202" s="1">
        <v>0.9</v>
      </c>
      <c r="N202" s="1">
        <f>(Occurrence!B$3-D202)^2</f>
        <v>0.09</v>
      </c>
      <c r="O202" s="1">
        <f>(Occurrence!C$3-E202)^2</f>
        <v>1.0000000000000002E-2</v>
      </c>
      <c r="P202" s="1">
        <f>(Occurrence!D$3-F202)^2</f>
        <v>0.48999999999999994</v>
      </c>
      <c r="Q202" s="1">
        <f>(Occurrence!E$3-G202)^2</f>
        <v>9.999999999999995E-3</v>
      </c>
      <c r="R202" s="1">
        <f>(Occurrence!F$3-H202)^2</f>
        <v>0.16000000000000003</v>
      </c>
      <c r="S202" s="1">
        <f>(Occurrence!G$3-I202)^2</f>
        <v>4.0000000000000008E-2</v>
      </c>
      <c r="T202" s="1">
        <f>(Occurrence!H$3-J202)^2</f>
        <v>9.0000000000000024E-2</v>
      </c>
      <c r="U202" s="1">
        <f>(Occurrence!I$3-K202)^2</f>
        <v>9.999999999999995E-3</v>
      </c>
      <c r="V202" s="1">
        <f>(Occurrence!J$3-L202)^2</f>
        <v>0.81</v>
      </c>
      <c r="W202" s="1">
        <f>(Occurrence!K$3-M202)^2</f>
        <v>9.999999999999995E-3</v>
      </c>
      <c r="X202" s="1">
        <f t="shared" si="37"/>
        <v>1.7200000000000002</v>
      </c>
      <c r="Z202" s="1">
        <f t="shared" si="38"/>
        <v>0</v>
      </c>
      <c r="AA202" s="1">
        <f t="shared" si="39"/>
        <v>0</v>
      </c>
      <c r="AB202" s="1">
        <f t="shared" si="40"/>
        <v>0</v>
      </c>
      <c r="AC202" s="1">
        <f t="shared" si="41"/>
        <v>1</v>
      </c>
      <c r="AD202" s="1">
        <f t="shared" si="42"/>
        <v>0</v>
      </c>
      <c r="AE202" s="1">
        <f t="shared" si="43"/>
        <v>0</v>
      </c>
      <c r="AF202" s="1">
        <f t="shared" si="44"/>
        <v>1</v>
      </c>
      <c r="AG202" s="1">
        <f t="shared" si="45"/>
        <v>1</v>
      </c>
      <c r="AH202" s="1">
        <f t="shared" si="46"/>
        <v>1</v>
      </c>
      <c r="AI202" s="1">
        <f t="shared" si="47"/>
        <v>1</v>
      </c>
      <c r="AJ202" s="1">
        <f>SUMXMY2(Z202:AI202, Occurrence!B$3:K$3)</f>
        <v>2</v>
      </c>
      <c r="AK202" s="1">
        <f t="shared" si="48"/>
        <v>8</v>
      </c>
    </row>
    <row r="203" spans="1:37">
      <c r="A203" s="1">
        <v>202</v>
      </c>
      <c r="B203" s="1">
        <v>4252201</v>
      </c>
      <c r="C203" s="6">
        <v>808</v>
      </c>
      <c r="D203" s="1">
        <v>0.65039999999999998</v>
      </c>
      <c r="E203" s="1">
        <v>0.2</v>
      </c>
      <c r="F203" s="1">
        <v>0.2</v>
      </c>
      <c r="G203" s="1">
        <v>0.3</v>
      </c>
      <c r="H203" s="1">
        <v>0.5</v>
      </c>
      <c r="I203" s="1">
        <v>1</v>
      </c>
      <c r="J203" s="1">
        <v>0.5</v>
      </c>
      <c r="K203" s="1">
        <v>0.5</v>
      </c>
      <c r="L203" s="1">
        <v>0.5</v>
      </c>
      <c r="M203" s="1">
        <v>0.5</v>
      </c>
      <c r="N203" s="1">
        <f>(Occurrence!B$3-D203)^2</f>
        <v>0.42302015999999998</v>
      </c>
      <c r="O203" s="1">
        <f>(Occurrence!C$3-E203)^2</f>
        <v>4.0000000000000008E-2</v>
      </c>
      <c r="P203" s="1">
        <f>(Occurrence!D$3-F203)^2</f>
        <v>0.64000000000000012</v>
      </c>
      <c r="Q203" s="1">
        <f>(Occurrence!E$3-G203)^2</f>
        <v>0.48999999999999994</v>
      </c>
      <c r="R203" s="1">
        <f>(Occurrence!F$3-H203)^2</f>
        <v>0.25</v>
      </c>
      <c r="S203" s="1">
        <f>(Occurrence!G$3-I203)^2</f>
        <v>1</v>
      </c>
      <c r="T203" s="1">
        <f>(Occurrence!H$3-J203)^2</f>
        <v>0.25</v>
      </c>
      <c r="U203" s="1">
        <f>(Occurrence!I$3-K203)^2</f>
        <v>0.25</v>
      </c>
      <c r="V203" s="1">
        <f>(Occurrence!J$3-L203)^2</f>
        <v>0.25</v>
      </c>
      <c r="W203" s="1">
        <f>(Occurrence!K$3-M203)^2</f>
        <v>0.25</v>
      </c>
      <c r="X203" s="1">
        <f t="shared" si="37"/>
        <v>3.84302016</v>
      </c>
      <c r="Z203" s="1">
        <f t="shared" si="38"/>
        <v>1</v>
      </c>
      <c r="AA203" s="1">
        <f t="shared" si="39"/>
        <v>0</v>
      </c>
      <c r="AB203" s="1">
        <f t="shared" si="40"/>
        <v>0</v>
      </c>
      <c r="AC203" s="1">
        <f t="shared" si="41"/>
        <v>0</v>
      </c>
      <c r="AD203" s="1">
        <f t="shared" si="42"/>
        <v>1</v>
      </c>
      <c r="AE203" s="1">
        <f t="shared" si="43"/>
        <v>1</v>
      </c>
      <c r="AF203" s="1">
        <f t="shared" si="44"/>
        <v>1</v>
      </c>
      <c r="AG203" s="1">
        <f t="shared" si="45"/>
        <v>1</v>
      </c>
      <c r="AH203" s="1">
        <f t="shared" si="46"/>
        <v>1</v>
      </c>
      <c r="AI203" s="1">
        <f t="shared" si="47"/>
        <v>1</v>
      </c>
      <c r="AJ203" s="1">
        <f>SUMXMY2(Z203:AI203, Occurrence!B$3:K$3)</f>
        <v>6</v>
      </c>
      <c r="AK203" s="1">
        <f t="shared" si="48"/>
        <v>4</v>
      </c>
    </row>
    <row r="204" spans="1:37">
      <c r="A204" s="1">
        <v>203</v>
      </c>
      <c r="B204" s="1">
        <v>4252202</v>
      </c>
      <c r="C204" s="6">
        <v>808</v>
      </c>
      <c r="D204" s="1">
        <v>0.15079999999999999</v>
      </c>
      <c r="E204" s="1">
        <v>0.17860000000000001</v>
      </c>
      <c r="F204" s="1">
        <v>0.64680000000000004</v>
      </c>
      <c r="G204" s="1">
        <v>0.78710000000000002</v>
      </c>
      <c r="H204" s="1">
        <v>0.67859999999999998</v>
      </c>
      <c r="I204" s="1">
        <v>0.5</v>
      </c>
      <c r="J204" s="1">
        <v>0.55000000000000004</v>
      </c>
      <c r="K204" s="1">
        <v>0.67</v>
      </c>
      <c r="L204" s="1">
        <v>0.45</v>
      </c>
      <c r="M204" s="1">
        <v>0.6</v>
      </c>
      <c r="N204" s="1">
        <f>(Occurrence!B$3-D204)^2</f>
        <v>2.2740639999999996E-2</v>
      </c>
      <c r="O204" s="1">
        <f>(Occurrence!C$3-E204)^2</f>
        <v>3.1897960000000003E-2</v>
      </c>
      <c r="P204" s="1">
        <f>(Occurrence!D$3-F204)^2</f>
        <v>0.12475023999999997</v>
      </c>
      <c r="Q204" s="1">
        <f>(Occurrence!E$3-G204)^2</f>
        <v>4.5326409999999991E-2</v>
      </c>
      <c r="R204" s="1">
        <f>(Occurrence!F$3-H204)^2</f>
        <v>0.46049795999999998</v>
      </c>
      <c r="S204" s="1">
        <f>(Occurrence!G$3-I204)^2</f>
        <v>0.25</v>
      </c>
      <c r="T204" s="1">
        <f>(Occurrence!H$3-J204)^2</f>
        <v>0.20249999999999996</v>
      </c>
      <c r="U204" s="1">
        <f>(Occurrence!I$3-K204)^2</f>
        <v>0.10889999999999997</v>
      </c>
      <c r="V204" s="1">
        <f>(Occurrence!J$3-L204)^2</f>
        <v>0.20250000000000001</v>
      </c>
      <c r="W204" s="1">
        <f>(Occurrence!K$3-M204)^2</f>
        <v>0.16000000000000003</v>
      </c>
      <c r="X204" s="1">
        <f t="shared" si="37"/>
        <v>1.6091132099999998</v>
      </c>
      <c r="Z204" s="1">
        <f t="shared" si="38"/>
        <v>0</v>
      </c>
      <c r="AA204" s="1">
        <f t="shared" si="39"/>
        <v>0</v>
      </c>
      <c r="AB204" s="1">
        <f t="shared" si="40"/>
        <v>1</v>
      </c>
      <c r="AC204" s="1">
        <f t="shared" si="41"/>
        <v>1</v>
      </c>
      <c r="AD204" s="1">
        <f t="shared" si="42"/>
        <v>1</v>
      </c>
      <c r="AE204" s="1">
        <f t="shared" si="43"/>
        <v>1</v>
      </c>
      <c r="AF204" s="1">
        <f t="shared" si="44"/>
        <v>1</v>
      </c>
      <c r="AG204" s="1">
        <f t="shared" si="45"/>
        <v>1</v>
      </c>
      <c r="AH204" s="1">
        <f t="shared" si="46"/>
        <v>0</v>
      </c>
      <c r="AI204" s="1">
        <f t="shared" si="47"/>
        <v>1</v>
      </c>
      <c r="AJ204" s="1">
        <f>SUMXMY2(Z204:AI204, Occurrence!B$3:K$3)</f>
        <v>2</v>
      </c>
      <c r="AK204" s="1">
        <f t="shared" si="48"/>
        <v>8</v>
      </c>
    </row>
    <row r="205" spans="1:37">
      <c r="A205" s="1">
        <v>204</v>
      </c>
      <c r="B205" s="1">
        <v>4252203</v>
      </c>
      <c r="C205" s="6">
        <v>808</v>
      </c>
      <c r="D205" s="1">
        <v>0.6</v>
      </c>
      <c r="E205" s="1">
        <v>0.4</v>
      </c>
      <c r="F205" s="1">
        <v>0.7</v>
      </c>
      <c r="G205" s="1">
        <v>0.8</v>
      </c>
      <c r="H205" s="1">
        <v>1</v>
      </c>
      <c r="I205" s="1">
        <v>0.7</v>
      </c>
      <c r="J205" s="1">
        <v>0.9</v>
      </c>
      <c r="K205" s="1">
        <v>0.3</v>
      </c>
      <c r="L205" s="1">
        <v>0.3</v>
      </c>
      <c r="M205" s="1">
        <v>0.4</v>
      </c>
      <c r="N205" s="1">
        <f>(Occurrence!B$3-D205)^2</f>
        <v>0.36</v>
      </c>
      <c r="O205" s="1">
        <f>(Occurrence!C$3-E205)^2</f>
        <v>0.16000000000000003</v>
      </c>
      <c r="P205" s="1">
        <f>(Occurrence!D$3-F205)^2</f>
        <v>9.0000000000000024E-2</v>
      </c>
      <c r="Q205" s="1">
        <f>(Occurrence!E$3-G205)^2</f>
        <v>3.999999999999998E-2</v>
      </c>
      <c r="R205" s="1">
        <f>(Occurrence!F$3-H205)^2</f>
        <v>1</v>
      </c>
      <c r="S205" s="1">
        <f>(Occurrence!G$3-I205)^2</f>
        <v>0.48999999999999994</v>
      </c>
      <c r="T205" s="1">
        <f>(Occurrence!H$3-J205)^2</f>
        <v>9.999999999999995E-3</v>
      </c>
      <c r="U205" s="1">
        <f>(Occurrence!I$3-K205)^2</f>
        <v>0.48999999999999994</v>
      </c>
      <c r="V205" s="1">
        <f>(Occurrence!J$3-L205)^2</f>
        <v>0.09</v>
      </c>
      <c r="W205" s="1">
        <f>(Occurrence!K$3-M205)^2</f>
        <v>0.36</v>
      </c>
      <c r="X205" s="1">
        <f t="shared" si="37"/>
        <v>3.0899999999999994</v>
      </c>
      <c r="Z205" s="1">
        <f t="shared" si="38"/>
        <v>1</v>
      </c>
      <c r="AA205" s="1">
        <f t="shared" si="39"/>
        <v>0</v>
      </c>
      <c r="AB205" s="1">
        <f t="shared" si="40"/>
        <v>1</v>
      </c>
      <c r="AC205" s="1">
        <f t="shared" si="41"/>
        <v>1</v>
      </c>
      <c r="AD205" s="1">
        <f t="shared" si="42"/>
        <v>1</v>
      </c>
      <c r="AE205" s="1">
        <f t="shared" si="43"/>
        <v>1</v>
      </c>
      <c r="AF205" s="1">
        <f t="shared" si="44"/>
        <v>1</v>
      </c>
      <c r="AG205" s="1">
        <f t="shared" si="45"/>
        <v>0</v>
      </c>
      <c r="AH205" s="1">
        <f t="shared" si="46"/>
        <v>0</v>
      </c>
      <c r="AI205" s="1">
        <f t="shared" si="47"/>
        <v>0</v>
      </c>
      <c r="AJ205" s="1">
        <f>SUMXMY2(Z205:AI205, Occurrence!B$3:K$3)</f>
        <v>5</v>
      </c>
      <c r="AK205" s="1">
        <f t="shared" si="48"/>
        <v>5</v>
      </c>
    </row>
    <row r="206" spans="1:37">
      <c r="A206" s="1">
        <v>205</v>
      </c>
      <c r="B206" s="1">
        <v>4252204</v>
      </c>
      <c r="C206" s="6">
        <v>808</v>
      </c>
      <c r="D206" s="1">
        <v>1.8599999999999998E-2</v>
      </c>
      <c r="E206" s="1">
        <v>1.1299999999999999E-2</v>
      </c>
      <c r="F206" s="1">
        <v>0.50009999999999999</v>
      </c>
      <c r="G206" s="1">
        <v>0.6028</v>
      </c>
      <c r="H206" s="1">
        <v>3.1399999999999997E-2</v>
      </c>
      <c r="I206" s="1">
        <v>9.2299999999999993E-2</v>
      </c>
      <c r="J206" s="1">
        <v>9.8599999999999993E-2</v>
      </c>
      <c r="K206" s="1">
        <v>3.5200000000000002E-2</v>
      </c>
      <c r="L206" s="1">
        <v>9.3399999999999997E-2</v>
      </c>
      <c r="M206" s="1">
        <v>0.1235</v>
      </c>
      <c r="N206" s="1">
        <f>(Occurrence!B$3-D206)^2</f>
        <v>3.4595999999999992E-4</v>
      </c>
      <c r="O206" s="1">
        <f>(Occurrence!C$3-E206)^2</f>
        <v>1.2768999999999999E-4</v>
      </c>
      <c r="P206" s="1">
        <f>(Occurrence!D$3-F206)^2</f>
        <v>0.24990001000000001</v>
      </c>
      <c r="Q206" s="1">
        <f>(Occurrence!E$3-G206)^2</f>
        <v>0.15776783999999999</v>
      </c>
      <c r="R206" s="1">
        <f>(Occurrence!F$3-H206)^2</f>
        <v>9.8595999999999992E-4</v>
      </c>
      <c r="S206" s="1">
        <f>(Occurrence!G$3-I206)^2</f>
        <v>8.5192899999999988E-3</v>
      </c>
      <c r="T206" s="1">
        <f>(Occurrence!H$3-J206)^2</f>
        <v>0.81252195999999999</v>
      </c>
      <c r="U206" s="1">
        <f>(Occurrence!I$3-K206)^2</f>
        <v>0.93083903999999995</v>
      </c>
      <c r="V206" s="1">
        <f>(Occurrence!J$3-L206)^2</f>
        <v>8.72356E-3</v>
      </c>
      <c r="W206" s="1">
        <f>(Occurrence!K$3-M206)^2</f>
        <v>0.76825225000000008</v>
      </c>
      <c r="X206" s="1">
        <f t="shared" si="37"/>
        <v>2.9379835600000002</v>
      </c>
      <c r="Z206" s="1">
        <f t="shared" si="38"/>
        <v>0</v>
      </c>
      <c r="AA206" s="1">
        <f t="shared" si="39"/>
        <v>0</v>
      </c>
      <c r="AB206" s="1">
        <f t="shared" si="40"/>
        <v>1</v>
      </c>
      <c r="AC206" s="1">
        <f t="shared" si="41"/>
        <v>1</v>
      </c>
      <c r="AD206" s="1">
        <f t="shared" si="42"/>
        <v>0</v>
      </c>
      <c r="AE206" s="1">
        <f t="shared" si="43"/>
        <v>0</v>
      </c>
      <c r="AF206" s="1">
        <f t="shared" si="44"/>
        <v>0</v>
      </c>
      <c r="AG206" s="1">
        <f t="shared" si="45"/>
        <v>0</v>
      </c>
      <c r="AH206" s="1">
        <f t="shared" si="46"/>
        <v>0</v>
      </c>
      <c r="AI206" s="1">
        <f t="shared" si="47"/>
        <v>0</v>
      </c>
      <c r="AJ206" s="1">
        <f>SUMXMY2(Z206:AI206, Occurrence!B$3:K$3)</f>
        <v>3</v>
      </c>
      <c r="AK206" s="1">
        <f t="shared" si="48"/>
        <v>7</v>
      </c>
    </row>
    <row r="207" spans="1:37">
      <c r="A207" s="1">
        <v>206</v>
      </c>
      <c r="B207" s="1">
        <v>4252205</v>
      </c>
      <c r="C207" s="6">
        <v>808</v>
      </c>
      <c r="D207" s="1">
        <v>0.36899999999999999</v>
      </c>
      <c r="E207" s="1">
        <v>0.52100000000000002</v>
      </c>
      <c r="F207" s="1">
        <v>0.35699999999999998</v>
      </c>
      <c r="G207" s="1">
        <v>0.95599999999999996</v>
      </c>
      <c r="H207" s="1">
        <v>0.45600000000000002</v>
      </c>
      <c r="I207" s="1">
        <v>0.25800000000000001</v>
      </c>
      <c r="J207" s="1">
        <v>0.159</v>
      </c>
      <c r="K207" s="1">
        <v>0.56899999999999995</v>
      </c>
      <c r="L207" s="1">
        <v>0.47199999999999998</v>
      </c>
      <c r="M207" s="1">
        <v>0.35099999999999998</v>
      </c>
      <c r="N207" s="1">
        <f>(Occurrence!B$3-D207)^2</f>
        <v>0.136161</v>
      </c>
      <c r="O207" s="1">
        <f>(Occurrence!C$3-E207)^2</f>
        <v>0.27144100000000004</v>
      </c>
      <c r="P207" s="1">
        <f>(Occurrence!D$3-F207)^2</f>
        <v>0.41344900000000001</v>
      </c>
      <c r="Q207" s="1">
        <f>(Occurrence!E$3-G207)^2</f>
        <v>1.9360000000000035E-3</v>
      </c>
      <c r="R207" s="1">
        <f>(Occurrence!F$3-H207)^2</f>
        <v>0.20793600000000001</v>
      </c>
      <c r="S207" s="1">
        <f>(Occurrence!G$3-I207)^2</f>
        <v>6.6563999999999998E-2</v>
      </c>
      <c r="T207" s="1">
        <f>(Occurrence!H$3-J207)^2</f>
        <v>0.70728099999999994</v>
      </c>
      <c r="U207" s="1">
        <f>(Occurrence!I$3-K207)^2</f>
        <v>0.18576100000000004</v>
      </c>
      <c r="V207" s="1">
        <f>(Occurrence!J$3-L207)^2</f>
        <v>0.22278399999999998</v>
      </c>
      <c r="W207" s="1">
        <f>(Occurrence!K$3-M207)^2</f>
        <v>0.42120100000000005</v>
      </c>
      <c r="X207" s="1">
        <f t="shared" si="37"/>
        <v>2.6345140000000002</v>
      </c>
      <c r="Z207" s="1">
        <f t="shared" si="38"/>
        <v>0</v>
      </c>
      <c r="AA207" s="1">
        <f t="shared" si="39"/>
        <v>1</v>
      </c>
      <c r="AB207" s="1">
        <f t="shared" si="40"/>
        <v>0</v>
      </c>
      <c r="AC207" s="1">
        <f t="shared" si="41"/>
        <v>1</v>
      </c>
      <c r="AD207" s="1">
        <f t="shared" si="42"/>
        <v>0</v>
      </c>
      <c r="AE207" s="1">
        <f t="shared" si="43"/>
        <v>0</v>
      </c>
      <c r="AF207" s="1">
        <f t="shared" si="44"/>
        <v>0</v>
      </c>
      <c r="AG207" s="1">
        <f t="shared" si="45"/>
        <v>1</v>
      </c>
      <c r="AH207" s="1">
        <f t="shared" si="46"/>
        <v>0</v>
      </c>
      <c r="AI207" s="1">
        <f t="shared" si="47"/>
        <v>0</v>
      </c>
      <c r="AJ207" s="1">
        <f>SUMXMY2(Z207:AI207, Occurrence!B$3:K$3)</f>
        <v>4</v>
      </c>
      <c r="AK207" s="1">
        <f t="shared" si="48"/>
        <v>6</v>
      </c>
    </row>
    <row r="208" spans="1:37">
      <c r="A208" s="1">
        <v>207</v>
      </c>
      <c r="B208" s="1">
        <v>4252206</v>
      </c>
      <c r="C208" s="6">
        <v>808</v>
      </c>
      <c r="D208" s="1">
        <v>0.4</v>
      </c>
      <c r="E208" s="1">
        <v>0.52</v>
      </c>
      <c r="F208" s="1">
        <v>0.63</v>
      </c>
      <c r="G208" s="1">
        <v>0.47</v>
      </c>
      <c r="H208" s="1">
        <v>0.83</v>
      </c>
      <c r="I208" s="1">
        <v>0.67</v>
      </c>
      <c r="J208" s="1">
        <v>0.85</v>
      </c>
      <c r="K208" s="1">
        <v>0.34</v>
      </c>
      <c r="L208" s="1">
        <v>0.87</v>
      </c>
      <c r="M208" s="1">
        <v>0.9</v>
      </c>
      <c r="N208" s="1">
        <f>(Occurrence!B$3-D208)^2</f>
        <v>0.16000000000000003</v>
      </c>
      <c r="O208" s="1">
        <f>(Occurrence!C$3-E208)^2</f>
        <v>0.27040000000000003</v>
      </c>
      <c r="P208" s="1">
        <f>(Occurrence!D$3-F208)^2</f>
        <v>0.13689999999999999</v>
      </c>
      <c r="Q208" s="1">
        <f>(Occurrence!E$3-G208)^2</f>
        <v>0.28090000000000004</v>
      </c>
      <c r="R208" s="1">
        <f>(Occurrence!F$3-H208)^2</f>
        <v>0.68889999999999996</v>
      </c>
      <c r="S208" s="1">
        <f>(Occurrence!G$3-I208)^2</f>
        <v>0.44890000000000008</v>
      </c>
      <c r="T208" s="1">
        <f>(Occurrence!H$3-J208)^2</f>
        <v>2.2500000000000006E-2</v>
      </c>
      <c r="U208" s="1">
        <f>(Occurrence!I$3-K208)^2</f>
        <v>0.43559999999999988</v>
      </c>
      <c r="V208" s="1">
        <f>(Occurrence!J$3-L208)^2</f>
        <v>0.75690000000000002</v>
      </c>
      <c r="W208" s="1">
        <f>(Occurrence!K$3-M208)^2</f>
        <v>9.999999999999995E-3</v>
      </c>
      <c r="X208" s="1">
        <f t="shared" si="37"/>
        <v>3.2109999999999999</v>
      </c>
      <c r="Z208" s="1">
        <f t="shared" si="38"/>
        <v>0</v>
      </c>
      <c r="AA208" s="1">
        <f t="shared" si="39"/>
        <v>1</v>
      </c>
      <c r="AB208" s="1">
        <f t="shared" si="40"/>
        <v>1</v>
      </c>
      <c r="AC208" s="1">
        <f t="shared" si="41"/>
        <v>0</v>
      </c>
      <c r="AD208" s="1">
        <f t="shared" si="42"/>
        <v>1</v>
      </c>
      <c r="AE208" s="1">
        <f t="shared" si="43"/>
        <v>1</v>
      </c>
      <c r="AF208" s="1">
        <f t="shared" si="44"/>
        <v>1</v>
      </c>
      <c r="AG208" s="1">
        <f t="shared" si="45"/>
        <v>0</v>
      </c>
      <c r="AH208" s="1">
        <f t="shared" si="46"/>
        <v>1</v>
      </c>
      <c r="AI208" s="1">
        <f t="shared" si="47"/>
        <v>1</v>
      </c>
      <c r="AJ208" s="1">
        <f>SUMXMY2(Z208:AI208, Occurrence!B$3:K$3)</f>
        <v>6</v>
      </c>
      <c r="AK208" s="1">
        <f t="shared" si="48"/>
        <v>4</v>
      </c>
    </row>
    <row r="209" spans="1:37">
      <c r="A209" s="1">
        <v>208</v>
      </c>
      <c r="B209" s="1">
        <v>4252207</v>
      </c>
      <c r="C209" s="6">
        <v>808</v>
      </c>
      <c r="D209" s="1">
        <v>2.5600000000000001E-2</v>
      </c>
      <c r="E209" s="1">
        <v>0.23577999999999999</v>
      </c>
      <c r="F209" s="1">
        <v>0.35</v>
      </c>
      <c r="G209" s="1">
        <v>0.96543000000000001</v>
      </c>
      <c r="H209" s="1">
        <v>0.45</v>
      </c>
      <c r="I209" s="1">
        <v>0.6875</v>
      </c>
      <c r="J209" s="1">
        <v>0.42</v>
      </c>
      <c r="K209" s="1">
        <v>0.238764</v>
      </c>
      <c r="L209" s="1">
        <v>0.67230000000000001</v>
      </c>
      <c r="M209" s="1">
        <v>0.14699999999999999</v>
      </c>
      <c r="N209" s="1">
        <f>(Occurrence!B$3-D209)^2</f>
        <v>6.5536000000000001E-4</v>
      </c>
      <c r="O209" s="1">
        <f>(Occurrence!C$3-E209)^2</f>
        <v>5.5592208399999996E-2</v>
      </c>
      <c r="P209" s="1">
        <f>(Occurrence!D$3-F209)^2</f>
        <v>0.42250000000000004</v>
      </c>
      <c r="Q209" s="1">
        <f>(Occurrence!E$3-G209)^2</f>
        <v>1.1950848999999993E-3</v>
      </c>
      <c r="R209" s="1">
        <f>(Occurrence!F$3-H209)^2</f>
        <v>0.20250000000000001</v>
      </c>
      <c r="S209" s="1">
        <f>(Occurrence!G$3-I209)^2</f>
        <v>0.47265625</v>
      </c>
      <c r="T209" s="1">
        <f>(Occurrence!H$3-J209)^2</f>
        <v>0.33640000000000009</v>
      </c>
      <c r="U209" s="1">
        <f>(Occurrence!I$3-K209)^2</f>
        <v>0.57948024769600004</v>
      </c>
      <c r="V209" s="1">
        <f>(Occurrence!J$3-L209)^2</f>
        <v>0.45198728999999999</v>
      </c>
      <c r="W209" s="1">
        <f>(Occurrence!K$3-M209)^2</f>
        <v>0.72760899999999995</v>
      </c>
      <c r="X209" s="1">
        <f t="shared" si="37"/>
        <v>3.2505754409960002</v>
      </c>
      <c r="Z209" s="1">
        <f t="shared" si="38"/>
        <v>0</v>
      </c>
      <c r="AA209" s="1">
        <f t="shared" si="39"/>
        <v>0</v>
      </c>
      <c r="AB209" s="1">
        <f t="shared" si="40"/>
        <v>0</v>
      </c>
      <c r="AC209" s="1">
        <f t="shared" si="41"/>
        <v>1</v>
      </c>
      <c r="AD209" s="1">
        <f t="shared" si="42"/>
        <v>0</v>
      </c>
      <c r="AE209" s="1">
        <f t="shared" si="43"/>
        <v>1</v>
      </c>
      <c r="AF209" s="1">
        <f t="shared" si="44"/>
        <v>0</v>
      </c>
      <c r="AG209" s="1">
        <f t="shared" si="45"/>
        <v>0</v>
      </c>
      <c r="AH209" s="1">
        <f t="shared" si="46"/>
        <v>1</v>
      </c>
      <c r="AI209" s="1">
        <f t="shared" si="47"/>
        <v>0</v>
      </c>
      <c r="AJ209" s="1">
        <f>SUMXMY2(Z209:AI209, Occurrence!B$3:K$3)</f>
        <v>6</v>
      </c>
      <c r="AK209" s="1">
        <f t="shared" si="48"/>
        <v>4</v>
      </c>
    </row>
    <row r="210" spans="1:37">
      <c r="A210" s="1">
        <v>209</v>
      </c>
      <c r="B210" s="1">
        <v>4252208</v>
      </c>
      <c r="C210" s="6">
        <v>808</v>
      </c>
      <c r="D210" s="1">
        <v>0.67800000000000005</v>
      </c>
      <c r="E210" s="1">
        <v>0.67849999999999999</v>
      </c>
      <c r="F210" s="1">
        <v>0.56699999999999995</v>
      </c>
      <c r="G210" s="1">
        <v>0.67700000000000005</v>
      </c>
      <c r="H210" s="1">
        <v>0.33479999999999999</v>
      </c>
      <c r="I210" s="1">
        <v>0.67800000000000005</v>
      </c>
      <c r="J210" s="1">
        <v>0.89770000000000005</v>
      </c>
      <c r="K210" s="1">
        <v>0.78800000000000003</v>
      </c>
      <c r="L210" s="1">
        <v>0.65500000000000003</v>
      </c>
      <c r="M210" s="1">
        <v>0.68279999999999996</v>
      </c>
      <c r="N210" s="1">
        <f>(Occurrence!B$3-D210)^2</f>
        <v>0.45968400000000004</v>
      </c>
      <c r="O210" s="1">
        <f>(Occurrence!C$3-E210)^2</f>
        <v>0.46036224999999997</v>
      </c>
      <c r="P210" s="1">
        <f>(Occurrence!D$3-F210)^2</f>
        <v>0.18748900000000004</v>
      </c>
      <c r="Q210" s="1">
        <f>(Occurrence!E$3-G210)^2</f>
        <v>0.10432899999999996</v>
      </c>
      <c r="R210" s="1">
        <f>(Occurrence!F$3-H210)^2</f>
        <v>0.11209103999999999</v>
      </c>
      <c r="S210" s="1">
        <f>(Occurrence!G$3-I210)^2</f>
        <v>0.45968400000000004</v>
      </c>
      <c r="T210" s="1">
        <f>(Occurrence!H$3-J210)^2</f>
        <v>1.0465289999999988E-2</v>
      </c>
      <c r="U210" s="1">
        <f>(Occurrence!I$3-K210)^2</f>
        <v>4.4943999999999984E-2</v>
      </c>
      <c r="V210" s="1">
        <f>(Occurrence!J$3-L210)^2</f>
        <v>0.42902500000000005</v>
      </c>
      <c r="W210" s="1">
        <f>(Occurrence!K$3-M210)^2</f>
        <v>0.10061584000000003</v>
      </c>
      <c r="X210" s="1">
        <f t="shared" si="37"/>
        <v>2.3686894199999999</v>
      </c>
      <c r="Z210" s="1">
        <f t="shared" si="38"/>
        <v>1</v>
      </c>
      <c r="AA210" s="1">
        <f t="shared" si="39"/>
        <v>1</v>
      </c>
      <c r="AB210" s="1">
        <f t="shared" si="40"/>
        <v>1</v>
      </c>
      <c r="AC210" s="1">
        <f t="shared" si="41"/>
        <v>1</v>
      </c>
      <c r="AD210" s="1">
        <f t="shared" si="42"/>
        <v>0</v>
      </c>
      <c r="AE210" s="1">
        <f t="shared" si="43"/>
        <v>1</v>
      </c>
      <c r="AF210" s="1">
        <f t="shared" si="44"/>
        <v>1</v>
      </c>
      <c r="AG210" s="1">
        <f t="shared" si="45"/>
        <v>1</v>
      </c>
      <c r="AH210" s="1">
        <f t="shared" si="46"/>
        <v>1</v>
      </c>
      <c r="AI210" s="1">
        <f t="shared" si="47"/>
        <v>1</v>
      </c>
      <c r="AJ210" s="1">
        <f>SUMXMY2(Z210:AI210, Occurrence!B$3:K$3)</f>
        <v>4</v>
      </c>
      <c r="AK210" s="1">
        <f t="shared" si="48"/>
        <v>6</v>
      </c>
    </row>
    <row r="211" spans="1:37">
      <c r="A211" s="1">
        <v>210</v>
      </c>
      <c r="B211" s="1">
        <v>4252209</v>
      </c>
      <c r="C211" s="6">
        <v>808</v>
      </c>
      <c r="D211" s="1">
        <v>0.72119999999999995</v>
      </c>
      <c r="E211" s="1">
        <v>0.64270000000000005</v>
      </c>
      <c r="F211" s="1">
        <v>0.49580000000000002</v>
      </c>
      <c r="G211" s="1">
        <v>0.59760000000000002</v>
      </c>
      <c r="H211" s="1">
        <v>0.22539999999999999</v>
      </c>
      <c r="I211" s="1">
        <v>0.78</v>
      </c>
      <c r="J211" s="1">
        <v>0.876</v>
      </c>
      <c r="K211" s="1">
        <v>0.23100000000000001</v>
      </c>
      <c r="L211" s="1">
        <v>0.96299999999999997</v>
      </c>
      <c r="M211" s="1">
        <v>0.16</v>
      </c>
      <c r="N211" s="1">
        <f>(Occurrence!B$3-D211)^2</f>
        <v>0.52012943999999994</v>
      </c>
      <c r="O211" s="1">
        <f>(Occurrence!C$3-E211)^2</f>
        <v>0.41306329000000008</v>
      </c>
      <c r="P211" s="1">
        <f>(Occurrence!D$3-F211)^2</f>
        <v>0.25421763999999997</v>
      </c>
      <c r="Q211" s="1">
        <f>(Occurrence!E$3-G211)^2</f>
        <v>0.16192575999999997</v>
      </c>
      <c r="R211" s="1">
        <f>(Occurrence!F$3-H211)^2</f>
        <v>5.0805159999999995E-2</v>
      </c>
      <c r="S211" s="1">
        <f>(Occurrence!G$3-I211)^2</f>
        <v>0.60840000000000005</v>
      </c>
      <c r="T211" s="1">
        <f>(Occurrence!H$3-J211)^2</f>
        <v>1.5375999999999999E-2</v>
      </c>
      <c r="U211" s="1">
        <f>(Occurrence!I$3-K211)^2</f>
        <v>0.59136100000000003</v>
      </c>
      <c r="V211" s="1">
        <f>(Occurrence!J$3-L211)^2</f>
        <v>0.92736899999999989</v>
      </c>
      <c r="W211" s="1">
        <f>(Occurrence!K$3-M211)^2</f>
        <v>0.70559999999999989</v>
      </c>
      <c r="X211" s="1">
        <f t="shared" si="37"/>
        <v>4.2482472899999992</v>
      </c>
      <c r="Z211" s="1">
        <f t="shared" si="38"/>
        <v>1</v>
      </c>
      <c r="AA211" s="1">
        <f t="shared" si="39"/>
        <v>1</v>
      </c>
      <c r="AB211" s="1">
        <f t="shared" si="40"/>
        <v>0</v>
      </c>
      <c r="AC211" s="1">
        <f t="shared" si="41"/>
        <v>1</v>
      </c>
      <c r="AD211" s="1">
        <f t="shared" si="42"/>
        <v>0</v>
      </c>
      <c r="AE211" s="1">
        <f t="shared" si="43"/>
        <v>1</v>
      </c>
      <c r="AF211" s="1">
        <f t="shared" si="44"/>
        <v>1</v>
      </c>
      <c r="AG211" s="1">
        <f t="shared" si="45"/>
        <v>0</v>
      </c>
      <c r="AH211" s="1">
        <f t="shared" si="46"/>
        <v>1</v>
      </c>
      <c r="AI211" s="1">
        <f t="shared" si="47"/>
        <v>0</v>
      </c>
      <c r="AJ211" s="1">
        <f>SUMXMY2(Z211:AI211, Occurrence!B$3:K$3)</f>
        <v>7</v>
      </c>
      <c r="AK211" s="1">
        <f t="shared" si="48"/>
        <v>3</v>
      </c>
    </row>
    <row r="212" spans="1:37">
      <c r="A212" s="1">
        <v>211</v>
      </c>
      <c r="B212" s="1">
        <v>4252210</v>
      </c>
      <c r="C212" s="6">
        <v>808</v>
      </c>
      <c r="D212" s="1">
        <v>0.3</v>
      </c>
      <c r="E212" s="1">
        <v>0.7</v>
      </c>
      <c r="F212" s="1">
        <v>0.5</v>
      </c>
      <c r="G212" s="1">
        <v>0.6</v>
      </c>
      <c r="H212" s="1">
        <v>0.5</v>
      </c>
      <c r="I212" s="1">
        <v>0.3</v>
      </c>
      <c r="J212" s="1">
        <v>0.1</v>
      </c>
      <c r="K212" s="1">
        <v>0.3</v>
      </c>
      <c r="L212" s="1">
        <v>0.6</v>
      </c>
      <c r="M212" s="1">
        <v>0.4</v>
      </c>
      <c r="N212" s="1">
        <f>(Occurrence!B$3-D212)^2</f>
        <v>0.09</v>
      </c>
      <c r="O212" s="1">
        <f>(Occurrence!C$3-E212)^2</f>
        <v>0.48999999999999994</v>
      </c>
      <c r="P212" s="1">
        <f>(Occurrence!D$3-F212)^2</f>
        <v>0.25</v>
      </c>
      <c r="Q212" s="1">
        <f>(Occurrence!E$3-G212)^2</f>
        <v>0.16000000000000003</v>
      </c>
      <c r="R212" s="1">
        <f>(Occurrence!F$3-H212)^2</f>
        <v>0.25</v>
      </c>
      <c r="S212" s="1">
        <f>(Occurrence!G$3-I212)^2</f>
        <v>0.09</v>
      </c>
      <c r="T212" s="1">
        <f>(Occurrence!H$3-J212)^2</f>
        <v>0.81</v>
      </c>
      <c r="U212" s="1">
        <f>(Occurrence!I$3-K212)^2</f>
        <v>0.48999999999999994</v>
      </c>
      <c r="V212" s="1">
        <f>(Occurrence!J$3-L212)^2</f>
        <v>0.36</v>
      </c>
      <c r="W212" s="1">
        <f>(Occurrence!K$3-M212)^2</f>
        <v>0.36</v>
      </c>
      <c r="X212" s="1">
        <f t="shared" si="37"/>
        <v>3.3499999999999996</v>
      </c>
      <c r="Z212" s="1">
        <f t="shared" si="38"/>
        <v>0</v>
      </c>
      <c r="AA212" s="1">
        <f t="shared" si="39"/>
        <v>1</v>
      </c>
      <c r="AB212" s="1">
        <f t="shared" si="40"/>
        <v>1</v>
      </c>
      <c r="AC212" s="1">
        <f t="shared" si="41"/>
        <v>1</v>
      </c>
      <c r="AD212" s="1">
        <f t="shared" si="42"/>
        <v>1</v>
      </c>
      <c r="AE212" s="1">
        <f t="shared" si="43"/>
        <v>0</v>
      </c>
      <c r="AF212" s="1">
        <f t="shared" si="44"/>
        <v>0</v>
      </c>
      <c r="AG212" s="1">
        <f t="shared" si="45"/>
        <v>0</v>
      </c>
      <c r="AH212" s="1">
        <f t="shared" si="46"/>
        <v>1</v>
      </c>
      <c r="AI212" s="1">
        <f t="shared" si="47"/>
        <v>0</v>
      </c>
      <c r="AJ212" s="1">
        <f>SUMXMY2(Z212:AI212, Occurrence!B$3:K$3)</f>
        <v>6</v>
      </c>
      <c r="AK212" s="1">
        <f t="shared" si="48"/>
        <v>4</v>
      </c>
    </row>
    <row r="213" spans="1:37">
      <c r="A213" s="1">
        <v>212</v>
      </c>
      <c r="B213" s="1">
        <v>4252211</v>
      </c>
      <c r="C213" s="6">
        <v>808</v>
      </c>
      <c r="D213" s="1">
        <v>0.45</v>
      </c>
      <c r="E213" s="1">
        <v>0.32</v>
      </c>
      <c r="F213" s="1">
        <v>0.13</v>
      </c>
      <c r="G213" s="1">
        <v>0.2</v>
      </c>
      <c r="H213" s="1">
        <v>0.45</v>
      </c>
      <c r="I213" s="1">
        <v>0.39</v>
      </c>
      <c r="J213" s="1">
        <v>0.42</v>
      </c>
      <c r="K213" s="1">
        <v>0.64</v>
      </c>
      <c r="L213" s="1">
        <v>0.34</v>
      </c>
      <c r="M213" s="1">
        <v>0.22</v>
      </c>
      <c r="N213" s="1">
        <f>(Occurrence!B$3-D213)^2</f>
        <v>0.20250000000000001</v>
      </c>
      <c r="O213" s="1">
        <f>(Occurrence!C$3-E213)^2</f>
        <v>0.1024</v>
      </c>
      <c r="P213" s="1">
        <f>(Occurrence!D$3-F213)^2</f>
        <v>0.75690000000000002</v>
      </c>
      <c r="Q213" s="1">
        <f>(Occurrence!E$3-G213)^2</f>
        <v>0.64000000000000012</v>
      </c>
      <c r="R213" s="1">
        <f>(Occurrence!F$3-H213)^2</f>
        <v>0.20250000000000001</v>
      </c>
      <c r="S213" s="1">
        <f>(Occurrence!G$3-I213)^2</f>
        <v>0.15210000000000001</v>
      </c>
      <c r="T213" s="1">
        <f>(Occurrence!H$3-J213)^2</f>
        <v>0.33640000000000009</v>
      </c>
      <c r="U213" s="1">
        <f>(Occurrence!I$3-K213)^2</f>
        <v>0.12959999999999999</v>
      </c>
      <c r="V213" s="1">
        <f>(Occurrence!J$3-L213)^2</f>
        <v>0.11560000000000002</v>
      </c>
      <c r="W213" s="1">
        <f>(Occurrence!K$3-M213)^2</f>
        <v>0.60840000000000005</v>
      </c>
      <c r="X213" s="1">
        <f t="shared" si="37"/>
        <v>3.2464000000000004</v>
      </c>
      <c r="Z213" s="1">
        <f t="shared" si="38"/>
        <v>0</v>
      </c>
      <c r="AA213" s="1">
        <f t="shared" si="39"/>
        <v>0</v>
      </c>
      <c r="AB213" s="1">
        <f t="shared" si="40"/>
        <v>0</v>
      </c>
      <c r="AC213" s="1">
        <f t="shared" si="41"/>
        <v>0</v>
      </c>
      <c r="AD213" s="1">
        <f t="shared" si="42"/>
        <v>0</v>
      </c>
      <c r="AE213" s="1">
        <f t="shared" si="43"/>
        <v>0</v>
      </c>
      <c r="AF213" s="1">
        <f t="shared" si="44"/>
        <v>0</v>
      </c>
      <c r="AG213" s="1">
        <f t="shared" si="45"/>
        <v>1</v>
      </c>
      <c r="AH213" s="1">
        <f t="shared" si="46"/>
        <v>0</v>
      </c>
      <c r="AI213" s="1">
        <f t="shared" si="47"/>
        <v>0</v>
      </c>
      <c r="AJ213" s="1">
        <f>SUMXMY2(Z213:AI213, Occurrence!B$3:K$3)</f>
        <v>4</v>
      </c>
      <c r="AK213" s="1">
        <f t="shared" si="48"/>
        <v>6</v>
      </c>
    </row>
    <row r="214" spans="1:37">
      <c r="A214" s="1">
        <v>213</v>
      </c>
      <c r="B214" s="1">
        <v>4252212</v>
      </c>
      <c r="C214" s="6">
        <v>808</v>
      </c>
      <c r="D214" s="1">
        <v>0.3</v>
      </c>
      <c r="E214" s="1">
        <v>0.9</v>
      </c>
      <c r="F214" s="1">
        <v>0.4</v>
      </c>
      <c r="G214" s="1">
        <v>0.6</v>
      </c>
      <c r="H214" s="1">
        <v>0.34</v>
      </c>
      <c r="I214" s="1">
        <v>0.15</v>
      </c>
      <c r="J214" s="1">
        <v>0.7</v>
      </c>
      <c r="K214" s="1">
        <v>0.4</v>
      </c>
      <c r="L214" s="1">
        <v>0.7</v>
      </c>
      <c r="M214" s="1">
        <v>0.6</v>
      </c>
      <c r="N214" s="1">
        <f>(Occurrence!B$3-D214)^2</f>
        <v>0.09</v>
      </c>
      <c r="O214" s="1">
        <f>(Occurrence!C$3-E214)^2</f>
        <v>0.81</v>
      </c>
      <c r="P214" s="1">
        <f>(Occurrence!D$3-F214)^2</f>
        <v>0.36</v>
      </c>
      <c r="Q214" s="1">
        <f>(Occurrence!E$3-G214)^2</f>
        <v>0.16000000000000003</v>
      </c>
      <c r="R214" s="1">
        <f>(Occurrence!F$3-H214)^2</f>
        <v>0.11560000000000002</v>
      </c>
      <c r="S214" s="1">
        <f>(Occurrence!G$3-I214)^2</f>
        <v>2.2499999999999999E-2</v>
      </c>
      <c r="T214" s="1">
        <f>(Occurrence!H$3-J214)^2</f>
        <v>9.0000000000000024E-2</v>
      </c>
      <c r="U214" s="1">
        <f>(Occurrence!I$3-K214)^2</f>
        <v>0.36</v>
      </c>
      <c r="V214" s="1">
        <f>(Occurrence!J$3-L214)^2</f>
        <v>0.48999999999999994</v>
      </c>
      <c r="W214" s="1">
        <f>(Occurrence!K$3-M214)^2</f>
        <v>0.16000000000000003</v>
      </c>
      <c r="X214" s="1">
        <f t="shared" si="37"/>
        <v>2.6580999999999997</v>
      </c>
      <c r="Z214" s="1">
        <f t="shared" si="38"/>
        <v>0</v>
      </c>
      <c r="AA214" s="1">
        <f t="shared" si="39"/>
        <v>1</v>
      </c>
      <c r="AB214" s="1">
        <f t="shared" si="40"/>
        <v>0</v>
      </c>
      <c r="AC214" s="1">
        <f t="shared" si="41"/>
        <v>1</v>
      </c>
      <c r="AD214" s="1">
        <f t="shared" si="42"/>
        <v>0</v>
      </c>
      <c r="AE214" s="1">
        <f t="shared" si="43"/>
        <v>0</v>
      </c>
      <c r="AF214" s="1">
        <f t="shared" si="44"/>
        <v>1</v>
      </c>
      <c r="AG214" s="1">
        <f t="shared" si="45"/>
        <v>0</v>
      </c>
      <c r="AH214" s="1">
        <f t="shared" si="46"/>
        <v>1</v>
      </c>
      <c r="AI214" s="1">
        <f t="shared" si="47"/>
        <v>1</v>
      </c>
      <c r="AJ214" s="1">
        <f>SUMXMY2(Z214:AI214, Occurrence!B$3:K$3)</f>
        <v>4</v>
      </c>
      <c r="AK214" s="1">
        <f t="shared" si="48"/>
        <v>6</v>
      </c>
    </row>
    <row r="215" spans="1:37">
      <c r="A215" s="1">
        <v>214</v>
      </c>
      <c r="B215" s="1">
        <v>4252213</v>
      </c>
      <c r="C215" s="6">
        <v>808</v>
      </c>
      <c r="D215" s="1">
        <v>0.2</v>
      </c>
      <c r="E215" s="1">
        <v>0.23</v>
      </c>
      <c r="F215" s="1">
        <v>0.7</v>
      </c>
      <c r="G215" s="1">
        <v>0.73</v>
      </c>
      <c r="H215" s="1">
        <v>0.92</v>
      </c>
      <c r="I215" s="1">
        <v>0.5</v>
      </c>
      <c r="J215" s="1">
        <v>0.05</v>
      </c>
      <c r="K215" s="1">
        <v>0.6</v>
      </c>
      <c r="L215" s="1">
        <v>0.55000000000000004</v>
      </c>
      <c r="M215" s="1">
        <v>0.55000000000000004</v>
      </c>
      <c r="N215" s="1">
        <f>(Occurrence!B$3-D215)^2</f>
        <v>4.0000000000000008E-2</v>
      </c>
      <c r="O215" s="1">
        <f>(Occurrence!C$3-E215)^2</f>
        <v>5.2900000000000003E-2</v>
      </c>
      <c r="P215" s="1">
        <f>(Occurrence!D$3-F215)^2</f>
        <v>9.0000000000000024E-2</v>
      </c>
      <c r="Q215" s="1">
        <f>(Occurrence!E$3-G215)^2</f>
        <v>7.2900000000000006E-2</v>
      </c>
      <c r="R215" s="1">
        <f>(Occurrence!F$3-H215)^2</f>
        <v>0.84640000000000004</v>
      </c>
      <c r="S215" s="1">
        <f>(Occurrence!G$3-I215)^2</f>
        <v>0.25</v>
      </c>
      <c r="T215" s="1">
        <f>(Occurrence!H$3-J215)^2</f>
        <v>0.90249999999999997</v>
      </c>
      <c r="U215" s="1">
        <f>(Occurrence!I$3-K215)^2</f>
        <v>0.16000000000000003</v>
      </c>
      <c r="V215" s="1">
        <f>(Occurrence!J$3-L215)^2</f>
        <v>0.30250000000000005</v>
      </c>
      <c r="W215" s="1">
        <f>(Occurrence!K$3-M215)^2</f>
        <v>0.20249999999999996</v>
      </c>
      <c r="X215" s="1">
        <f t="shared" si="37"/>
        <v>2.9197000000000006</v>
      </c>
      <c r="Z215" s="1">
        <f t="shared" si="38"/>
        <v>0</v>
      </c>
      <c r="AA215" s="1">
        <f t="shared" si="39"/>
        <v>0</v>
      </c>
      <c r="AB215" s="1">
        <f t="shared" si="40"/>
        <v>1</v>
      </c>
      <c r="AC215" s="1">
        <f t="shared" si="41"/>
        <v>1</v>
      </c>
      <c r="AD215" s="1">
        <f t="shared" si="42"/>
        <v>1</v>
      </c>
      <c r="AE215" s="1">
        <f t="shared" si="43"/>
        <v>1</v>
      </c>
      <c r="AF215" s="1">
        <f t="shared" si="44"/>
        <v>0</v>
      </c>
      <c r="AG215" s="1">
        <f t="shared" si="45"/>
        <v>1</v>
      </c>
      <c r="AH215" s="1">
        <f t="shared" si="46"/>
        <v>1</v>
      </c>
      <c r="AI215" s="1">
        <f t="shared" si="47"/>
        <v>1</v>
      </c>
      <c r="AJ215" s="1">
        <f>SUMXMY2(Z215:AI215, Occurrence!B$3:K$3)</f>
        <v>4</v>
      </c>
      <c r="AK215" s="1">
        <f t="shared" si="48"/>
        <v>6</v>
      </c>
    </row>
    <row r="216" spans="1:37">
      <c r="A216" s="1">
        <v>215</v>
      </c>
      <c r="B216" s="1">
        <v>4252214</v>
      </c>
      <c r="C216" s="6">
        <v>808</v>
      </c>
      <c r="D216" s="1">
        <v>0.05</v>
      </c>
      <c r="E216" s="1">
        <v>0.06</v>
      </c>
      <c r="F216" s="1">
        <v>0.94</v>
      </c>
      <c r="G216" s="1">
        <v>0.95</v>
      </c>
      <c r="H216" s="1">
        <v>0.81</v>
      </c>
      <c r="I216" s="1">
        <v>0.5</v>
      </c>
      <c r="J216" s="1">
        <v>0.5</v>
      </c>
      <c r="K216" s="1">
        <v>0.5</v>
      </c>
      <c r="L216" s="1">
        <v>0.5</v>
      </c>
      <c r="M216" s="1">
        <v>0.5</v>
      </c>
      <c r="N216" s="1">
        <f>(Occurrence!B$3-D216)^2</f>
        <v>2.5000000000000005E-3</v>
      </c>
      <c r="O216" s="1">
        <f>(Occurrence!C$3-E216)^2</f>
        <v>3.5999999999999999E-3</v>
      </c>
      <c r="P216" s="1">
        <f>(Occurrence!D$3-F216)^2</f>
        <v>3.6000000000000064E-3</v>
      </c>
      <c r="Q216" s="1">
        <f>(Occurrence!E$3-G216)^2</f>
        <v>2.5000000000000044E-3</v>
      </c>
      <c r="R216" s="1">
        <f>(Occurrence!F$3-H216)^2</f>
        <v>0.65610000000000013</v>
      </c>
      <c r="S216" s="1">
        <f>(Occurrence!G$3-I216)^2</f>
        <v>0.25</v>
      </c>
      <c r="T216" s="1">
        <f>(Occurrence!H$3-J216)^2</f>
        <v>0.25</v>
      </c>
      <c r="U216" s="1">
        <f>(Occurrence!I$3-K216)^2</f>
        <v>0.25</v>
      </c>
      <c r="V216" s="1">
        <f>(Occurrence!J$3-L216)^2</f>
        <v>0.25</v>
      </c>
      <c r="W216" s="1">
        <f>(Occurrence!K$3-M216)^2</f>
        <v>0.25</v>
      </c>
      <c r="X216" s="1">
        <f t="shared" si="37"/>
        <v>1.9183000000000001</v>
      </c>
      <c r="Z216" s="1">
        <f t="shared" si="38"/>
        <v>0</v>
      </c>
      <c r="AA216" s="1">
        <f t="shared" si="39"/>
        <v>0</v>
      </c>
      <c r="AB216" s="1">
        <f t="shared" si="40"/>
        <v>1</v>
      </c>
      <c r="AC216" s="1">
        <f t="shared" si="41"/>
        <v>1</v>
      </c>
      <c r="AD216" s="1">
        <f t="shared" si="42"/>
        <v>1</v>
      </c>
      <c r="AE216" s="1">
        <f t="shared" si="43"/>
        <v>1</v>
      </c>
      <c r="AF216" s="1">
        <f t="shared" si="44"/>
        <v>1</v>
      </c>
      <c r="AG216" s="1">
        <f t="shared" si="45"/>
        <v>1</v>
      </c>
      <c r="AH216" s="1">
        <f t="shared" si="46"/>
        <v>1</v>
      </c>
      <c r="AI216" s="1">
        <f t="shared" si="47"/>
        <v>1</v>
      </c>
      <c r="AJ216" s="1">
        <f>SUMXMY2(Z216:AI216, Occurrence!B$3:K$3)</f>
        <v>3</v>
      </c>
      <c r="AK216" s="1">
        <f t="shared" si="48"/>
        <v>7</v>
      </c>
    </row>
    <row r="217" spans="1:37">
      <c r="A217" s="1">
        <v>216</v>
      </c>
      <c r="B217" s="1">
        <v>4252215</v>
      </c>
      <c r="C217" s="6">
        <v>808</v>
      </c>
      <c r="D217" s="1">
        <v>0.11</v>
      </c>
      <c r="E217" s="1">
        <v>0.09</v>
      </c>
      <c r="F217" s="1">
        <v>0.8</v>
      </c>
      <c r="G217" s="1">
        <v>0.13</v>
      </c>
      <c r="H217" s="1">
        <v>1</v>
      </c>
      <c r="I217" s="1">
        <v>0</v>
      </c>
      <c r="J217" s="1">
        <v>0.34</v>
      </c>
      <c r="K217" s="1">
        <v>1</v>
      </c>
      <c r="L217" s="1">
        <v>0.42</v>
      </c>
      <c r="M217" s="1">
        <v>0.81</v>
      </c>
      <c r="N217" s="1">
        <f>(Occurrence!B$3-D217)^2</f>
        <v>1.21E-2</v>
      </c>
      <c r="O217" s="1">
        <f>(Occurrence!C$3-E217)^2</f>
        <v>8.0999999999999996E-3</v>
      </c>
      <c r="P217" s="1">
        <f>(Occurrence!D$3-F217)^2</f>
        <v>3.999999999999998E-2</v>
      </c>
      <c r="Q217" s="1">
        <f>(Occurrence!E$3-G217)^2</f>
        <v>0.75690000000000002</v>
      </c>
      <c r="R217" s="1">
        <f>(Occurrence!F$3-H217)^2</f>
        <v>1</v>
      </c>
      <c r="S217" s="1">
        <f>(Occurrence!G$3-I217)^2</f>
        <v>0</v>
      </c>
      <c r="T217" s="1">
        <f>(Occurrence!H$3-J217)^2</f>
        <v>0.43559999999999988</v>
      </c>
      <c r="U217" s="1">
        <f>(Occurrence!I$3-K217)^2</f>
        <v>0</v>
      </c>
      <c r="V217" s="1">
        <f>(Occurrence!J$3-L217)^2</f>
        <v>0.17639999999999997</v>
      </c>
      <c r="W217" s="1">
        <f>(Occurrence!K$3-M217)^2</f>
        <v>3.6099999999999979E-2</v>
      </c>
      <c r="X217" s="1">
        <f t="shared" si="37"/>
        <v>2.4651999999999998</v>
      </c>
      <c r="Z217" s="1">
        <f t="shared" si="38"/>
        <v>0</v>
      </c>
      <c r="AA217" s="1">
        <f t="shared" si="39"/>
        <v>0</v>
      </c>
      <c r="AB217" s="1">
        <f t="shared" si="40"/>
        <v>1</v>
      </c>
      <c r="AC217" s="1">
        <f t="shared" si="41"/>
        <v>0</v>
      </c>
      <c r="AD217" s="1">
        <f t="shared" si="42"/>
        <v>1</v>
      </c>
      <c r="AE217" s="1">
        <f t="shared" si="43"/>
        <v>0</v>
      </c>
      <c r="AF217" s="1">
        <f t="shared" si="44"/>
        <v>0</v>
      </c>
      <c r="AG217" s="1">
        <f t="shared" si="45"/>
        <v>1</v>
      </c>
      <c r="AH217" s="1">
        <f t="shared" si="46"/>
        <v>0</v>
      </c>
      <c r="AI217" s="1">
        <f t="shared" si="47"/>
        <v>1</v>
      </c>
      <c r="AJ217" s="1">
        <f>SUMXMY2(Z217:AI217, Occurrence!B$3:K$3)</f>
        <v>3</v>
      </c>
      <c r="AK217" s="1">
        <f t="shared" si="48"/>
        <v>7</v>
      </c>
    </row>
    <row r="218" spans="1:37">
      <c r="A218" s="1">
        <v>217</v>
      </c>
      <c r="B218" s="1">
        <v>4252216</v>
      </c>
      <c r="C218" s="6">
        <v>809</v>
      </c>
      <c r="D218" s="1">
        <v>0.28000000000000003</v>
      </c>
      <c r="E218" s="1">
        <v>0.18</v>
      </c>
      <c r="F218" s="1">
        <v>0.13</v>
      </c>
      <c r="G218" s="1">
        <v>0.2</v>
      </c>
      <c r="H218" s="1">
        <v>0.59</v>
      </c>
      <c r="I218" s="1">
        <v>0.7</v>
      </c>
      <c r="J218" s="1">
        <v>0.25</v>
      </c>
      <c r="K218" s="1">
        <v>0.5</v>
      </c>
      <c r="L218" s="1">
        <v>0.3</v>
      </c>
      <c r="M218" s="1">
        <v>0.5</v>
      </c>
      <c r="N218" s="1">
        <f>(Occurrence!B$3-D218)^2</f>
        <v>7.8400000000000011E-2</v>
      </c>
      <c r="O218" s="1">
        <f>(Occurrence!C$3-E218)^2</f>
        <v>3.2399999999999998E-2</v>
      </c>
      <c r="P218" s="1">
        <f>(Occurrence!D$3-F218)^2</f>
        <v>0.75690000000000002</v>
      </c>
      <c r="Q218" s="1">
        <f>(Occurrence!E$3-G218)^2</f>
        <v>0.64000000000000012</v>
      </c>
      <c r="R218" s="1">
        <f>(Occurrence!F$3-H218)^2</f>
        <v>0.34809999999999997</v>
      </c>
      <c r="S218" s="1">
        <f>(Occurrence!G$3-I218)^2</f>
        <v>0.48999999999999994</v>
      </c>
      <c r="T218" s="1">
        <f>(Occurrence!H$3-J218)^2</f>
        <v>0.5625</v>
      </c>
      <c r="U218" s="1">
        <f>(Occurrence!I$3-K218)^2</f>
        <v>0.25</v>
      </c>
      <c r="V218" s="1">
        <f>(Occurrence!J$3-L218)^2</f>
        <v>0.09</v>
      </c>
      <c r="W218" s="1">
        <f>(Occurrence!K$3-M218)^2</f>
        <v>0.25</v>
      </c>
      <c r="X218" s="1">
        <f t="shared" si="37"/>
        <v>3.4983</v>
      </c>
      <c r="Z218" s="1">
        <f t="shared" si="38"/>
        <v>0</v>
      </c>
      <c r="AA218" s="1">
        <f t="shared" si="39"/>
        <v>0</v>
      </c>
      <c r="AB218" s="1">
        <f t="shared" si="40"/>
        <v>0</v>
      </c>
      <c r="AC218" s="1">
        <f t="shared" si="41"/>
        <v>0</v>
      </c>
      <c r="AD218" s="1">
        <f t="shared" si="42"/>
        <v>1</v>
      </c>
      <c r="AE218" s="1">
        <f t="shared" si="43"/>
        <v>1</v>
      </c>
      <c r="AF218" s="1">
        <f t="shared" si="44"/>
        <v>0</v>
      </c>
      <c r="AG218" s="1">
        <f t="shared" si="45"/>
        <v>1</v>
      </c>
      <c r="AH218" s="1">
        <f t="shared" si="46"/>
        <v>0</v>
      </c>
      <c r="AI218" s="1">
        <f t="shared" si="47"/>
        <v>1</v>
      </c>
      <c r="AJ218" s="1">
        <f>SUMXMY2(Z218:AI218, Occurrence!B$3:K$3)</f>
        <v>5</v>
      </c>
      <c r="AK218" s="1">
        <f t="shared" si="48"/>
        <v>5</v>
      </c>
    </row>
    <row r="219" spans="1:37">
      <c r="A219" s="1">
        <v>218</v>
      </c>
      <c r="B219" s="1">
        <v>4252217</v>
      </c>
      <c r="C219" s="6">
        <v>809</v>
      </c>
      <c r="D219" s="1">
        <v>0.01</v>
      </c>
      <c r="E219" s="1">
        <v>0.03</v>
      </c>
      <c r="F219" s="1">
        <v>0.69</v>
      </c>
      <c r="G219" s="1">
        <v>0.9</v>
      </c>
      <c r="H219" s="1">
        <v>0.3</v>
      </c>
      <c r="I219" s="1">
        <v>0.05</v>
      </c>
      <c r="J219" s="1">
        <v>0.99</v>
      </c>
      <c r="K219" s="1">
        <v>0.5</v>
      </c>
      <c r="L219" s="1">
        <v>0.1</v>
      </c>
      <c r="M219" s="1">
        <v>0.9</v>
      </c>
      <c r="N219" s="1">
        <f>(Occurrence!B$3-D219)^2</f>
        <v>1E-4</v>
      </c>
      <c r="O219" s="1">
        <f>(Occurrence!C$3-E219)^2</f>
        <v>8.9999999999999998E-4</v>
      </c>
      <c r="P219" s="1">
        <f>(Occurrence!D$3-F219)^2</f>
        <v>9.6100000000000033E-2</v>
      </c>
      <c r="Q219" s="1">
        <f>(Occurrence!E$3-G219)^2</f>
        <v>9.999999999999995E-3</v>
      </c>
      <c r="R219" s="1">
        <f>(Occurrence!F$3-H219)^2</f>
        <v>0.09</v>
      </c>
      <c r="S219" s="1">
        <f>(Occurrence!G$3-I219)^2</f>
        <v>2.5000000000000005E-3</v>
      </c>
      <c r="T219" s="1">
        <f>(Occurrence!H$3-J219)^2</f>
        <v>1.0000000000000018E-4</v>
      </c>
      <c r="U219" s="1">
        <f>(Occurrence!I$3-K219)^2</f>
        <v>0.25</v>
      </c>
      <c r="V219" s="1">
        <f>(Occurrence!J$3-L219)^2</f>
        <v>1.0000000000000002E-2</v>
      </c>
      <c r="W219" s="1">
        <f>(Occurrence!K$3-M219)^2</f>
        <v>9.999999999999995E-3</v>
      </c>
      <c r="X219" s="1">
        <f t="shared" si="37"/>
        <v>0.46970000000000001</v>
      </c>
      <c r="Z219" s="1">
        <f t="shared" si="38"/>
        <v>0</v>
      </c>
      <c r="AA219" s="1">
        <f t="shared" si="39"/>
        <v>0</v>
      </c>
      <c r="AB219" s="1">
        <f t="shared" si="40"/>
        <v>1</v>
      </c>
      <c r="AC219" s="1">
        <f t="shared" si="41"/>
        <v>1</v>
      </c>
      <c r="AD219" s="1">
        <f t="shared" si="42"/>
        <v>0</v>
      </c>
      <c r="AE219" s="1">
        <f t="shared" si="43"/>
        <v>0</v>
      </c>
      <c r="AF219" s="1">
        <f t="shared" si="44"/>
        <v>1</v>
      </c>
      <c r="AG219" s="1">
        <f t="shared" si="45"/>
        <v>1</v>
      </c>
      <c r="AH219" s="1">
        <f t="shared" si="46"/>
        <v>0</v>
      </c>
      <c r="AI219" s="1">
        <f t="shared" si="47"/>
        <v>1</v>
      </c>
      <c r="AJ219" s="1">
        <f>SUMXMY2(Z219:AI219, Occurrence!B$3:K$3)</f>
        <v>0</v>
      </c>
      <c r="AK219" s="1">
        <f t="shared" si="48"/>
        <v>10</v>
      </c>
    </row>
    <row r="220" spans="1:37">
      <c r="A220" s="1">
        <v>219</v>
      </c>
      <c r="B220" s="1">
        <v>4252218</v>
      </c>
      <c r="C220" s="6">
        <v>809</v>
      </c>
      <c r="D220" s="1">
        <v>0.1</v>
      </c>
      <c r="E220" s="1">
        <v>0.3</v>
      </c>
      <c r="F220" s="1">
        <v>0.3</v>
      </c>
      <c r="G220" s="1">
        <v>0.6</v>
      </c>
      <c r="H220" s="1">
        <v>0.6</v>
      </c>
      <c r="I220" s="1">
        <v>0.2</v>
      </c>
      <c r="J220" s="1">
        <v>0.4</v>
      </c>
      <c r="K220" s="1">
        <v>0.8</v>
      </c>
      <c r="L220" s="1">
        <v>0.2</v>
      </c>
      <c r="M220" s="1">
        <v>0.4</v>
      </c>
      <c r="N220" s="1">
        <f>(Occurrence!B$3-D220)^2</f>
        <v>1.0000000000000002E-2</v>
      </c>
      <c r="O220" s="1">
        <f>(Occurrence!C$3-E220)^2</f>
        <v>0.09</v>
      </c>
      <c r="P220" s="1">
        <f>(Occurrence!D$3-F220)^2</f>
        <v>0.48999999999999994</v>
      </c>
      <c r="Q220" s="1">
        <f>(Occurrence!E$3-G220)^2</f>
        <v>0.16000000000000003</v>
      </c>
      <c r="R220" s="1">
        <f>(Occurrence!F$3-H220)^2</f>
        <v>0.36</v>
      </c>
      <c r="S220" s="1">
        <f>(Occurrence!G$3-I220)^2</f>
        <v>4.0000000000000008E-2</v>
      </c>
      <c r="T220" s="1">
        <f>(Occurrence!H$3-J220)^2</f>
        <v>0.36</v>
      </c>
      <c r="U220" s="1">
        <f>(Occurrence!I$3-K220)^2</f>
        <v>3.999999999999998E-2</v>
      </c>
      <c r="V220" s="1">
        <f>(Occurrence!J$3-L220)^2</f>
        <v>4.0000000000000008E-2</v>
      </c>
      <c r="W220" s="1">
        <f>(Occurrence!K$3-M220)^2</f>
        <v>0.36</v>
      </c>
      <c r="X220" s="1">
        <f t="shared" si="37"/>
        <v>1.9499999999999997</v>
      </c>
      <c r="Z220" s="1">
        <f t="shared" si="38"/>
        <v>0</v>
      </c>
      <c r="AA220" s="1">
        <f t="shared" si="39"/>
        <v>0</v>
      </c>
      <c r="AB220" s="1">
        <f t="shared" si="40"/>
        <v>0</v>
      </c>
      <c r="AC220" s="1">
        <f t="shared" si="41"/>
        <v>1</v>
      </c>
      <c r="AD220" s="1">
        <f t="shared" si="42"/>
        <v>1</v>
      </c>
      <c r="AE220" s="1">
        <f t="shared" si="43"/>
        <v>0</v>
      </c>
      <c r="AF220" s="1">
        <f t="shared" si="44"/>
        <v>0</v>
      </c>
      <c r="AG220" s="1">
        <f t="shared" si="45"/>
        <v>1</v>
      </c>
      <c r="AH220" s="1">
        <f t="shared" si="46"/>
        <v>0</v>
      </c>
      <c r="AI220" s="1">
        <f t="shared" si="47"/>
        <v>0</v>
      </c>
      <c r="AJ220" s="1">
        <f>SUMXMY2(Z220:AI220, Occurrence!B$3:K$3)</f>
        <v>4</v>
      </c>
      <c r="AK220" s="1">
        <f t="shared" si="48"/>
        <v>6</v>
      </c>
    </row>
    <row r="221" spans="1:37">
      <c r="A221" s="1">
        <v>220</v>
      </c>
      <c r="B221" s="1">
        <v>4252219</v>
      </c>
      <c r="C221" s="6">
        <v>809</v>
      </c>
      <c r="D221" s="1">
        <v>0.15</v>
      </c>
      <c r="E221" s="1">
        <v>0.3</v>
      </c>
      <c r="F221" s="1">
        <v>0.25</v>
      </c>
      <c r="G221" s="1">
        <v>0.6</v>
      </c>
      <c r="H221" s="1">
        <v>0.6</v>
      </c>
      <c r="I221" s="1">
        <v>0.7</v>
      </c>
      <c r="J221" s="1">
        <v>0.4</v>
      </c>
      <c r="K221" s="1">
        <v>0.3</v>
      </c>
      <c r="L221" s="1">
        <v>0.3</v>
      </c>
      <c r="M221" s="1">
        <v>0.25</v>
      </c>
      <c r="N221" s="1">
        <f>(Occurrence!B$3-D221)^2</f>
        <v>2.2499999999999999E-2</v>
      </c>
      <c r="O221" s="1">
        <f>(Occurrence!C$3-E221)^2</f>
        <v>0.09</v>
      </c>
      <c r="P221" s="1">
        <f>(Occurrence!D$3-F221)^2</f>
        <v>0.5625</v>
      </c>
      <c r="Q221" s="1">
        <f>(Occurrence!E$3-G221)^2</f>
        <v>0.16000000000000003</v>
      </c>
      <c r="R221" s="1">
        <f>(Occurrence!F$3-H221)^2</f>
        <v>0.36</v>
      </c>
      <c r="S221" s="1">
        <f>(Occurrence!G$3-I221)^2</f>
        <v>0.48999999999999994</v>
      </c>
      <c r="T221" s="1">
        <f>(Occurrence!H$3-J221)^2</f>
        <v>0.36</v>
      </c>
      <c r="U221" s="1">
        <f>(Occurrence!I$3-K221)^2</f>
        <v>0.48999999999999994</v>
      </c>
      <c r="V221" s="1">
        <f>(Occurrence!J$3-L221)^2</f>
        <v>0.09</v>
      </c>
      <c r="W221" s="1">
        <f>(Occurrence!K$3-M221)^2</f>
        <v>0.5625</v>
      </c>
      <c r="X221" s="1">
        <f t="shared" si="37"/>
        <v>3.1874999999999996</v>
      </c>
      <c r="Z221" s="1">
        <f t="shared" si="38"/>
        <v>0</v>
      </c>
      <c r="AA221" s="1">
        <f t="shared" si="39"/>
        <v>0</v>
      </c>
      <c r="AB221" s="1">
        <f t="shared" si="40"/>
        <v>0</v>
      </c>
      <c r="AC221" s="1">
        <f t="shared" si="41"/>
        <v>1</v>
      </c>
      <c r="AD221" s="1">
        <f t="shared" si="42"/>
        <v>1</v>
      </c>
      <c r="AE221" s="1">
        <f t="shared" si="43"/>
        <v>1</v>
      </c>
      <c r="AF221" s="1">
        <f t="shared" si="44"/>
        <v>0</v>
      </c>
      <c r="AG221" s="1">
        <f t="shared" si="45"/>
        <v>0</v>
      </c>
      <c r="AH221" s="1">
        <f t="shared" si="46"/>
        <v>0</v>
      </c>
      <c r="AI221" s="1">
        <f t="shared" si="47"/>
        <v>0</v>
      </c>
      <c r="AJ221" s="1">
        <f>SUMXMY2(Z221:AI221, Occurrence!B$3:K$3)</f>
        <v>6</v>
      </c>
      <c r="AK221" s="1">
        <f t="shared" si="48"/>
        <v>4</v>
      </c>
    </row>
    <row r="222" spans="1:37">
      <c r="A222" s="1">
        <v>221</v>
      </c>
      <c r="B222" s="1">
        <v>4252220</v>
      </c>
      <c r="C222" s="6">
        <v>809</v>
      </c>
      <c r="D222" s="1">
        <v>0.33</v>
      </c>
      <c r="E222" s="1">
        <v>0.72</v>
      </c>
      <c r="F222" s="1">
        <v>0.04</v>
      </c>
      <c r="G222" s="1">
        <v>0.28000000000000003</v>
      </c>
      <c r="H222" s="1">
        <v>0.88</v>
      </c>
      <c r="I222" s="1">
        <v>0.74</v>
      </c>
      <c r="J222" s="1">
        <v>0.92</v>
      </c>
      <c r="K222" s="1">
        <v>0.88</v>
      </c>
      <c r="L222" s="1">
        <v>7.0000000000000007E-2</v>
      </c>
      <c r="M222" s="1">
        <v>0.93</v>
      </c>
      <c r="N222" s="1">
        <f>(Occurrence!B$3-D222)^2</f>
        <v>0.10890000000000001</v>
      </c>
      <c r="O222" s="1">
        <f>(Occurrence!C$3-E222)^2</f>
        <v>0.51839999999999997</v>
      </c>
      <c r="P222" s="1">
        <f>(Occurrence!D$3-F222)^2</f>
        <v>0.92159999999999997</v>
      </c>
      <c r="Q222" s="1">
        <f>(Occurrence!E$3-G222)^2</f>
        <v>0.51839999999999997</v>
      </c>
      <c r="R222" s="1">
        <f>(Occurrence!F$3-H222)^2</f>
        <v>0.77439999999999998</v>
      </c>
      <c r="S222" s="1">
        <f>(Occurrence!G$3-I222)^2</f>
        <v>0.54759999999999998</v>
      </c>
      <c r="T222" s="1">
        <f>(Occurrence!H$3-J222)^2</f>
        <v>6.3999999999999934E-3</v>
      </c>
      <c r="U222" s="1">
        <f>(Occurrence!I$3-K222)^2</f>
        <v>1.44E-2</v>
      </c>
      <c r="V222" s="1">
        <f>(Occurrence!J$3-L222)^2</f>
        <v>4.9000000000000007E-3</v>
      </c>
      <c r="W222" s="1">
        <f>(Occurrence!K$3-M222)^2</f>
        <v>4.8999999999999929E-3</v>
      </c>
      <c r="X222" s="1">
        <f t="shared" si="37"/>
        <v>3.4199000000000006</v>
      </c>
      <c r="Z222" s="1">
        <f t="shared" si="38"/>
        <v>0</v>
      </c>
      <c r="AA222" s="1">
        <f t="shared" si="39"/>
        <v>1</v>
      </c>
      <c r="AB222" s="1">
        <f t="shared" si="40"/>
        <v>0</v>
      </c>
      <c r="AC222" s="1">
        <f t="shared" si="41"/>
        <v>0</v>
      </c>
      <c r="AD222" s="1">
        <f t="shared" si="42"/>
        <v>1</v>
      </c>
      <c r="AE222" s="1">
        <f t="shared" si="43"/>
        <v>1</v>
      </c>
      <c r="AF222" s="1">
        <f t="shared" si="44"/>
        <v>1</v>
      </c>
      <c r="AG222" s="1">
        <f t="shared" si="45"/>
        <v>1</v>
      </c>
      <c r="AH222" s="1">
        <f t="shared" si="46"/>
        <v>0</v>
      </c>
      <c r="AI222" s="1">
        <f t="shared" si="47"/>
        <v>1</v>
      </c>
      <c r="AJ222" s="1">
        <f>SUMXMY2(Z222:AI222, Occurrence!B$3:K$3)</f>
        <v>5</v>
      </c>
      <c r="AK222" s="1">
        <f t="shared" si="48"/>
        <v>5</v>
      </c>
    </row>
    <row r="223" spans="1:37">
      <c r="A223" s="1">
        <v>222</v>
      </c>
      <c r="B223" s="1">
        <v>4252221</v>
      </c>
      <c r="C223" s="6">
        <v>809</v>
      </c>
      <c r="D223" s="1">
        <v>0.3</v>
      </c>
      <c r="E223" s="1">
        <v>0.1</v>
      </c>
      <c r="F223" s="1">
        <v>0.4</v>
      </c>
      <c r="G223" s="1">
        <v>0.3</v>
      </c>
      <c r="H223" s="1">
        <v>0.3</v>
      </c>
      <c r="I223" s="1">
        <v>0.2</v>
      </c>
      <c r="J223" s="1">
        <v>0.6</v>
      </c>
      <c r="K223" s="1">
        <v>0.9</v>
      </c>
      <c r="L223" s="1">
        <v>0.1</v>
      </c>
      <c r="M223" s="1">
        <v>0.99</v>
      </c>
      <c r="N223" s="1">
        <f>(Occurrence!B$3-D223)^2</f>
        <v>0.09</v>
      </c>
      <c r="O223" s="1">
        <f>(Occurrence!C$3-E223)^2</f>
        <v>1.0000000000000002E-2</v>
      </c>
      <c r="P223" s="1">
        <f>(Occurrence!D$3-F223)^2</f>
        <v>0.36</v>
      </c>
      <c r="Q223" s="1">
        <f>(Occurrence!E$3-G223)^2</f>
        <v>0.48999999999999994</v>
      </c>
      <c r="R223" s="1">
        <f>(Occurrence!F$3-H223)^2</f>
        <v>0.09</v>
      </c>
      <c r="S223" s="1">
        <f>(Occurrence!G$3-I223)^2</f>
        <v>4.0000000000000008E-2</v>
      </c>
      <c r="T223" s="1">
        <f>(Occurrence!H$3-J223)^2</f>
        <v>0.16000000000000003</v>
      </c>
      <c r="U223" s="1">
        <f>(Occurrence!I$3-K223)^2</f>
        <v>9.999999999999995E-3</v>
      </c>
      <c r="V223" s="1">
        <f>(Occurrence!J$3-L223)^2</f>
        <v>1.0000000000000002E-2</v>
      </c>
      <c r="W223" s="1">
        <f>(Occurrence!K$3-M223)^2</f>
        <v>1.0000000000000018E-4</v>
      </c>
      <c r="X223" s="1">
        <f t="shared" si="37"/>
        <v>1.2601000000000002</v>
      </c>
      <c r="Z223" s="1">
        <f t="shared" si="38"/>
        <v>0</v>
      </c>
      <c r="AA223" s="1">
        <f t="shared" si="39"/>
        <v>0</v>
      </c>
      <c r="AB223" s="1">
        <f t="shared" si="40"/>
        <v>0</v>
      </c>
      <c r="AC223" s="1">
        <f t="shared" si="41"/>
        <v>0</v>
      </c>
      <c r="AD223" s="1">
        <f t="shared" si="42"/>
        <v>0</v>
      </c>
      <c r="AE223" s="1">
        <f t="shared" si="43"/>
        <v>0</v>
      </c>
      <c r="AF223" s="1">
        <f t="shared" si="44"/>
        <v>1</v>
      </c>
      <c r="AG223" s="1">
        <f t="shared" si="45"/>
        <v>1</v>
      </c>
      <c r="AH223" s="1">
        <f t="shared" si="46"/>
        <v>0</v>
      </c>
      <c r="AI223" s="1">
        <f t="shared" si="47"/>
        <v>1</v>
      </c>
      <c r="AJ223" s="1">
        <f>SUMXMY2(Z223:AI223, Occurrence!B$3:K$3)</f>
        <v>2</v>
      </c>
      <c r="AK223" s="1">
        <f t="shared" si="48"/>
        <v>8</v>
      </c>
    </row>
    <row r="224" spans="1:37">
      <c r="A224" s="1">
        <v>223</v>
      </c>
      <c r="B224" s="1">
        <v>4252222</v>
      </c>
      <c r="C224" s="6">
        <v>809</v>
      </c>
      <c r="D224" s="1">
        <v>0.25</v>
      </c>
      <c r="E224" s="1">
        <v>0.5</v>
      </c>
      <c r="F224" s="1">
        <v>0.1</v>
      </c>
      <c r="G224" s="1">
        <v>0.75</v>
      </c>
      <c r="H224" s="1">
        <v>0.35</v>
      </c>
      <c r="I224" s="1">
        <v>0.75</v>
      </c>
      <c r="J224" s="1">
        <v>0.5</v>
      </c>
      <c r="K224" s="1">
        <v>0.55000000000000004</v>
      </c>
      <c r="L224" s="1">
        <v>0.25</v>
      </c>
      <c r="M224" s="1">
        <v>0.4</v>
      </c>
      <c r="N224" s="1">
        <f>(Occurrence!B$3-D224)^2</f>
        <v>6.25E-2</v>
      </c>
      <c r="O224" s="1">
        <f>(Occurrence!C$3-E224)^2</f>
        <v>0.25</v>
      </c>
      <c r="P224" s="1">
        <f>(Occurrence!D$3-F224)^2</f>
        <v>0.81</v>
      </c>
      <c r="Q224" s="1">
        <f>(Occurrence!E$3-G224)^2</f>
        <v>6.25E-2</v>
      </c>
      <c r="R224" s="1">
        <f>(Occurrence!F$3-H224)^2</f>
        <v>0.12249999999999998</v>
      </c>
      <c r="S224" s="1">
        <f>(Occurrence!G$3-I224)^2</f>
        <v>0.5625</v>
      </c>
      <c r="T224" s="1">
        <f>(Occurrence!H$3-J224)^2</f>
        <v>0.25</v>
      </c>
      <c r="U224" s="1">
        <f>(Occurrence!I$3-K224)^2</f>
        <v>0.20249999999999996</v>
      </c>
      <c r="V224" s="1">
        <f>(Occurrence!J$3-L224)^2</f>
        <v>6.25E-2</v>
      </c>
      <c r="W224" s="1">
        <f>(Occurrence!K$3-M224)^2</f>
        <v>0.36</v>
      </c>
      <c r="X224" s="1">
        <f t="shared" si="37"/>
        <v>2.7450000000000001</v>
      </c>
      <c r="Z224" s="1">
        <f t="shared" si="38"/>
        <v>0</v>
      </c>
      <c r="AA224" s="1">
        <f t="shared" si="39"/>
        <v>1</v>
      </c>
      <c r="AB224" s="1">
        <f t="shared" si="40"/>
        <v>0</v>
      </c>
      <c r="AC224" s="1">
        <f t="shared" si="41"/>
        <v>1</v>
      </c>
      <c r="AD224" s="1">
        <f t="shared" si="42"/>
        <v>0</v>
      </c>
      <c r="AE224" s="1">
        <f t="shared" si="43"/>
        <v>1</v>
      </c>
      <c r="AF224" s="1">
        <f t="shared" si="44"/>
        <v>1</v>
      </c>
      <c r="AG224" s="1">
        <f t="shared" si="45"/>
        <v>1</v>
      </c>
      <c r="AH224" s="1">
        <f t="shared" si="46"/>
        <v>0</v>
      </c>
      <c r="AI224" s="1">
        <f t="shared" si="47"/>
        <v>0</v>
      </c>
      <c r="AJ224" s="1">
        <f>SUMXMY2(Z224:AI224, Occurrence!B$3:K$3)</f>
        <v>4</v>
      </c>
      <c r="AK224" s="1">
        <f t="shared" si="48"/>
        <v>6</v>
      </c>
    </row>
    <row r="225" spans="1:37">
      <c r="A225" s="1">
        <v>224</v>
      </c>
      <c r="B225" s="1">
        <v>4252223</v>
      </c>
      <c r="C225" s="6">
        <v>809</v>
      </c>
      <c r="D225" s="1">
        <v>0.2</v>
      </c>
      <c r="E225" s="1">
        <v>0.3</v>
      </c>
      <c r="F225" s="1">
        <v>0.5</v>
      </c>
      <c r="G225" s="1">
        <v>0.7</v>
      </c>
      <c r="H225" s="1">
        <v>0.3</v>
      </c>
      <c r="I225" s="1">
        <v>0.8</v>
      </c>
      <c r="J225" s="1">
        <v>0.4</v>
      </c>
      <c r="K225" s="1">
        <v>0.1</v>
      </c>
      <c r="L225" s="1">
        <v>0.2</v>
      </c>
      <c r="M225" s="1">
        <v>0.7</v>
      </c>
      <c r="N225" s="1">
        <f>(Occurrence!B$3-D225)^2</f>
        <v>4.0000000000000008E-2</v>
      </c>
      <c r="O225" s="1">
        <f>(Occurrence!C$3-E225)^2</f>
        <v>0.09</v>
      </c>
      <c r="P225" s="1">
        <f>(Occurrence!D$3-F225)^2</f>
        <v>0.25</v>
      </c>
      <c r="Q225" s="1">
        <f>(Occurrence!E$3-G225)^2</f>
        <v>9.0000000000000024E-2</v>
      </c>
      <c r="R225" s="1">
        <f>(Occurrence!F$3-H225)^2</f>
        <v>0.09</v>
      </c>
      <c r="S225" s="1">
        <f>(Occurrence!G$3-I225)^2</f>
        <v>0.64000000000000012</v>
      </c>
      <c r="T225" s="1">
        <f>(Occurrence!H$3-J225)^2</f>
        <v>0.36</v>
      </c>
      <c r="U225" s="1">
        <f>(Occurrence!I$3-K225)^2</f>
        <v>0.81</v>
      </c>
      <c r="V225" s="1">
        <f>(Occurrence!J$3-L225)^2</f>
        <v>4.0000000000000008E-2</v>
      </c>
      <c r="W225" s="1">
        <f>(Occurrence!K$3-M225)^2</f>
        <v>9.0000000000000024E-2</v>
      </c>
      <c r="X225" s="1">
        <f t="shared" si="37"/>
        <v>2.5</v>
      </c>
      <c r="Z225" s="1">
        <f t="shared" si="38"/>
        <v>0</v>
      </c>
      <c r="AA225" s="1">
        <f t="shared" si="39"/>
        <v>0</v>
      </c>
      <c r="AB225" s="1">
        <f t="shared" si="40"/>
        <v>1</v>
      </c>
      <c r="AC225" s="1">
        <f t="shared" si="41"/>
        <v>1</v>
      </c>
      <c r="AD225" s="1">
        <f t="shared" si="42"/>
        <v>0</v>
      </c>
      <c r="AE225" s="1">
        <f t="shared" si="43"/>
        <v>1</v>
      </c>
      <c r="AF225" s="1">
        <f t="shared" si="44"/>
        <v>0</v>
      </c>
      <c r="AG225" s="1">
        <f t="shared" si="45"/>
        <v>0</v>
      </c>
      <c r="AH225" s="1">
        <f t="shared" si="46"/>
        <v>0</v>
      </c>
      <c r="AI225" s="1">
        <f t="shared" si="47"/>
        <v>1</v>
      </c>
      <c r="AJ225" s="1">
        <f>SUMXMY2(Z225:AI225, Occurrence!B$3:K$3)</f>
        <v>3</v>
      </c>
      <c r="AK225" s="1">
        <f t="shared" si="48"/>
        <v>7</v>
      </c>
    </row>
    <row r="226" spans="1:37">
      <c r="A226" s="1">
        <v>225</v>
      </c>
      <c r="B226" s="1">
        <v>4252224</v>
      </c>
      <c r="C226" s="6">
        <v>809</v>
      </c>
      <c r="D226" s="1">
        <v>0.25</v>
      </c>
      <c r="E226" s="1">
        <v>0.05</v>
      </c>
      <c r="F226" s="1">
        <v>0.5</v>
      </c>
      <c r="G226" s="1">
        <v>0.75</v>
      </c>
      <c r="H226" s="1">
        <v>0.9</v>
      </c>
      <c r="I226" s="1">
        <v>0.75</v>
      </c>
      <c r="J226" s="1">
        <v>0.6</v>
      </c>
      <c r="K226" s="1">
        <v>0.9</v>
      </c>
      <c r="L226" s="1">
        <v>0.4</v>
      </c>
      <c r="M226" s="1">
        <v>0.5</v>
      </c>
      <c r="N226" s="1">
        <f>(Occurrence!B$3-D226)^2</f>
        <v>6.25E-2</v>
      </c>
      <c r="O226" s="1">
        <f>(Occurrence!C$3-E226)^2</f>
        <v>2.5000000000000005E-3</v>
      </c>
      <c r="P226" s="1">
        <f>(Occurrence!D$3-F226)^2</f>
        <v>0.25</v>
      </c>
      <c r="Q226" s="1">
        <f>(Occurrence!E$3-G226)^2</f>
        <v>6.25E-2</v>
      </c>
      <c r="R226" s="1">
        <f>(Occurrence!F$3-H226)^2</f>
        <v>0.81</v>
      </c>
      <c r="S226" s="1">
        <f>(Occurrence!G$3-I226)^2</f>
        <v>0.5625</v>
      </c>
      <c r="T226" s="1">
        <f>(Occurrence!H$3-J226)^2</f>
        <v>0.16000000000000003</v>
      </c>
      <c r="U226" s="1">
        <f>(Occurrence!I$3-K226)^2</f>
        <v>9.999999999999995E-3</v>
      </c>
      <c r="V226" s="1">
        <f>(Occurrence!J$3-L226)^2</f>
        <v>0.16000000000000003</v>
      </c>
      <c r="W226" s="1">
        <f>(Occurrence!K$3-M226)^2</f>
        <v>0.25</v>
      </c>
      <c r="X226" s="1">
        <f t="shared" si="37"/>
        <v>2.33</v>
      </c>
      <c r="Z226" s="1">
        <f t="shared" si="38"/>
        <v>0</v>
      </c>
      <c r="AA226" s="1">
        <f t="shared" si="39"/>
        <v>0</v>
      </c>
      <c r="AB226" s="1">
        <f t="shared" si="40"/>
        <v>1</v>
      </c>
      <c r="AC226" s="1">
        <f t="shared" si="41"/>
        <v>1</v>
      </c>
      <c r="AD226" s="1">
        <f t="shared" si="42"/>
        <v>1</v>
      </c>
      <c r="AE226" s="1">
        <f t="shared" si="43"/>
        <v>1</v>
      </c>
      <c r="AF226" s="1">
        <f t="shared" si="44"/>
        <v>1</v>
      </c>
      <c r="AG226" s="1">
        <f t="shared" si="45"/>
        <v>1</v>
      </c>
      <c r="AH226" s="1">
        <f t="shared" si="46"/>
        <v>0</v>
      </c>
      <c r="AI226" s="1">
        <f t="shared" si="47"/>
        <v>1</v>
      </c>
      <c r="AJ226" s="1">
        <f>SUMXMY2(Z226:AI226, Occurrence!B$3:K$3)</f>
        <v>2</v>
      </c>
      <c r="AK226" s="1">
        <f t="shared" si="48"/>
        <v>8</v>
      </c>
    </row>
    <row r="227" spans="1:37">
      <c r="A227" s="1">
        <v>226</v>
      </c>
      <c r="B227" s="1">
        <v>4252225</v>
      </c>
      <c r="C227" s="6">
        <v>809</v>
      </c>
      <c r="D227" s="1">
        <v>0.3</v>
      </c>
      <c r="E227" s="1">
        <v>0.5</v>
      </c>
      <c r="F227" s="1">
        <v>0.3</v>
      </c>
      <c r="G227" s="1">
        <v>0.5</v>
      </c>
      <c r="H227" s="1">
        <v>0.4</v>
      </c>
      <c r="I227" s="1">
        <v>0.6</v>
      </c>
      <c r="J227" s="1">
        <v>0.99</v>
      </c>
      <c r="K227" s="1">
        <v>0.8</v>
      </c>
      <c r="L227" s="1">
        <v>0.7</v>
      </c>
      <c r="M227" s="1">
        <v>0.75</v>
      </c>
      <c r="N227" s="1">
        <f>(Occurrence!B$3-D227)^2</f>
        <v>0.09</v>
      </c>
      <c r="O227" s="1">
        <f>(Occurrence!C$3-E227)^2</f>
        <v>0.25</v>
      </c>
      <c r="P227" s="1">
        <f>(Occurrence!D$3-F227)^2</f>
        <v>0.48999999999999994</v>
      </c>
      <c r="Q227" s="1">
        <f>(Occurrence!E$3-G227)^2</f>
        <v>0.25</v>
      </c>
      <c r="R227" s="1">
        <f>(Occurrence!F$3-H227)^2</f>
        <v>0.16000000000000003</v>
      </c>
      <c r="S227" s="1">
        <f>(Occurrence!G$3-I227)^2</f>
        <v>0.36</v>
      </c>
      <c r="T227" s="1">
        <f>(Occurrence!H$3-J227)^2</f>
        <v>1.0000000000000018E-4</v>
      </c>
      <c r="U227" s="1">
        <f>(Occurrence!I$3-K227)^2</f>
        <v>3.999999999999998E-2</v>
      </c>
      <c r="V227" s="1">
        <f>(Occurrence!J$3-L227)^2</f>
        <v>0.48999999999999994</v>
      </c>
      <c r="W227" s="1">
        <f>(Occurrence!K$3-M227)^2</f>
        <v>6.25E-2</v>
      </c>
      <c r="X227" s="1">
        <f t="shared" si="37"/>
        <v>2.1925999999999997</v>
      </c>
      <c r="Z227" s="1">
        <f t="shared" si="38"/>
        <v>0</v>
      </c>
      <c r="AA227" s="1">
        <f t="shared" si="39"/>
        <v>1</v>
      </c>
      <c r="AB227" s="1">
        <f t="shared" si="40"/>
        <v>0</v>
      </c>
      <c r="AC227" s="1">
        <f t="shared" si="41"/>
        <v>1</v>
      </c>
      <c r="AD227" s="1">
        <f t="shared" si="42"/>
        <v>0</v>
      </c>
      <c r="AE227" s="1">
        <f t="shared" si="43"/>
        <v>1</v>
      </c>
      <c r="AF227" s="1">
        <f t="shared" si="44"/>
        <v>1</v>
      </c>
      <c r="AG227" s="1">
        <f t="shared" si="45"/>
        <v>1</v>
      </c>
      <c r="AH227" s="1">
        <f t="shared" si="46"/>
        <v>1</v>
      </c>
      <c r="AI227" s="1">
        <f t="shared" si="47"/>
        <v>1</v>
      </c>
      <c r="AJ227" s="1">
        <f>SUMXMY2(Z227:AI227, Occurrence!B$3:K$3)</f>
        <v>4</v>
      </c>
      <c r="AK227" s="1">
        <f t="shared" si="48"/>
        <v>6</v>
      </c>
    </row>
    <row r="228" spans="1:37">
      <c r="A228" s="1">
        <v>227</v>
      </c>
      <c r="B228" s="1">
        <v>4252226</v>
      </c>
      <c r="C228" s="6">
        <v>809</v>
      </c>
      <c r="D228" s="1">
        <v>0.2</v>
      </c>
      <c r="E228" s="1">
        <v>0.65</v>
      </c>
      <c r="F228" s="1">
        <v>0.8</v>
      </c>
      <c r="G228" s="1">
        <v>0.85</v>
      </c>
      <c r="H228" s="1">
        <v>0.6</v>
      </c>
      <c r="I228" s="1">
        <v>0.75</v>
      </c>
      <c r="J228" s="1">
        <v>0.03</v>
      </c>
      <c r="K228" s="1">
        <v>0.97</v>
      </c>
      <c r="L228" s="1">
        <v>0.08</v>
      </c>
      <c r="M228" s="1">
        <v>0.8</v>
      </c>
      <c r="N228" s="1">
        <f>(Occurrence!B$3-D228)^2</f>
        <v>4.0000000000000008E-2</v>
      </c>
      <c r="O228" s="1">
        <f>(Occurrence!C$3-E228)^2</f>
        <v>0.42250000000000004</v>
      </c>
      <c r="P228" s="1">
        <f>(Occurrence!D$3-F228)^2</f>
        <v>3.999999999999998E-2</v>
      </c>
      <c r="Q228" s="1">
        <f>(Occurrence!E$3-G228)^2</f>
        <v>2.2500000000000006E-2</v>
      </c>
      <c r="R228" s="1">
        <f>(Occurrence!F$3-H228)^2</f>
        <v>0.36</v>
      </c>
      <c r="S228" s="1">
        <f>(Occurrence!G$3-I228)^2</f>
        <v>0.5625</v>
      </c>
      <c r="T228" s="1">
        <f>(Occurrence!H$3-J228)^2</f>
        <v>0.94089999999999996</v>
      </c>
      <c r="U228" s="1">
        <f>(Occurrence!I$3-K228)^2</f>
        <v>9.000000000000016E-4</v>
      </c>
      <c r="V228" s="1">
        <f>(Occurrence!J$3-L228)^2</f>
        <v>6.4000000000000003E-3</v>
      </c>
      <c r="W228" s="1">
        <f>(Occurrence!K$3-M228)^2</f>
        <v>3.999999999999998E-2</v>
      </c>
      <c r="X228" s="1">
        <f t="shared" si="37"/>
        <v>2.4357000000000002</v>
      </c>
      <c r="Z228" s="1">
        <f t="shared" si="38"/>
        <v>0</v>
      </c>
      <c r="AA228" s="1">
        <f t="shared" si="39"/>
        <v>1</v>
      </c>
      <c r="AB228" s="1">
        <f t="shared" si="40"/>
        <v>1</v>
      </c>
      <c r="AC228" s="1">
        <f t="shared" si="41"/>
        <v>1</v>
      </c>
      <c r="AD228" s="1">
        <f t="shared" si="42"/>
        <v>1</v>
      </c>
      <c r="AE228" s="1">
        <f t="shared" si="43"/>
        <v>1</v>
      </c>
      <c r="AF228" s="1">
        <f t="shared" si="44"/>
        <v>0</v>
      </c>
      <c r="AG228" s="1">
        <f t="shared" si="45"/>
        <v>1</v>
      </c>
      <c r="AH228" s="1">
        <f t="shared" si="46"/>
        <v>0</v>
      </c>
      <c r="AI228" s="1">
        <f t="shared" si="47"/>
        <v>1</v>
      </c>
      <c r="AJ228" s="1">
        <f>SUMXMY2(Z228:AI228, Occurrence!B$3:K$3)</f>
        <v>4</v>
      </c>
      <c r="AK228" s="1">
        <f t="shared" si="48"/>
        <v>6</v>
      </c>
    </row>
    <row r="229" spans="1:37">
      <c r="A229" s="1">
        <v>228</v>
      </c>
      <c r="B229" s="1">
        <v>4252227</v>
      </c>
      <c r="C229" s="6">
        <v>809</v>
      </c>
      <c r="D229" s="1">
        <v>0.26</v>
      </c>
      <c r="E229" s="1">
        <v>0.42</v>
      </c>
      <c r="F229" s="1">
        <v>0.27</v>
      </c>
      <c r="G229" s="1">
        <v>0.54</v>
      </c>
      <c r="H229" s="1">
        <v>0.47</v>
      </c>
      <c r="I229" s="1">
        <v>0.46</v>
      </c>
      <c r="J229" s="1">
        <v>0.32</v>
      </c>
      <c r="K229" s="1">
        <v>0.91</v>
      </c>
      <c r="L229" s="1">
        <v>0.36</v>
      </c>
      <c r="M229" s="1">
        <v>0.92</v>
      </c>
      <c r="N229" s="1">
        <f>(Occurrence!B$3-D229)^2</f>
        <v>6.7600000000000007E-2</v>
      </c>
      <c r="O229" s="1">
        <f>(Occurrence!C$3-E229)^2</f>
        <v>0.17639999999999997</v>
      </c>
      <c r="P229" s="1">
        <f>(Occurrence!D$3-F229)^2</f>
        <v>0.53289999999999993</v>
      </c>
      <c r="Q229" s="1">
        <f>(Occurrence!E$3-G229)^2</f>
        <v>0.21159999999999995</v>
      </c>
      <c r="R229" s="1">
        <f>(Occurrence!F$3-H229)^2</f>
        <v>0.22089999999999999</v>
      </c>
      <c r="S229" s="1">
        <f>(Occurrence!G$3-I229)^2</f>
        <v>0.21160000000000001</v>
      </c>
      <c r="T229" s="1">
        <f>(Occurrence!H$3-J229)^2</f>
        <v>0.46239999999999992</v>
      </c>
      <c r="U229" s="1">
        <f>(Occurrence!I$3-K229)^2</f>
        <v>8.0999999999999944E-3</v>
      </c>
      <c r="V229" s="1">
        <f>(Occurrence!J$3-L229)^2</f>
        <v>0.12959999999999999</v>
      </c>
      <c r="W229" s="1">
        <f>(Occurrence!K$3-M229)^2</f>
        <v>6.3999999999999934E-3</v>
      </c>
      <c r="X229" s="1">
        <f t="shared" si="37"/>
        <v>2.0275000000000003</v>
      </c>
      <c r="Z229" s="1">
        <f t="shared" si="38"/>
        <v>0</v>
      </c>
      <c r="AA229" s="1">
        <f t="shared" si="39"/>
        <v>0</v>
      </c>
      <c r="AB229" s="1">
        <f t="shared" si="40"/>
        <v>0</v>
      </c>
      <c r="AC229" s="1">
        <f t="shared" si="41"/>
        <v>1</v>
      </c>
      <c r="AD229" s="1">
        <f t="shared" si="42"/>
        <v>0</v>
      </c>
      <c r="AE229" s="1">
        <f t="shared" si="43"/>
        <v>0</v>
      </c>
      <c r="AF229" s="1">
        <f t="shared" si="44"/>
        <v>0</v>
      </c>
      <c r="AG229" s="1">
        <f t="shared" si="45"/>
        <v>1</v>
      </c>
      <c r="AH229" s="1">
        <f t="shared" si="46"/>
        <v>0</v>
      </c>
      <c r="AI229" s="1">
        <f t="shared" si="47"/>
        <v>1</v>
      </c>
      <c r="AJ229" s="1">
        <f>SUMXMY2(Z229:AI229, Occurrence!B$3:K$3)</f>
        <v>2</v>
      </c>
      <c r="AK229" s="1">
        <f t="shared" si="48"/>
        <v>8</v>
      </c>
    </row>
    <row r="230" spans="1:37">
      <c r="A230" s="1">
        <v>229</v>
      </c>
      <c r="B230" s="1">
        <v>4252228</v>
      </c>
      <c r="C230" s="6">
        <v>809</v>
      </c>
      <c r="D230" s="1">
        <v>0.1</v>
      </c>
      <c r="E230" s="1">
        <v>0.15</v>
      </c>
      <c r="F230" s="1">
        <v>0.65</v>
      </c>
      <c r="G230" s="1">
        <v>0.75</v>
      </c>
      <c r="H230" s="1">
        <v>0.35</v>
      </c>
      <c r="I230" s="1">
        <v>0.85</v>
      </c>
      <c r="J230" s="1">
        <v>0.6</v>
      </c>
      <c r="K230" s="1">
        <v>0.2</v>
      </c>
      <c r="L230" s="1">
        <v>0.8</v>
      </c>
      <c r="M230" s="1">
        <v>0.63</v>
      </c>
      <c r="N230" s="1">
        <f>(Occurrence!B$3-D230)^2</f>
        <v>1.0000000000000002E-2</v>
      </c>
      <c r="O230" s="1">
        <f>(Occurrence!C$3-E230)^2</f>
        <v>2.2499999999999999E-2</v>
      </c>
      <c r="P230" s="1">
        <f>(Occurrence!D$3-F230)^2</f>
        <v>0.12249999999999998</v>
      </c>
      <c r="Q230" s="1">
        <f>(Occurrence!E$3-G230)^2</f>
        <v>6.25E-2</v>
      </c>
      <c r="R230" s="1">
        <f>(Occurrence!F$3-H230)^2</f>
        <v>0.12249999999999998</v>
      </c>
      <c r="S230" s="1">
        <f>(Occurrence!G$3-I230)^2</f>
        <v>0.72249999999999992</v>
      </c>
      <c r="T230" s="1">
        <f>(Occurrence!H$3-J230)^2</f>
        <v>0.16000000000000003</v>
      </c>
      <c r="U230" s="1">
        <f>(Occurrence!I$3-K230)^2</f>
        <v>0.64000000000000012</v>
      </c>
      <c r="V230" s="1">
        <f>(Occurrence!J$3-L230)^2</f>
        <v>0.64000000000000012</v>
      </c>
      <c r="W230" s="1">
        <f>(Occurrence!K$3-M230)^2</f>
        <v>0.13689999999999999</v>
      </c>
      <c r="X230" s="1">
        <f t="shared" si="37"/>
        <v>2.6394000000000002</v>
      </c>
      <c r="Z230" s="1">
        <f t="shared" si="38"/>
        <v>0</v>
      </c>
      <c r="AA230" s="1">
        <f t="shared" si="39"/>
        <v>0</v>
      </c>
      <c r="AB230" s="1">
        <f t="shared" si="40"/>
        <v>1</v>
      </c>
      <c r="AC230" s="1">
        <f t="shared" si="41"/>
        <v>1</v>
      </c>
      <c r="AD230" s="1">
        <f t="shared" si="42"/>
        <v>0</v>
      </c>
      <c r="AE230" s="1">
        <f t="shared" si="43"/>
        <v>1</v>
      </c>
      <c r="AF230" s="1">
        <f t="shared" si="44"/>
        <v>1</v>
      </c>
      <c r="AG230" s="1">
        <f t="shared" si="45"/>
        <v>0</v>
      </c>
      <c r="AH230" s="1">
        <f t="shared" si="46"/>
        <v>1</v>
      </c>
      <c r="AI230" s="1">
        <f t="shared" si="47"/>
        <v>1</v>
      </c>
      <c r="AJ230" s="1">
        <f>SUMXMY2(Z230:AI230, Occurrence!B$3:K$3)</f>
        <v>3</v>
      </c>
      <c r="AK230" s="1">
        <f t="shared" si="48"/>
        <v>7</v>
      </c>
    </row>
    <row r="231" spans="1:37">
      <c r="A231" s="1">
        <v>230</v>
      </c>
      <c r="B231" s="1">
        <v>4252229</v>
      </c>
      <c r="C231" s="6">
        <v>809</v>
      </c>
      <c r="D231" s="1">
        <v>0.15</v>
      </c>
      <c r="E231" s="1">
        <v>0.2</v>
      </c>
      <c r="F231" s="1">
        <v>0.45</v>
      </c>
      <c r="G231" s="1">
        <v>0.55000000000000004</v>
      </c>
      <c r="H231" s="1">
        <v>0.4</v>
      </c>
      <c r="I231" s="1">
        <v>0.45</v>
      </c>
      <c r="J231" s="1">
        <v>0.6</v>
      </c>
      <c r="K231" s="1">
        <v>0.6</v>
      </c>
      <c r="L231" s="1">
        <v>0.7</v>
      </c>
      <c r="M231" s="1">
        <v>0.6</v>
      </c>
      <c r="N231" s="1">
        <f>(Occurrence!B$3-D231)^2</f>
        <v>2.2499999999999999E-2</v>
      </c>
      <c r="O231" s="1">
        <f>(Occurrence!C$3-E231)^2</f>
        <v>4.0000000000000008E-2</v>
      </c>
      <c r="P231" s="1">
        <f>(Occurrence!D$3-F231)^2</f>
        <v>0.30250000000000005</v>
      </c>
      <c r="Q231" s="1">
        <f>(Occurrence!E$3-G231)^2</f>
        <v>0.20249999999999996</v>
      </c>
      <c r="R231" s="1">
        <f>(Occurrence!F$3-H231)^2</f>
        <v>0.16000000000000003</v>
      </c>
      <c r="S231" s="1">
        <f>(Occurrence!G$3-I231)^2</f>
        <v>0.20250000000000001</v>
      </c>
      <c r="T231" s="1">
        <f>(Occurrence!H$3-J231)^2</f>
        <v>0.16000000000000003</v>
      </c>
      <c r="U231" s="1">
        <f>(Occurrence!I$3-K231)^2</f>
        <v>0.16000000000000003</v>
      </c>
      <c r="V231" s="1">
        <f>(Occurrence!J$3-L231)^2</f>
        <v>0.48999999999999994</v>
      </c>
      <c r="W231" s="1">
        <f>(Occurrence!K$3-M231)^2</f>
        <v>0.16000000000000003</v>
      </c>
      <c r="X231" s="1">
        <f t="shared" si="37"/>
        <v>1.9</v>
      </c>
      <c r="Z231" s="1">
        <f t="shared" si="38"/>
        <v>0</v>
      </c>
      <c r="AA231" s="1">
        <f t="shared" si="39"/>
        <v>0</v>
      </c>
      <c r="AB231" s="1">
        <f t="shared" si="40"/>
        <v>0</v>
      </c>
      <c r="AC231" s="1">
        <f t="shared" si="41"/>
        <v>1</v>
      </c>
      <c r="AD231" s="1">
        <f t="shared" si="42"/>
        <v>0</v>
      </c>
      <c r="AE231" s="1">
        <f t="shared" si="43"/>
        <v>0</v>
      </c>
      <c r="AF231" s="1">
        <f t="shared" si="44"/>
        <v>1</v>
      </c>
      <c r="AG231" s="1">
        <f t="shared" si="45"/>
        <v>1</v>
      </c>
      <c r="AH231" s="1">
        <f t="shared" si="46"/>
        <v>1</v>
      </c>
      <c r="AI231" s="1">
        <f t="shared" si="47"/>
        <v>1</v>
      </c>
      <c r="AJ231" s="1">
        <f>SUMXMY2(Z231:AI231, Occurrence!B$3:K$3)</f>
        <v>2</v>
      </c>
      <c r="AK231" s="1">
        <f t="shared" si="48"/>
        <v>8</v>
      </c>
    </row>
    <row r="232" spans="1:37">
      <c r="A232" s="1">
        <v>231</v>
      </c>
      <c r="B232" s="1">
        <v>4252230</v>
      </c>
      <c r="C232" s="6">
        <v>809</v>
      </c>
      <c r="D232" s="1">
        <v>0.1</v>
      </c>
      <c r="E232" s="1">
        <v>0.2</v>
      </c>
      <c r="F232" s="1">
        <v>0.4</v>
      </c>
      <c r="G232" s="1">
        <v>0.5</v>
      </c>
      <c r="H232" s="1">
        <v>0.5</v>
      </c>
      <c r="I232" s="1">
        <v>0.25</v>
      </c>
      <c r="J232" s="1">
        <v>1</v>
      </c>
      <c r="K232" s="1">
        <v>0.85</v>
      </c>
      <c r="L232" s="1">
        <v>0.5</v>
      </c>
      <c r="M232" s="1">
        <v>0.7</v>
      </c>
      <c r="N232" s="1">
        <f>(Occurrence!B$3-D232)^2</f>
        <v>1.0000000000000002E-2</v>
      </c>
      <c r="O232" s="1">
        <f>(Occurrence!C$3-E232)^2</f>
        <v>4.0000000000000008E-2</v>
      </c>
      <c r="P232" s="1">
        <f>(Occurrence!D$3-F232)^2</f>
        <v>0.36</v>
      </c>
      <c r="Q232" s="1">
        <f>(Occurrence!E$3-G232)^2</f>
        <v>0.25</v>
      </c>
      <c r="R232" s="1">
        <f>(Occurrence!F$3-H232)^2</f>
        <v>0.25</v>
      </c>
      <c r="S232" s="1">
        <f>(Occurrence!G$3-I232)^2</f>
        <v>6.25E-2</v>
      </c>
      <c r="T232" s="1">
        <f>(Occurrence!H$3-J232)^2</f>
        <v>0</v>
      </c>
      <c r="U232" s="1">
        <f>(Occurrence!I$3-K232)^2</f>
        <v>2.2500000000000006E-2</v>
      </c>
      <c r="V232" s="1">
        <f>(Occurrence!J$3-L232)^2</f>
        <v>0.25</v>
      </c>
      <c r="W232" s="1">
        <f>(Occurrence!K$3-M232)^2</f>
        <v>9.0000000000000024E-2</v>
      </c>
      <c r="X232" s="1">
        <f t="shared" si="37"/>
        <v>1.335</v>
      </c>
      <c r="Z232" s="1">
        <f t="shared" si="38"/>
        <v>0</v>
      </c>
      <c r="AA232" s="1">
        <f t="shared" si="39"/>
        <v>0</v>
      </c>
      <c r="AB232" s="1">
        <f t="shared" si="40"/>
        <v>0</v>
      </c>
      <c r="AC232" s="1">
        <f t="shared" si="41"/>
        <v>1</v>
      </c>
      <c r="AD232" s="1">
        <f t="shared" si="42"/>
        <v>1</v>
      </c>
      <c r="AE232" s="1">
        <f t="shared" si="43"/>
        <v>0</v>
      </c>
      <c r="AF232" s="1">
        <f t="shared" si="44"/>
        <v>1</v>
      </c>
      <c r="AG232" s="1">
        <f t="shared" si="45"/>
        <v>1</v>
      </c>
      <c r="AH232" s="1">
        <f t="shared" si="46"/>
        <v>1</v>
      </c>
      <c r="AI232" s="1">
        <f t="shared" si="47"/>
        <v>1</v>
      </c>
      <c r="AJ232" s="1">
        <f>SUMXMY2(Z232:AI232, Occurrence!B$3:K$3)</f>
        <v>3</v>
      </c>
      <c r="AK232" s="1">
        <f t="shared" si="48"/>
        <v>7</v>
      </c>
    </row>
    <row r="233" spans="1:37">
      <c r="A233" s="1">
        <v>232</v>
      </c>
      <c r="B233" s="1">
        <v>4252231</v>
      </c>
      <c r="C233" s="6">
        <v>809</v>
      </c>
      <c r="D233" s="1">
        <v>0.15</v>
      </c>
      <c r="E233" s="1">
        <v>0.2</v>
      </c>
      <c r="F233" s="1">
        <v>0.25</v>
      </c>
      <c r="G233" s="1">
        <v>0.3</v>
      </c>
      <c r="H233" s="1">
        <v>0.6</v>
      </c>
      <c r="I233" s="1">
        <v>0.4</v>
      </c>
      <c r="J233" s="1">
        <v>0.2</v>
      </c>
      <c r="K233" s="1">
        <v>0.9</v>
      </c>
      <c r="L233" s="1">
        <v>0.3</v>
      </c>
      <c r="M233" s="1">
        <v>0.5</v>
      </c>
      <c r="N233" s="1">
        <f>(Occurrence!B$3-D233)^2</f>
        <v>2.2499999999999999E-2</v>
      </c>
      <c r="O233" s="1">
        <f>(Occurrence!C$3-E233)^2</f>
        <v>4.0000000000000008E-2</v>
      </c>
      <c r="P233" s="1">
        <f>(Occurrence!D$3-F233)^2</f>
        <v>0.5625</v>
      </c>
      <c r="Q233" s="1">
        <f>(Occurrence!E$3-G233)^2</f>
        <v>0.48999999999999994</v>
      </c>
      <c r="R233" s="1">
        <f>(Occurrence!F$3-H233)^2</f>
        <v>0.36</v>
      </c>
      <c r="S233" s="1">
        <f>(Occurrence!G$3-I233)^2</f>
        <v>0.16000000000000003</v>
      </c>
      <c r="T233" s="1">
        <f>(Occurrence!H$3-J233)^2</f>
        <v>0.64000000000000012</v>
      </c>
      <c r="U233" s="1">
        <f>(Occurrence!I$3-K233)^2</f>
        <v>9.999999999999995E-3</v>
      </c>
      <c r="V233" s="1">
        <f>(Occurrence!J$3-L233)^2</f>
        <v>0.09</v>
      </c>
      <c r="W233" s="1">
        <f>(Occurrence!K$3-M233)^2</f>
        <v>0.25</v>
      </c>
      <c r="X233" s="1">
        <f t="shared" si="37"/>
        <v>2.625</v>
      </c>
      <c r="Z233" s="1">
        <f t="shared" si="38"/>
        <v>0</v>
      </c>
      <c r="AA233" s="1">
        <f t="shared" si="39"/>
        <v>0</v>
      </c>
      <c r="AB233" s="1">
        <f t="shared" si="40"/>
        <v>0</v>
      </c>
      <c r="AC233" s="1">
        <f t="shared" si="41"/>
        <v>0</v>
      </c>
      <c r="AD233" s="1">
        <f t="shared" si="42"/>
        <v>1</v>
      </c>
      <c r="AE233" s="1">
        <f t="shared" si="43"/>
        <v>0</v>
      </c>
      <c r="AF233" s="1">
        <f t="shared" si="44"/>
        <v>0</v>
      </c>
      <c r="AG233" s="1">
        <f t="shared" si="45"/>
        <v>1</v>
      </c>
      <c r="AH233" s="1">
        <f t="shared" si="46"/>
        <v>0</v>
      </c>
      <c r="AI233" s="1">
        <f t="shared" si="47"/>
        <v>1</v>
      </c>
      <c r="AJ233" s="1">
        <f>SUMXMY2(Z233:AI233, Occurrence!B$3:K$3)</f>
        <v>4</v>
      </c>
      <c r="AK233" s="1">
        <f t="shared" si="48"/>
        <v>6</v>
      </c>
    </row>
    <row r="234" spans="1:37">
      <c r="A234" s="1">
        <v>233</v>
      </c>
      <c r="B234" s="1">
        <v>4252232</v>
      </c>
      <c r="C234" s="6">
        <v>809</v>
      </c>
      <c r="D234" s="1">
        <v>0.12</v>
      </c>
      <c r="E234" s="1">
        <v>0.35</v>
      </c>
      <c r="F234" s="1">
        <v>0.12</v>
      </c>
      <c r="G234" s="1">
        <v>0.35</v>
      </c>
      <c r="H234" s="1">
        <v>7.4999999999999997E-2</v>
      </c>
      <c r="I234" s="1">
        <v>0.23</v>
      </c>
      <c r="J234" s="1">
        <v>0.15</v>
      </c>
      <c r="K234" s="1">
        <v>0.67</v>
      </c>
      <c r="L234" s="1">
        <v>0.32</v>
      </c>
      <c r="M234" s="1">
        <v>0.78</v>
      </c>
      <c r="N234" s="1">
        <f>(Occurrence!B$3-D234)^2</f>
        <v>1.44E-2</v>
      </c>
      <c r="O234" s="1">
        <f>(Occurrence!C$3-E234)^2</f>
        <v>0.12249999999999998</v>
      </c>
      <c r="P234" s="1">
        <f>(Occurrence!D$3-F234)^2</f>
        <v>0.77439999999999998</v>
      </c>
      <c r="Q234" s="1">
        <f>(Occurrence!E$3-G234)^2</f>
        <v>0.42250000000000004</v>
      </c>
      <c r="R234" s="1">
        <f>(Occurrence!F$3-H234)^2</f>
        <v>5.6249999999999998E-3</v>
      </c>
      <c r="S234" s="1">
        <f>(Occurrence!G$3-I234)^2</f>
        <v>5.2900000000000003E-2</v>
      </c>
      <c r="T234" s="1">
        <f>(Occurrence!H$3-J234)^2</f>
        <v>0.72249999999999992</v>
      </c>
      <c r="U234" s="1">
        <f>(Occurrence!I$3-K234)^2</f>
        <v>0.10889999999999997</v>
      </c>
      <c r="V234" s="1">
        <f>(Occurrence!J$3-L234)^2</f>
        <v>0.1024</v>
      </c>
      <c r="W234" s="1">
        <f>(Occurrence!K$3-M234)^2</f>
        <v>4.8399999999999992E-2</v>
      </c>
      <c r="X234" s="1">
        <f t="shared" si="37"/>
        <v>2.3745249999999993</v>
      </c>
      <c r="Z234" s="1">
        <f t="shared" si="38"/>
        <v>0</v>
      </c>
      <c r="AA234" s="1">
        <f t="shared" si="39"/>
        <v>0</v>
      </c>
      <c r="AB234" s="1">
        <f t="shared" si="40"/>
        <v>0</v>
      </c>
      <c r="AC234" s="1">
        <f t="shared" si="41"/>
        <v>0</v>
      </c>
      <c r="AD234" s="1">
        <f t="shared" si="42"/>
        <v>0</v>
      </c>
      <c r="AE234" s="1">
        <f t="shared" si="43"/>
        <v>0</v>
      </c>
      <c r="AF234" s="1">
        <f t="shared" si="44"/>
        <v>0</v>
      </c>
      <c r="AG234" s="1">
        <f t="shared" si="45"/>
        <v>1</v>
      </c>
      <c r="AH234" s="1">
        <f t="shared" si="46"/>
        <v>0</v>
      </c>
      <c r="AI234" s="1">
        <f t="shared" si="47"/>
        <v>1</v>
      </c>
      <c r="AJ234" s="1">
        <f>SUMXMY2(Z234:AI234, Occurrence!B$3:K$3)</f>
        <v>3</v>
      </c>
      <c r="AK234" s="1">
        <f t="shared" si="48"/>
        <v>7</v>
      </c>
    </row>
    <row r="235" spans="1:37">
      <c r="A235" s="1">
        <v>234</v>
      </c>
      <c r="B235" s="1">
        <v>4252233</v>
      </c>
      <c r="C235" s="6">
        <v>809</v>
      </c>
      <c r="D235" s="1">
        <v>0.02</v>
      </c>
      <c r="E235" s="1">
        <v>0.15</v>
      </c>
      <c r="F235" s="1">
        <v>0.35</v>
      </c>
      <c r="G235" s="1">
        <v>0.6</v>
      </c>
      <c r="H235" s="1">
        <v>0.92</v>
      </c>
      <c r="I235" s="1">
        <v>0.67</v>
      </c>
      <c r="J235" s="1">
        <v>0.4</v>
      </c>
      <c r="K235" s="1">
        <v>0.55000000000000004</v>
      </c>
      <c r="L235" s="1">
        <v>0.25</v>
      </c>
      <c r="M235" s="1">
        <v>0.85</v>
      </c>
      <c r="N235" s="1">
        <f>(Occurrence!B$3-D235)^2</f>
        <v>4.0000000000000002E-4</v>
      </c>
      <c r="O235" s="1">
        <f>(Occurrence!C$3-E235)^2</f>
        <v>2.2499999999999999E-2</v>
      </c>
      <c r="P235" s="1">
        <f>(Occurrence!D$3-F235)^2</f>
        <v>0.42250000000000004</v>
      </c>
      <c r="Q235" s="1">
        <f>(Occurrence!E$3-G235)^2</f>
        <v>0.16000000000000003</v>
      </c>
      <c r="R235" s="1">
        <f>(Occurrence!F$3-H235)^2</f>
        <v>0.84640000000000004</v>
      </c>
      <c r="S235" s="1">
        <f>(Occurrence!G$3-I235)^2</f>
        <v>0.44890000000000008</v>
      </c>
      <c r="T235" s="1">
        <f>(Occurrence!H$3-J235)^2</f>
        <v>0.36</v>
      </c>
      <c r="U235" s="1">
        <f>(Occurrence!I$3-K235)^2</f>
        <v>0.20249999999999996</v>
      </c>
      <c r="V235" s="1">
        <f>(Occurrence!J$3-L235)^2</f>
        <v>6.25E-2</v>
      </c>
      <c r="W235" s="1">
        <f>(Occurrence!K$3-M235)^2</f>
        <v>2.2500000000000006E-2</v>
      </c>
      <c r="X235" s="1">
        <f t="shared" si="37"/>
        <v>2.5482</v>
      </c>
      <c r="Z235" s="1">
        <f t="shared" si="38"/>
        <v>0</v>
      </c>
      <c r="AA235" s="1">
        <f t="shared" si="39"/>
        <v>0</v>
      </c>
      <c r="AB235" s="1">
        <f t="shared" si="40"/>
        <v>0</v>
      </c>
      <c r="AC235" s="1">
        <f t="shared" si="41"/>
        <v>1</v>
      </c>
      <c r="AD235" s="1">
        <f t="shared" si="42"/>
        <v>1</v>
      </c>
      <c r="AE235" s="1">
        <f t="shared" si="43"/>
        <v>1</v>
      </c>
      <c r="AF235" s="1">
        <f t="shared" si="44"/>
        <v>0</v>
      </c>
      <c r="AG235" s="1">
        <f t="shared" si="45"/>
        <v>1</v>
      </c>
      <c r="AH235" s="1">
        <f t="shared" si="46"/>
        <v>0</v>
      </c>
      <c r="AI235" s="1">
        <f t="shared" si="47"/>
        <v>1</v>
      </c>
      <c r="AJ235" s="1">
        <f>SUMXMY2(Z235:AI235, Occurrence!B$3:K$3)</f>
        <v>4</v>
      </c>
      <c r="AK235" s="1">
        <f t="shared" si="48"/>
        <v>6</v>
      </c>
    </row>
    <row r="236" spans="1:37">
      <c r="A236" s="1">
        <v>235</v>
      </c>
      <c r="B236" s="1">
        <v>4252234</v>
      </c>
      <c r="C236" s="6">
        <v>809</v>
      </c>
      <c r="D236" s="1">
        <v>0.27</v>
      </c>
      <c r="E236" s="1">
        <v>0.35</v>
      </c>
      <c r="F236" s="1">
        <v>0.5</v>
      </c>
      <c r="G236" s="1">
        <v>0.6</v>
      </c>
      <c r="H236" s="1">
        <v>0.23</v>
      </c>
      <c r="I236" s="1">
        <v>0</v>
      </c>
      <c r="J236" s="1">
        <v>0.3</v>
      </c>
      <c r="K236" s="1">
        <v>0.09</v>
      </c>
      <c r="L236" s="1">
        <v>0.28999999999999998</v>
      </c>
      <c r="M236" s="1">
        <v>0.22</v>
      </c>
      <c r="N236" s="1">
        <f>(Occurrence!B$3-D236)^2</f>
        <v>7.2900000000000006E-2</v>
      </c>
      <c r="O236" s="1">
        <f>(Occurrence!C$3-E236)^2</f>
        <v>0.12249999999999998</v>
      </c>
      <c r="P236" s="1">
        <f>(Occurrence!D$3-F236)^2</f>
        <v>0.25</v>
      </c>
      <c r="Q236" s="1">
        <f>(Occurrence!E$3-G236)^2</f>
        <v>0.16000000000000003</v>
      </c>
      <c r="R236" s="1">
        <f>(Occurrence!F$3-H236)^2</f>
        <v>5.2900000000000003E-2</v>
      </c>
      <c r="S236" s="1">
        <f>(Occurrence!G$3-I236)^2</f>
        <v>0</v>
      </c>
      <c r="T236" s="1">
        <f>(Occurrence!H$3-J236)^2</f>
        <v>0.48999999999999994</v>
      </c>
      <c r="U236" s="1">
        <f>(Occurrence!I$3-K236)^2</f>
        <v>0.82810000000000006</v>
      </c>
      <c r="V236" s="1">
        <f>(Occurrence!J$3-L236)^2</f>
        <v>8.4099999999999994E-2</v>
      </c>
      <c r="W236" s="1">
        <f>(Occurrence!K$3-M236)^2</f>
        <v>0.60840000000000005</v>
      </c>
      <c r="X236" s="1">
        <f t="shared" si="37"/>
        <v>2.6689000000000003</v>
      </c>
      <c r="Z236" s="1">
        <f t="shared" si="38"/>
        <v>0</v>
      </c>
      <c r="AA236" s="1">
        <f t="shared" si="39"/>
        <v>0</v>
      </c>
      <c r="AB236" s="1">
        <f t="shared" si="40"/>
        <v>1</v>
      </c>
      <c r="AC236" s="1">
        <f t="shared" si="41"/>
        <v>1</v>
      </c>
      <c r="AD236" s="1">
        <f t="shared" si="42"/>
        <v>0</v>
      </c>
      <c r="AE236" s="1">
        <f t="shared" si="43"/>
        <v>0</v>
      </c>
      <c r="AF236" s="1">
        <f t="shared" si="44"/>
        <v>0</v>
      </c>
      <c r="AG236" s="1">
        <f t="shared" si="45"/>
        <v>0</v>
      </c>
      <c r="AH236" s="1">
        <f t="shared" si="46"/>
        <v>0</v>
      </c>
      <c r="AI236" s="1">
        <f t="shared" si="47"/>
        <v>0</v>
      </c>
      <c r="AJ236" s="1">
        <f>SUMXMY2(Z236:AI236, Occurrence!B$3:K$3)</f>
        <v>3</v>
      </c>
      <c r="AK236" s="1">
        <f t="shared" si="48"/>
        <v>7</v>
      </c>
    </row>
    <row r="237" spans="1:37">
      <c r="A237" s="1">
        <v>236</v>
      </c>
      <c r="B237" s="1">
        <v>4252235</v>
      </c>
      <c r="C237" s="6">
        <v>809</v>
      </c>
      <c r="D237" s="1">
        <v>0.2</v>
      </c>
      <c r="E237" s="1">
        <v>0.26</v>
      </c>
      <c r="F237" s="1">
        <v>0.3</v>
      </c>
      <c r="G237" s="1">
        <v>0.81</v>
      </c>
      <c r="H237" s="1">
        <v>0.44</v>
      </c>
      <c r="I237" s="1">
        <v>0.82</v>
      </c>
      <c r="J237" s="1">
        <v>0.95</v>
      </c>
      <c r="K237" s="1">
        <v>0.96</v>
      </c>
      <c r="L237" s="1">
        <v>0.92</v>
      </c>
      <c r="M237" s="1">
        <v>0.85</v>
      </c>
      <c r="N237" s="1">
        <f>(Occurrence!B$3-D237)^2</f>
        <v>4.0000000000000008E-2</v>
      </c>
      <c r="O237" s="1">
        <f>(Occurrence!C$3-E237)^2</f>
        <v>6.7600000000000007E-2</v>
      </c>
      <c r="P237" s="1">
        <f>(Occurrence!D$3-F237)^2</f>
        <v>0.48999999999999994</v>
      </c>
      <c r="Q237" s="1">
        <f>(Occurrence!E$3-G237)^2</f>
        <v>3.6099999999999979E-2</v>
      </c>
      <c r="R237" s="1">
        <f>(Occurrence!F$3-H237)^2</f>
        <v>0.19359999999999999</v>
      </c>
      <c r="S237" s="1">
        <f>(Occurrence!G$3-I237)^2</f>
        <v>0.67239999999999989</v>
      </c>
      <c r="T237" s="1">
        <f>(Occurrence!H$3-J237)^2</f>
        <v>2.5000000000000044E-3</v>
      </c>
      <c r="U237" s="1">
        <f>(Occurrence!I$3-K237)^2</f>
        <v>1.6000000000000029E-3</v>
      </c>
      <c r="V237" s="1">
        <f>(Occurrence!J$3-L237)^2</f>
        <v>0.84640000000000004</v>
      </c>
      <c r="W237" s="1">
        <f>(Occurrence!K$3-M237)^2</f>
        <v>2.2500000000000006E-2</v>
      </c>
      <c r="X237" s="1">
        <f t="shared" si="37"/>
        <v>2.3727</v>
      </c>
      <c r="Z237" s="1">
        <f t="shared" si="38"/>
        <v>0</v>
      </c>
      <c r="AA237" s="1">
        <f t="shared" si="39"/>
        <v>0</v>
      </c>
      <c r="AB237" s="1">
        <f t="shared" si="40"/>
        <v>0</v>
      </c>
      <c r="AC237" s="1">
        <f t="shared" si="41"/>
        <v>1</v>
      </c>
      <c r="AD237" s="1">
        <f t="shared" si="42"/>
        <v>0</v>
      </c>
      <c r="AE237" s="1">
        <f t="shared" si="43"/>
        <v>1</v>
      </c>
      <c r="AF237" s="1">
        <f t="shared" si="44"/>
        <v>1</v>
      </c>
      <c r="AG237" s="1">
        <f t="shared" si="45"/>
        <v>1</v>
      </c>
      <c r="AH237" s="1">
        <f t="shared" si="46"/>
        <v>1</v>
      </c>
      <c r="AI237" s="1">
        <f t="shared" si="47"/>
        <v>1</v>
      </c>
      <c r="AJ237" s="1">
        <f>SUMXMY2(Z237:AI237, Occurrence!B$3:K$3)</f>
        <v>3</v>
      </c>
      <c r="AK237" s="1">
        <f t="shared" si="48"/>
        <v>7</v>
      </c>
    </row>
    <row r="238" spans="1:37">
      <c r="A238" s="1">
        <v>237</v>
      </c>
      <c r="B238" s="1">
        <v>4252236</v>
      </c>
      <c r="C238" s="6">
        <v>809</v>
      </c>
      <c r="D238" s="1">
        <v>0.4</v>
      </c>
      <c r="E238" s="1">
        <v>0.7</v>
      </c>
      <c r="F238" s="1">
        <v>0.35</v>
      </c>
      <c r="G238" s="1">
        <v>0.8</v>
      </c>
      <c r="H238" s="1">
        <v>0.25</v>
      </c>
      <c r="I238" s="1">
        <v>0.3</v>
      </c>
      <c r="J238" s="1">
        <v>0.7</v>
      </c>
      <c r="K238" s="1">
        <v>0.4</v>
      </c>
      <c r="L238" s="1">
        <v>0.56000000000000005</v>
      </c>
      <c r="M238" s="1">
        <v>0.3</v>
      </c>
      <c r="N238" s="1">
        <f>(Occurrence!B$3-D238)^2</f>
        <v>0.16000000000000003</v>
      </c>
      <c r="O238" s="1">
        <f>(Occurrence!C$3-E238)^2</f>
        <v>0.48999999999999994</v>
      </c>
      <c r="P238" s="1">
        <f>(Occurrence!D$3-F238)^2</f>
        <v>0.42250000000000004</v>
      </c>
      <c r="Q238" s="1">
        <f>(Occurrence!E$3-G238)^2</f>
        <v>3.999999999999998E-2</v>
      </c>
      <c r="R238" s="1">
        <f>(Occurrence!F$3-H238)^2</f>
        <v>6.25E-2</v>
      </c>
      <c r="S238" s="1">
        <f>(Occurrence!G$3-I238)^2</f>
        <v>0.09</v>
      </c>
      <c r="T238" s="1">
        <f>(Occurrence!H$3-J238)^2</f>
        <v>9.0000000000000024E-2</v>
      </c>
      <c r="U238" s="1">
        <f>(Occurrence!I$3-K238)^2</f>
        <v>0.36</v>
      </c>
      <c r="V238" s="1">
        <f>(Occurrence!J$3-L238)^2</f>
        <v>0.31360000000000005</v>
      </c>
      <c r="W238" s="1">
        <f>(Occurrence!K$3-M238)^2</f>
        <v>0.48999999999999994</v>
      </c>
      <c r="X238" s="1">
        <f t="shared" si="37"/>
        <v>2.5186000000000002</v>
      </c>
      <c r="Z238" s="1">
        <f t="shared" si="38"/>
        <v>0</v>
      </c>
      <c r="AA238" s="1">
        <f t="shared" si="39"/>
        <v>1</v>
      </c>
      <c r="AB238" s="1">
        <f t="shared" si="40"/>
        <v>0</v>
      </c>
      <c r="AC238" s="1">
        <f t="shared" si="41"/>
        <v>1</v>
      </c>
      <c r="AD238" s="1">
        <f t="shared" si="42"/>
        <v>0</v>
      </c>
      <c r="AE238" s="1">
        <f t="shared" si="43"/>
        <v>0</v>
      </c>
      <c r="AF238" s="1">
        <f t="shared" si="44"/>
        <v>1</v>
      </c>
      <c r="AG238" s="1">
        <f t="shared" si="45"/>
        <v>0</v>
      </c>
      <c r="AH238" s="1">
        <f t="shared" si="46"/>
        <v>1</v>
      </c>
      <c r="AI238" s="1">
        <f t="shared" si="47"/>
        <v>0</v>
      </c>
      <c r="AJ238" s="1">
        <f>SUMXMY2(Z238:AI238, Occurrence!B$3:K$3)</f>
        <v>5</v>
      </c>
      <c r="AK238" s="1">
        <f t="shared" si="48"/>
        <v>5</v>
      </c>
    </row>
    <row r="239" spans="1:37">
      <c r="A239" s="1">
        <v>238</v>
      </c>
      <c r="B239" s="1">
        <v>4252237</v>
      </c>
      <c r="C239" s="6">
        <v>809</v>
      </c>
      <c r="D239" s="1">
        <v>0.25</v>
      </c>
      <c r="E239" s="1">
        <v>0.2</v>
      </c>
      <c r="F239" s="1">
        <v>0.25</v>
      </c>
      <c r="G239" s="1">
        <v>0.8</v>
      </c>
      <c r="H239" s="1">
        <v>0.5</v>
      </c>
      <c r="I239" s="1">
        <v>0.2</v>
      </c>
      <c r="J239" s="1">
        <v>0.35</v>
      </c>
      <c r="K239" s="1">
        <v>0.9</v>
      </c>
      <c r="L239" s="1">
        <v>0.49</v>
      </c>
      <c r="M239" s="1">
        <v>0.51</v>
      </c>
      <c r="N239" s="1">
        <f>(Occurrence!B$3-D239)^2</f>
        <v>6.25E-2</v>
      </c>
      <c r="O239" s="1">
        <f>(Occurrence!C$3-E239)^2</f>
        <v>4.0000000000000008E-2</v>
      </c>
      <c r="P239" s="1">
        <f>(Occurrence!D$3-F239)^2</f>
        <v>0.5625</v>
      </c>
      <c r="Q239" s="1">
        <f>(Occurrence!E$3-G239)^2</f>
        <v>3.999999999999998E-2</v>
      </c>
      <c r="R239" s="1">
        <f>(Occurrence!F$3-H239)^2</f>
        <v>0.25</v>
      </c>
      <c r="S239" s="1">
        <f>(Occurrence!G$3-I239)^2</f>
        <v>4.0000000000000008E-2</v>
      </c>
      <c r="T239" s="1">
        <f>(Occurrence!H$3-J239)^2</f>
        <v>0.42250000000000004</v>
      </c>
      <c r="U239" s="1">
        <f>(Occurrence!I$3-K239)^2</f>
        <v>9.999999999999995E-3</v>
      </c>
      <c r="V239" s="1">
        <f>(Occurrence!J$3-L239)^2</f>
        <v>0.24009999999999998</v>
      </c>
      <c r="W239" s="1">
        <f>(Occurrence!K$3-M239)^2</f>
        <v>0.24009999999999998</v>
      </c>
      <c r="X239" s="1">
        <f t="shared" si="37"/>
        <v>1.9077000000000002</v>
      </c>
      <c r="Z239" s="1">
        <f t="shared" si="38"/>
        <v>0</v>
      </c>
      <c r="AA239" s="1">
        <f t="shared" si="39"/>
        <v>0</v>
      </c>
      <c r="AB239" s="1">
        <f t="shared" si="40"/>
        <v>0</v>
      </c>
      <c r="AC239" s="1">
        <f t="shared" si="41"/>
        <v>1</v>
      </c>
      <c r="AD239" s="1">
        <f t="shared" si="42"/>
        <v>1</v>
      </c>
      <c r="AE239" s="1">
        <f t="shared" si="43"/>
        <v>0</v>
      </c>
      <c r="AF239" s="1">
        <f t="shared" si="44"/>
        <v>0</v>
      </c>
      <c r="AG239" s="1">
        <f t="shared" si="45"/>
        <v>1</v>
      </c>
      <c r="AH239" s="1">
        <f t="shared" si="46"/>
        <v>0</v>
      </c>
      <c r="AI239" s="1">
        <f t="shared" si="47"/>
        <v>1</v>
      </c>
      <c r="AJ239" s="1">
        <f>SUMXMY2(Z239:AI239, Occurrence!B$3:K$3)</f>
        <v>3</v>
      </c>
      <c r="AK239" s="1">
        <f t="shared" si="48"/>
        <v>7</v>
      </c>
    </row>
    <row r="240" spans="1:37">
      <c r="A240" s="1">
        <v>239</v>
      </c>
      <c r="B240" s="1">
        <v>4252238</v>
      </c>
      <c r="C240" s="6">
        <v>809</v>
      </c>
      <c r="D240" s="1">
        <v>0.15</v>
      </c>
      <c r="E240" s="1">
        <v>0.17</v>
      </c>
      <c r="F240" s="1">
        <v>0.65</v>
      </c>
      <c r="G240" s="1">
        <v>0.8</v>
      </c>
      <c r="H240" s="1">
        <v>0.2</v>
      </c>
      <c r="I240" s="1">
        <v>0.17</v>
      </c>
      <c r="J240" s="1">
        <v>0.1</v>
      </c>
      <c r="K240" s="1">
        <v>0.4</v>
      </c>
      <c r="L240" s="1">
        <v>0.3</v>
      </c>
      <c r="M240" s="1">
        <v>0.2</v>
      </c>
      <c r="N240" s="1">
        <f>(Occurrence!B$3-D240)^2</f>
        <v>2.2499999999999999E-2</v>
      </c>
      <c r="O240" s="1">
        <f>(Occurrence!C$3-E240)^2</f>
        <v>2.8900000000000006E-2</v>
      </c>
      <c r="P240" s="1">
        <f>(Occurrence!D$3-F240)^2</f>
        <v>0.12249999999999998</v>
      </c>
      <c r="Q240" s="1">
        <f>(Occurrence!E$3-G240)^2</f>
        <v>3.999999999999998E-2</v>
      </c>
      <c r="R240" s="1">
        <f>(Occurrence!F$3-H240)^2</f>
        <v>4.0000000000000008E-2</v>
      </c>
      <c r="S240" s="1">
        <f>(Occurrence!G$3-I240)^2</f>
        <v>2.8900000000000006E-2</v>
      </c>
      <c r="T240" s="1">
        <f>(Occurrence!H$3-J240)^2</f>
        <v>0.81</v>
      </c>
      <c r="U240" s="1">
        <f>(Occurrence!I$3-K240)^2</f>
        <v>0.36</v>
      </c>
      <c r="V240" s="1">
        <f>(Occurrence!J$3-L240)^2</f>
        <v>0.09</v>
      </c>
      <c r="W240" s="1">
        <f>(Occurrence!K$3-M240)^2</f>
        <v>0.64000000000000012</v>
      </c>
      <c r="X240" s="1">
        <f t="shared" si="37"/>
        <v>2.1828000000000003</v>
      </c>
      <c r="Z240" s="1">
        <f t="shared" si="38"/>
        <v>0</v>
      </c>
      <c r="AA240" s="1">
        <f t="shared" si="39"/>
        <v>0</v>
      </c>
      <c r="AB240" s="1">
        <f t="shared" si="40"/>
        <v>1</v>
      </c>
      <c r="AC240" s="1">
        <f t="shared" si="41"/>
        <v>1</v>
      </c>
      <c r="AD240" s="1">
        <f t="shared" si="42"/>
        <v>0</v>
      </c>
      <c r="AE240" s="1">
        <f t="shared" si="43"/>
        <v>0</v>
      </c>
      <c r="AF240" s="1">
        <f t="shared" si="44"/>
        <v>0</v>
      </c>
      <c r="AG240" s="1">
        <f t="shared" si="45"/>
        <v>0</v>
      </c>
      <c r="AH240" s="1">
        <f t="shared" si="46"/>
        <v>0</v>
      </c>
      <c r="AI240" s="1">
        <f t="shared" si="47"/>
        <v>0</v>
      </c>
      <c r="AJ240" s="1">
        <f>SUMXMY2(Z240:AI240, Occurrence!B$3:K$3)</f>
        <v>3</v>
      </c>
      <c r="AK240" s="1">
        <f t="shared" si="48"/>
        <v>7</v>
      </c>
    </row>
    <row r="241" spans="1:37">
      <c r="A241" s="1">
        <v>240</v>
      </c>
      <c r="B241" s="1">
        <v>4252239</v>
      </c>
      <c r="C241" s="6">
        <v>809</v>
      </c>
      <c r="D241" s="1">
        <v>0.3</v>
      </c>
      <c r="E241" s="1">
        <v>0.4</v>
      </c>
      <c r="F241" s="1">
        <v>0.2</v>
      </c>
      <c r="G241" s="1">
        <v>0.53</v>
      </c>
      <c r="H241" s="1">
        <v>0.5</v>
      </c>
      <c r="I241" s="1">
        <v>0.01</v>
      </c>
      <c r="J241" s="1">
        <v>0.3</v>
      </c>
      <c r="K241" s="1">
        <v>0.2</v>
      </c>
      <c r="L241" s="1">
        <v>0.2</v>
      </c>
      <c r="M241" s="1">
        <v>0.8</v>
      </c>
      <c r="N241" s="1">
        <f>(Occurrence!B$3-D241)^2</f>
        <v>0.09</v>
      </c>
      <c r="O241" s="1">
        <f>(Occurrence!C$3-E241)^2</f>
        <v>0.16000000000000003</v>
      </c>
      <c r="P241" s="1">
        <f>(Occurrence!D$3-F241)^2</f>
        <v>0.64000000000000012</v>
      </c>
      <c r="Q241" s="1">
        <f>(Occurrence!E$3-G241)^2</f>
        <v>0.22089999999999999</v>
      </c>
      <c r="R241" s="1">
        <f>(Occurrence!F$3-H241)^2</f>
        <v>0.25</v>
      </c>
      <c r="S241" s="1">
        <f>(Occurrence!G$3-I241)^2</f>
        <v>1E-4</v>
      </c>
      <c r="T241" s="1">
        <f>(Occurrence!H$3-J241)^2</f>
        <v>0.48999999999999994</v>
      </c>
      <c r="U241" s="1">
        <f>(Occurrence!I$3-K241)^2</f>
        <v>0.64000000000000012</v>
      </c>
      <c r="V241" s="1">
        <f>(Occurrence!J$3-L241)^2</f>
        <v>4.0000000000000008E-2</v>
      </c>
      <c r="W241" s="1">
        <f>(Occurrence!K$3-M241)^2</f>
        <v>3.999999999999998E-2</v>
      </c>
      <c r="X241" s="1">
        <f t="shared" si="37"/>
        <v>2.5710000000000002</v>
      </c>
      <c r="Z241" s="1">
        <f t="shared" si="38"/>
        <v>0</v>
      </c>
      <c r="AA241" s="1">
        <f t="shared" si="39"/>
        <v>0</v>
      </c>
      <c r="AB241" s="1">
        <f t="shared" si="40"/>
        <v>0</v>
      </c>
      <c r="AC241" s="1">
        <f t="shared" si="41"/>
        <v>1</v>
      </c>
      <c r="AD241" s="1">
        <f t="shared" si="42"/>
        <v>1</v>
      </c>
      <c r="AE241" s="1">
        <f t="shared" si="43"/>
        <v>0</v>
      </c>
      <c r="AF241" s="1">
        <f t="shared" si="44"/>
        <v>0</v>
      </c>
      <c r="AG241" s="1">
        <f t="shared" si="45"/>
        <v>0</v>
      </c>
      <c r="AH241" s="1">
        <f t="shared" si="46"/>
        <v>0</v>
      </c>
      <c r="AI241" s="1">
        <f t="shared" si="47"/>
        <v>1</v>
      </c>
      <c r="AJ241" s="1">
        <f>SUMXMY2(Z241:AI241, Occurrence!B$3:K$3)</f>
        <v>4</v>
      </c>
      <c r="AK241" s="1">
        <f t="shared" si="48"/>
        <v>6</v>
      </c>
    </row>
    <row r="242" spans="1:37">
      <c r="A242" s="1">
        <v>241</v>
      </c>
      <c r="B242" s="1">
        <v>4252240</v>
      </c>
      <c r="C242" s="6">
        <v>809</v>
      </c>
      <c r="D242" s="1">
        <v>0.15</v>
      </c>
      <c r="E242" s="1">
        <v>0.4</v>
      </c>
      <c r="F242" s="1">
        <v>0.15</v>
      </c>
      <c r="G242" s="1">
        <v>0.4</v>
      </c>
      <c r="H242" s="1">
        <v>0.1</v>
      </c>
      <c r="I242" s="1">
        <v>0.1</v>
      </c>
      <c r="J242" s="1">
        <v>0.35</v>
      </c>
      <c r="K242" s="1">
        <v>0.7</v>
      </c>
      <c r="L242" s="1">
        <v>0.8</v>
      </c>
      <c r="M242" s="1">
        <v>0.245</v>
      </c>
      <c r="N242" s="1">
        <f>(Occurrence!B$3-D242)^2</f>
        <v>2.2499999999999999E-2</v>
      </c>
      <c r="O242" s="1">
        <f>(Occurrence!C$3-E242)^2</f>
        <v>0.16000000000000003</v>
      </c>
      <c r="P242" s="1">
        <f>(Occurrence!D$3-F242)^2</f>
        <v>0.72249999999999992</v>
      </c>
      <c r="Q242" s="1">
        <f>(Occurrence!E$3-G242)^2</f>
        <v>0.36</v>
      </c>
      <c r="R242" s="1">
        <f>(Occurrence!F$3-H242)^2</f>
        <v>1.0000000000000002E-2</v>
      </c>
      <c r="S242" s="1">
        <f>(Occurrence!G$3-I242)^2</f>
        <v>1.0000000000000002E-2</v>
      </c>
      <c r="T242" s="1">
        <f>(Occurrence!H$3-J242)^2</f>
        <v>0.42250000000000004</v>
      </c>
      <c r="U242" s="1">
        <f>(Occurrence!I$3-K242)^2</f>
        <v>9.0000000000000024E-2</v>
      </c>
      <c r="V242" s="1">
        <f>(Occurrence!J$3-L242)^2</f>
        <v>0.64000000000000012</v>
      </c>
      <c r="W242" s="1">
        <f>(Occurrence!K$3-M242)^2</f>
        <v>0.570025</v>
      </c>
      <c r="X242" s="1">
        <f t="shared" si="37"/>
        <v>3.0075250000000002</v>
      </c>
      <c r="Z242" s="1">
        <f t="shared" si="38"/>
        <v>0</v>
      </c>
      <c r="AA242" s="1">
        <f t="shared" si="39"/>
        <v>0</v>
      </c>
      <c r="AB242" s="1">
        <f t="shared" si="40"/>
        <v>0</v>
      </c>
      <c r="AC242" s="1">
        <f t="shared" si="41"/>
        <v>0</v>
      </c>
      <c r="AD242" s="1">
        <f t="shared" si="42"/>
        <v>0</v>
      </c>
      <c r="AE242" s="1">
        <f t="shared" si="43"/>
        <v>0</v>
      </c>
      <c r="AF242" s="1">
        <f t="shared" si="44"/>
        <v>0</v>
      </c>
      <c r="AG242" s="1">
        <f t="shared" si="45"/>
        <v>1</v>
      </c>
      <c r="AH242" s="1">
        <f t="shared" si="46"/>
        <v>1</v>
      </c>
      <c r="AI242" s="1">
        <f t="shared" si="47"/>
        <v>0</v>
      </c>
      <c r="AJ242" s="1">
        <f>SUMXMY2(Z242:AI242, Occurrence!B$3:K$3)</f>
        <v>5</v>
      </c>
      <c r="AK242" s="1">
        <f t="shared" si="48"/>
        <v>5</v>
      </c>
    </row>
    <row r="243" spans="1:37">
      <c r="A243" s="1">
        <v>242</v>
      </c>
      <c r="B243" s="1">
        <v>4252241</v>
      </c>
      <c r="C243" s="6">
        <v>809</v>
      </c>
      <c r="D243" s="1">
        <v>0.49989499999999998</v>
      </c>
      <c r="E243" s="1">
        <v>0.60276600000000002</v>
      </c>
      <c r="F243" s="1">
        <v>0.50010469999999996</v>
      </c>
      <c r="G243" s="1">
        <v>0.39723444400000002</v>
      </c>
      <c r="H243" s="1">
        <v>2.9999999999999999E-7</v>
      </c>
      <c r="I243" s="1">
        <v>0.17</v>
      </c>
      <c r="J243" s="1">
        <v>0.34</v>
      </c>
      <c r="K243" s="1">
        <v>0.75</v>
      </c>
      <c r="L243" s="1">
        <v>0.34410000000000002</v>
      </c>
      <c r="M243" s="1">
        <v>0.25</v>
      </c>
      <c r="N243" s="1">
        <f>(Occurrence!B$3-D243)^2</f>
        <v>0.24989501102499997</v>
      </c>
      <c r="O243" s="1">
        <f>(Occurrence!C$3-E243)^2</f>
        <v>0.36332685075600002</v>
      </c>
      <c r="P243" s="1">
        <f>(Occurrence!D$3-F243)^2</f>
        <v>0.24989531096209006</v>
      </c>
      <c r="Q243" s="1">
        <f>(Occurrence!E$3-G243)^2</f>
        <v>0.36332631549998917</v>
      </c>
      <c r="R243" s="1">
        <f>(Occurrence!F$3-H243)^2</f>
        <v>8.9999999999999995E-14</v>
      </c>
      <c r="S243" s="1">
        <f>(Occurrence!G$3-I243)^2</f>
        <v>2.8900000000000006E-2</v>
      </c>
      <c r="T243" s="1">
        <f>(Occurrence!H$3-J243)^2</f>
        <v>0.43559999999999988</v>
      </c>
      <c r="U243" s="1">
        <f>(Occurrence!I$3-K243)^2</f>
        <v>6.25E-2</v>
      </c>
      <c r="V243" s="1">
        <f>(Occurrence!J$3-L243)^2</f>
        <v>0.11840481000000001</v>
      </c>
      <c r="W243" s="1">
        <f>(Occurrence!K$3-M243)^2</f>
        <v>0.5625</v>
      </c>
      <c r="X243" s="1">
        <f t="shared" si="37"/>
        <v>2.4343482982431688</v>
      </c>
      <c r="Z243" s="1">
        <f t="shared" si="38"/>
        <v>0</v>
      </c>
      <c r="AA243" s="1">
        <f t="shared" si="39"/>
        <v>1</v>
      </c>
      <c r="AB243" s="1">
        <f t="shared" si="40"/>
        <v>1</v>
      </c>
      <c r="AC243" s="1">
        <f t="shared" si="41"/>
        <v>0</v>
      </c>
      <c r="AD243" s="1">
        <f t="shared" si="42"/>
        <v>0</v>
      </c>
      <c r="AE243" s="1">
        <f t="shared" si="43"/>
        <v>0</v>
      </c>
      <c r="AF243" s="1">
        <f t="shared" si="44"/>
        <v>0</v>
      </c>
      <c r="AG243" s="1">
        <f t="shared" si="45"/>
        <v>1</v>
      </c>
      <c r="AH243" s="1">
        <f t="shared" si="46"/>
        <v>0</v>
      </c>
      <c r="AI243" s="1">
        <f t="shared" si="47"/>
        <v>0</v>
      </c>
      <c r="AJ243" s="1">
        <f>SUMXMY2(Z243:AI243, Occurrence!B$3:K$3)</f>
        <v>4</v>
      </c>
      <c r="AK243" s="1">
        <f t="shared" si="48"/>
        <v>6</v>
      </c>
    </row>
    <row r="244" spans="1:37">
      <c r="A244" s="1">
        <v>243</v>
      </c>
      <c r="B244" s="1">
        <v>4252242</v>
      </c>
      <c r="C244" s="6">
        <v>809</v>
      </c>
      <c r="D244" s="1">
        <v>0.15079999999999999</v>
      </c>
      <c r="E244" s="1">
        <v>0.17860000000000001</v>
      </c>
      <c r="F244" s="1">
        <v>0.64680000000000004</v>
      </c>
      <c r="G244" s="1">
        <v>0.78169999999999995</v>
      </c>
      <c r="H244" s="1">
        <v>0.2024</v>
      </c>
      <c r="I244" s="1">
        <v>0.5</v>
      </c>
      <c r="J244" s="1">
        <v>0.2</v>
      </c>
      <c r="K244" s="1">
        <v>0.5</v>
      </c>
      <c r="L244" s="1">
        <v>0.6</v>
      </c>
      <c r="M244" s="1">
        <v>0.5</v>
      </c>
      <c r="N244" s="1">
        <f>(Occurrence!B$3-D244)^2</f>
        <v>2.2740639999999996E-2</v>
      </c>
      <c r="O244" s="1">
        <f>(Occurrence!C$3-E244)^2</f>
        <v>3.1897960000000003E-2</v>
      </c>
      <c r="P244" s="1">
        <f>(Occurrence!D$3-F244)^2</f>
        <v>0.12475023999999997</v>
      </c>
      <c r="Q244" s="1">
        <f>(Occurrence!E$3-G244)^2</f>
        <v>4.7654890000000019E-2</v>
      </c>
      <c r="R244" s="1">
        <f>(Occurrence!F$3-H244)^2</f>
        <v>4.0965759999999997E-2</v>
      </c>
      <c r="S244" s="1">
        <f>(Occurrence!G$3-I244)^2</f>
        <v>0.25</v>
      </c>
      <c r="T244" s="1">
        <f>(Occurrence!H$3-J244)^2</f>
        <v>0.64000000000000012</v>
      </c>
      <c r="U244" s="1">
        <f>(Occurrence!I$3-K244)^2</f>
        <v>0.25</v>
      </c>
      <c r="V244" s="1">
        <f>(Occurrence!J$3-L244)^2</f>
        <v>0.36</v>
      </c>
      <c r="W244" s="1">
        <f>(Occurrence!K$3-M244)^2</f>
        <v>0.25</v>
      </c>
      <c r="X244" s="1">
        <f t="shared" si="37"/>
        <v>2.0180094900000003</v>
      </c>
      <c r="Z244" s="1">
        <f t="shared" si="38"/>
        <v>0</v>
      </c>
      <c r="AA244" s="1">
        <f t="shared" si="39"/>
        <v>0</v>
      </c>
      <c r="AB244" s="1">
        <f t="shared" si="40"/>
        <v>1</v>
      </c>
      <c r="AC244" s="1">
        <f t="shared" si="41"/>
        <v>1</v>
      </c>
      <c r="AD244" s="1">
        <f t="shared" si="42"/>
        <v>0</v>
      </c>
      <c r="AE244" s="1">
        <f t="shared" si="43"/>
        <v>1</v>
      </c>
      <c r="AF244" s="1">
        <f t="shared" si="44"/>
        <v>0</v>
      </c>
      <c r="AG244" s="1">
        <f t="shared" si="45"/>
        <v>1</v>
      </c>
      <c r="AH244" s="1">
        <f t="shared" si="46"/>
        <v>1</v>
      </c>
      <c r="AI244" s="1">
        <f t="shared" si="47"/>
        <v>1</v>
      </c>
      <c r="AJ244" s="1">
        <f>SUMXMY2(Z244:AI244, Occurrence!B$3:K$3)</f>
        <v>3</v>
      </c>
      <c r="AK244" s="1">
        <f t="shared" si="48"/>
        <v>7</v>
      </c>
    </row>
    <row r="245" spans="1:37">
      <c r="A245" s="1">
        <v>244</v>
      </c>
      <c r="B245" s="1">
        <v>4252243</v>
      </c>
      <c r="C245" s="6">
        <v>810</v>
      </c>
      <c r="D245" s="1">
        <v>0.1</v>
      </c>
      <c r="E245" s="1">
        <v>0.2</v>
      </c>
      <c r="F245" s="1">
        <v>0.9</v>
      </c>
      <c r="G245" s="1">
        <v>0.8</v>
      </c>
      <c r="H245" s="1">
        <v>0.3</v>
      </c>
      <c r="I245" s="1">
        <v>0.8</v>
      </c>
      <c r="J245" s="1">
        <v>0.5</v>
      </c>
      <c r="K245" s="1">
        <v>0.69</v>
      </c>
      <c r="L245" s="1">
        <v>0.4</v>
      </c>
      <c r="M245" s="1">
        <v>0.7</v>
      </c>
      <c r="N245" s="1">
        <f>(Occurrence!B$3-D245)^2</f>
        <v>1.0000000000000002E-2</v>
      </c>
      <c r="O245" s="1">
        <f>(Occurrence!C$3-E245)^2</f>
        <v>4.0000000000000008E-2</v>
      </c>
      <c r="P245" s="1">
        <f>(Occurrence!D$3-F245)^2</f>
        <v>9.999999999999995E-3</v>
      </c>
      <c r="Q245" s="1">
        <f>(Occurrence!E$3-G245)^2</f>
        <v>3.999999999999998E-2</v>
      </c>
      <c r="R245" s="1">
        <f>(Occurrence!F$3-H245)^2</f>
        <v>0.09</v>
      </c>
      <c r="S245" s="1">
        <f>(Occurrence!G$3-I245)^2</f>
        <v>0.64000000000000012</v>
      </c>
      <c r="T245" s="1">
        <f>(Occurrence!H$3-J245)^2</f>
        <v>0.25</v>
      </c>
      <c r="U245" s="1">
        <f>(Occurrence!I$3-K245)^2</f>
        <v>9.6100000000000033E-2</v>
      </c>
      <c r="V245" s="1">
        <f>(Occurrence!J$3-L245)^2</f>
        <v>0.16000000000000003</v>
      </c>
      <c r="W245" s="1">
        <f>(Occurrence!K$3-M245)^2</f>
        <v>9.0000000000000024E-2</v>
      </c>
      <c r="X245" s="1">
        <f t="shared" si="37"/>
        <v>1.4261000000000001</v>
      </c>
      <c r="Z245" s="1">
        <f t="shared" si="38"/>
        <v>0</v>
      </c>
      <c r="AA245" s="1">
        <f t="shared" si="39"/>
        <v>0</v>
      </c>
      <c r="AB245" s="1">
        <f t="shared" si="40"/>
        <v>1</v>
      </c>
      <c r="AC245" s="1">
        <f t="shared" si="41"/>
        <v>1</v>
      </c>
      <c r="AD245" s="1">
        <f t="shared" si="42"/>
        <v>0</v>
      </c>
      <c r="AE245" s="1">
        <f t="shared" si="43"/>
        <v>1</v>
      </c>
      <c r="AF245" s="1">
        <f t="shared" si="44"/>
        <v>1</v>
      </c>
      <c r="AG245" s="1">
        <f t="shared" si="45"/>
        <v>1</v>
      </c>
      <c r="AH245" s="1">
        <f t="shared" si="46"/>
        <v>0</v>
      </c>
      <c r="AI245" s="1">
        <f t="shared" si="47"/>
        <v>1</v>
      </c>
      <c r="AJ245" s="1">
        <f>SUMXMY2(Z245:AI245, Occurrence!B$3:K$3)</f>
        <v>1</v>
      </c>
      <c r="AK245" s="1">
        <f t="shared" si="48"/>
        <v>9</v>
      </c>
    </row>
    <row r="246" spans="1:37">
      <c r="A246" s="1">
        <v>245</v>
      </c>
      <c r="B246" s="1">
        <v>4252244</v>
      </c>
      <c r="C246" s="6">
        <v>810</v>
      </c>
      <c r="D246" s="1">
        <v>0.05</v>
      </c>
      <c r="E246" s="1">
        <v>0.04</v>
      </c>
      <c r="F246" s="1">
        <v>0.9</v>
      </c>
      <c r="G246" s="1">
        <v>0.95</v>
      </c>
      <c r="H246" s="1">
        <v>0.04</v>
      </c>
      <c r="I246" s="1">
        <v>0.35</v>
      </c>
      <c r="J246" s="1">
        <v>0.7</v>
      </c>
      <c r="K246" s="1">
        <v>0.44</v>
      </c>
      <c r="L246" s="1">
        <v>0.7</v>
      </c>
      <c r="M246" s="1">
        <v>0.2</v>
      </c>
      <c r="N246" s="1">
        <f>(Occurrence!B$3-D246)^2</f>
        <v>2.5000000000000005E-3</v>
      </c>
      <c r="O246" s="1">
        <f>(Occurrence!C$3-E246)^2</f>
        <v>1.6000000000000001E-3</v>
      </c>
      <c r="P246" s="1">
        <f>(Occurrence!D$3-F246)^2</f>
        <v>9.999999999999995E-3</v>
      </c>
      <c r="Q246" s="1">
        <f>(Occurrence!E$3-G246)^2</f>
        <v>2.5000000000000044E-3</v>
      </c>
      <c r="R246" s="1">
        <f>(Occurrence!F$3-H246)^2</f>
        <v>1.6000000000000001E-3</v>
      </c>
      <c r="S246" s="1">
        <f>(Occurrence!G$3-I246)^2</f>
        <v>0.12249999999999998</v>
      </c>
      <c r="T246" s="1">
        <f>(Occurrence!H$3-J246)^2</f>
        <v>9.0000000000000024E-2</v>
      </c>
      <c r="U246" s="1">
        <f>(Occurrence!I$3-K246)^2</f>
        <v>0.31360000000000005</v>
      </c>
      <c r="V246" s="1">
        <f>(Occurrence!J$3-L246)^2</f>
        <v>0.48999999999999994</v>
      </c>
      <c r="W246" s="1">
        <f>(Occurrence!K$3-M246)^2</f>
        <v>0.64000000000000012</v>
      </c>
      <c r="X246" s="1">
        <f t="shared" si="37"/>
        <v>1.6743000000000001</v>
      </c>
      <c r="Z246" s="1">
        <f t="shared" si="38"/>
        <v>0</v>
      </c>
      <c r="AA246" s="1">
        <f t="shared" si="39"/>
        <v>0</v>
      </c>
      <c r="AB246" s="1">
        <f t="shared" si="40"/>
        <v>1</v>
      </c>
      <c r="AC246" s="1">
        <f t="shared" si="41"/>
        <v>1</v>
      </c>
      <c r="AD246" s="1">
        <f t="shared" si="42"/>
        <v>0</v>
      </c>
      <c r="AE246" s="1">
        <f t="shared" si="43"/>
        <v>0</v>
      </c>
      <c r="AF246" s="1">
        <f t="shared" si="44"/>
        <v>1</v>
      </c>
      <c r="AG246" s="1">
        <f t="shared" si="45"/>
        <v>0</v>
      </c>
      <c r="AH246" s="1">
        <f t="shared" si="46"/>
        <v>1</v>
      </c>
      <c r="AI246" s="1">
        <f t="shared" si="47"/>
        <v>0</v>
      </c>
      <c r="AJ246" s="1">
        <f>SUMXMY2(Z246:AI246, Occurrence!B$3:K$3)</f>
        <v>3</v>
      </c>
      <c r="AK246" s="1">
        <f t="shared" si="48"/>
        <v>7</v>
      </c>
    </row>
    <row r="247" spans="1:37">
      <c r="A247" s="1">
        <v>246</v>
      </c>
      <c r="B247" s="1">
        <v>4252245</v>
      </c>
      <c r="C247" s="6">
        <v>810</v>
      </c>
      <c r="D247" s="1">
        <v>0.1</v>
      </c>
      <c r="E247" s="1">
        <v>0.1</v>
      </c>
      <c r="F247" s="1">
        <v>0.1</v>
      </c>
      <c r="G247" s="1">
        <v>0.1</v>
      </c>
      <c r="H247" s="1">
        <v>0.1</v>
      </c>
      <c r="I247" s="1">
        <v>0.1</v>
      </c>
      <c r="J247" s="1">
        <v>0.2</v>
      </c>
      <c r="K247" s="1">
        <v>0.2</v>
      </c>
      <c r="L247" s="1">
        <v>0.2</v>
      </c>
      <c r="M247" s="1">
        <v>0.2</v>
      </c>
      <c r="N247" s="1">
        <f>(Occurrence!B$3-D247)^2</f>
        <v>1.0000000000000002E-2</v>
      </c>
      <c r="O247" s="1">
        <f>(Occurrence!C$3-E247)^2</f>
        <v>1.0000000000000002E-2</v>
      </c>
      <c r="P247" s="1">
        <f>(Occurrence!D$3-F247)^2</f>
        <v>0.81</v>
      </c>
      <c r="Q247" s="1">
        <f>(Occurrence!E$3-G247)^2</f>
        <v>0.81</v>
      </c>
      <c r="R247" s="1">
        <f>(Occurrence!F$3-H247)^2</f>
        <v>1.0000000000000002E-2</v>
      </c>
      <c r="S247" s="1">
        <f>(Occurrence!G$3-I247)^2</f>
        <v>1.0000000000000002E-2</v>
      </c>
      <c r="T247" s="1">
        <f>(Occurrence!H$3-J247)^2</f>
        <v>0.64000000000000012</v>
      </c>
      <c r="U247" s="1">
        <f>(Occurrence!I$3-K247)^2</f>
        <v>0.64000000000000012</v>
      </c>
      <c r="V247" s="1">
        <f>(Occurrence!J$3-L247)^2</f>
        <v>4.0000000000000008E-2</v>
      </c>
      <c r="W247" s="1">
        <f>(Occurrence!K$3-M247)^2</f>
        <v>0.64000000000000012</v>
      </c>
      <c r="X247" s="1">
        <f t="shared" si="37"/>
        <v>3.6200000000000006</v>
      </c>
      <c r="Z247" s="1">
        <f t="shared" si="38"/>
        <v>0</v>
      </c>
      <c r="AA247" s="1">
        <f t="shared" si="39"/>
        <v>0</v>
      </c>
      <c r="AB247" s="1">
        <f t="shared" si="40"/>
        <v>0</v>
      </c>
      <c r="AC247" s="1">
        <f t="shared" si="41"/>
        <v>0</v>
      </c>
      <c r="AD247" s="1">
        <f t="shared" si="42"/>
        <v>0</v>
      </c>
      <c r="AE247" s="1">
        <f t="shared" si="43"/>
        <v>0</v>
      </c>
      <c r="AF247" s="1">
        <f t="shared" si="44"/>
        <v>0</v>
      </c>
      <c r="AG247" s="1">
        <f t="shared" si="45"/>
        <v>0</v>
      </c>
      <c r="AH247" s="1">
        <f t="shared" si="46"/>
        <v>0</v>
      </c>
      <c r="AI247" s="1">
        <f t="shared" si="47"/>
        <v>0</v>
      </c>
      <c r="AJ247" s="1">
        <f>SUMXMY2(Z247:AI247, Occurrence!B$3:K$3)</f>
        <v>5</v>
      </c>
      <c r="AK247" s="1">
        <f t="shared" si="48"/>
        <v>5</v>
      </c>
    </row>
    <row r="248" spans="1:37">
      <c r="A248" s="1">
        <v>247</v>
      </c>
      <c r="B248" s="1">
        <v>4252246</v>
      </c>
      <c r="C248" s="6">
        <v>810</v>
      </c>
      <c r="D248" s="1">
        <v>0.02</v>
      </c>
      <c r="E248" s="1">
        <v>1E-3</v>
      </c>
      <c r="F248" s="1">
        <v>0.95</v>
      </c>
      <c r="G248" s="1">
        <v>0.99</v>
      </c>
      <c r="H248" s="1">
        <v>0.5</v>
      </c>
      <c r="I248" s="1">
        <v>0.7</v>
      </c>
      <c r="J248" s="1">
        <v>0.35</v>
      </c>
      <c r="K248" s="1">
        <v>0.95</v>
      </c>
      <c r="L248" s="1">
        <v>0.5</v>
      </c>
      <c r="M248" s="1">
        <v>0.8</v>
      </c>
      <c r="N248" s="1">
        <f>(Occurrence!B$3-D248)^2</f>
        <v>4.0000000000000002E-4</v>
      </c>
      <c r="O248" s="1">
        <f>(Occurrence!C$3-E248)^2</f>
        <v>9.9999999999999995E-7</v>
      </c>
      <c r="P248" s="1">
        <f>(Occurrence!D$3-F248)^2</f>
        <v>2.5000000000000044E-3</v>
      </c>
      <c r="Q248" s="1">
        <f>(Occurrence!E$3-G248)^2</f>
        <v>1.0000000000000018E-4</v>
      </c>
      <c r="R248" s="1">
        <f>(Occurrence!F$3-H248)^2</f>
        <v>0.25</v>
      </c>
      <c r="S248" s="1">
        <f>(Occurrence!G$3-I248)^2</f>
        <v>0.48999999999999994</v>
      </c>
      <c r="T248" s="1">
        <f>(Occurrence!H$3-J248)^2</f>
        <v>0.42250000000000004</v>
      </c>
      <c r="U248" s="1">
        <f>(Occurrence!I$3-K248)^2</f>
        <v>2.5000000000000044E-3</v>
      </c>
      <c r="V248" s="1">
        <f>(Occurrence!J$3-L248)^2</f>
        <v>0.25</v>
      </c>
      <c r="W248" s="1">
        <f>(Occurrence!K$3-M248)^2</f>
        <v>3.999999999999998E-2</v>
      </c>
      <c r="X248" s="1">
        <f t="shared" si="37"/>
        <v>1.4580010000000001</v>
      </c>
      <c r="Z248" s="1">
        <f t="shared" si="38"/>
        <v>0</v>
      </c>
      <c r="AA248" s="1">
        <f t="shared" si="39"/>
        <v>0</v>
      </c>
      <c r="AB248" s="1">
        <f t="shared" si="40"/>
        <v>1</v>
      </c>
      <c r="AC248" s="1">
        <f t="shared" si="41"/>
        <v>1</v>
      </c>
      <c r="AD248" s="1">
        <f t="shared" si="42"/>
        <v>1</v>
      </c>
      <c r="AE248" s="1">
        <f t="shared" si="43"/>
        <v>1</v>
      </c>
      <c r="AF248" s="1">
        <f t="shared" si="44"/>
        <v>0</v>
      </c>
      <c r="AG248" s="1">
        <f t="shared" si="45"/>
        <v>1</v>
      </c>
      <c r="AH248" s="1">
        <f t="shared" si="46"/>
        <v>1</v>
      </c>
      <c r="AI248" s="1">
        <f t="shared" si="47"/>
        <v>1</v>
      </c>
      <c r="AJ248" s="1">
        <f>SUMXMY2(Z248:AI248, Occurrence!B$3:K$3)</f>
        <v>4</v>
      </c>
      <c r="AK248" s="1">
        <f t="shared" si="48"/>
        <v>6</v>
      </c>
    </row>
    <row r="249" spans="1:37">
      <c r="A249" s="1">
        <v>248</v>
      </c>
      <c r="B249" s="1">
        <v>4252247</v>
      </c>
      <c r="C249" s="6">
        <v>810</v>
      </c>
      <c r="D249" s="1">
        <v>0.8</v>
      </c>
      <c r="E249" s="1">
        <v>0.3</v>
      </c>
      <c r="F249" s="1">
        <v>0.8</v>
      </c>
      <c r="G249" s="1">
        <v>0.4</v>
      </c>
      <c r="H249" s="1">
        <v>0.53</v>
      </c>
      <c r="I249" s="1">
        <v>0.33</v>
      </c>
      <c r="J249" s="1">
        <v>0.22</v>
      </c>
      <c r="K249" s="1">
        <v>0.6</v>
      </c>
      <c r="L249" s="1">
        <v>0.76</v>
      </c>
      <c r="M249" s="1">
        <v>0.45</v>
      </c>
      <c r="N249" s="1">
        <f>(Occurrence!B$3-D249)^2</f>
        <v>0.64000000000000012</v>
      </c>
      <c r="O249" s="1">
        <f>(Occurrence!C$3-E249)^2</f>
        <v>0.09</v>
      </c>
      <c r="P249" s="1">
        <f>(Occurrence!D$3-F249)^2</f>
        <v>3.999999999999998E-2</v>
      </c>
      <c r="Q249" s="1">
        <f>(Occurrence!E$3-G249)^2</f>
        <v>0.36</v>
      </c>
      <c r="R249" s="1">
        <f>(Occurrence!F$3-H249)^2</f>
        <v>0.28090000000000004</v>
      </c>
      <c r="S249" s="1">
        <f>(Occurrence!G$3-I249)^2</f>
        <v>0.10890000000000001</v>
      </c>
      <c r="T249" s="1">
        <f>(Occurrence!H$3-J249)^2</f>
        <v>0.60840000000000005</v>
      </c>
      <c r="U249" s="1">
        <f>(Occurrence!I$3-K249)^2</f>
        <v>0.16000000000000003</v>
      </c>
      <c r="V249" s="1">
        <f>(Occurrence!J$3-L249)^2</f>
        <v>0.5776</v>
      </c>
      <c r="W249" s="1">
        <f>(Occurrence!K$3-M249)^2</f>
        <v>0.30250000000000005</v>
      </c>
      <c r="X249" s="1">
        <f t="shared" si="37"/>
        <v>3.1682999999999999</v>
      </c>
      <c r="Z249" s="1">
        <f t="shared" si="38"/>
        <v>1</v>
      </c>
      <c r="AA249" s="1">
        <f t="shared" si="39"/>
        <v>0</v>
      </c>
      <c r="AB249" s="1">
        <f t="shared" si="40"/>
        <v>1</v>
      </c>
      <c r="AC249" s="1">
        <f t="shared" si="41"/>
        <v>0</v>
      </c>
      <c r="AD249" s="1">
        <f t="shared" si="42"/>
        <v>1</v>
      </c>
      <c r="AE249" s="1">
        <f t="shared" si="43"/>
        <v>0</v>
      </c>
      <c r="AF249" s="1">
        <f t="shared" si="44"/>
        <v>0</v>
      </c>
      <c r="AG249" s="1">
        <f t="shared" si="45"/>
        <v>1</v>
      </c>
      <c r="AH249" s="1">
        <f t="shared" si="46"/>
        <v>1</v>
      </c>
      <c r="AI249" s="1">
        <f t="shared" si="47"/>
        <v>0</v>
      </c>
      <c r="AJ249" s="1">
        <f>SUMXMY2(Z249:AI249, Occurrence!B$3:K$3)</f>
        <v>6</v>
      </c>
      <c r="AK249" s="1">
        <f t="shared" si="48"/>
        <v>4</v>
      </c>
    </row>
    <row r="250" spans="1:37">
      <c r="A250" s="1">
        <v>249</v>
      </c>
      <c r="B250" s="1">
        <v>4252248</v>
      </c>
      <c r="C250" s="6">
        <v>810</v>
      </c>
      <c r="D250" s="1">
        <v>0.2</v>
      </c>
      <c r="E250" s="1">
        <v>0.4</v>
      </c>
      <c r="F250" s="1">
        <v>0.3</v>
      </c>
      <c r="G250" s="1">
        <v>0.5</v>
      </c>
      <c r="H250" s="1">
        <v>0.6</v>
      </c>
      <c r="I250" s="1">
        <v>0.63</v>
      </c>
      <c r="J250" s="1">
        <v>0.4</v>
      </c>
      <c r="K250" s="1">
        <v>0.9</v>
      </c>
      <c r="L250" s="1">
        <v>0.85</v>
      </c>
      <c r="M250" s="1">
        <v>0.55000000000000004</v>
      </c>
      <c r="N250" s="1">
        <f>(Occurrence!B$3-D250)^2</f>
        <v>4.0000000000000008E-2</v>
      </c>
      <c r="O250" s="1">
        <f>(Occurrence!C$3-E250)^2</f>
        <v>0.16000000000000003</v>
      </c>
      <c r="P250" s="1">
        <f>(Occurrence!D$3-F250)^2</f>
        <v>0.48999999999999994</v>
      </c>
      <c r="Q250" s="1">
        <f>(Occurrence!E$3-G250)^2</f>
        <v>0.25</v>
      </c>
      <c r="R250" s="1">
        <f>(Occurrence!F$3-H250)^2</f>
        <v>0.36</v>
      </c>
      <c r="S250" s="1">
        <f>(Occurrence!G$3-I250)^2</f>
        <v>0.39690000000000003</v>
      </c>
      <c r="T250" s="1">
        <f>(Occurrence!H$3-J250)^2</f>
        <v>0.36</v>
      </c>
      <c r="U250" s="1">
        <f>(Occurrence!I$3-K250)^2</f>
        <v>9.999999999999995E-3</v>
      </c>
      <c r="V250" s="1">
        <f>(Occurrence!J$3-L250)^2</f>
        <v>0.72249999999999992</v>
      </c>
      <c r="W250" s="1">
        <f>(Occurrence!K$3-M250)^2</f>
        <v>0.20249999999999996</v>
      </c>
      <c r="X250" s="1">
        <f t="shared" si="37"/>
        <v>2.9918999999999998</v>
      </c>
      <c r="Z250" s="1">
        <f t="shared" si="38"/>
        <v>0</v>
      </c>
      <c r="AA250" s="1">
        <f t="shared" si="39"/>
        <v>0</v>
      </c>
      <c r="AB250" s="1">
        <f t="shared" si="40"/>
        <v>0</v>
      </c>
      <c r="AC250" s="1">
        <f t="shared" si="41"/>
        <v>1</v>
      </c>
      <c r="AD250" s="1">
        <f t="shared" si="42"/>
        <v>1</v>
      </c>
      <c r="AE250" s="1">
        <f t="shared" si="43"/>
        <v>1</v>
      </c>
      <c r="AF250" s="1">
        <f t="shared" si="44"/>
        <v>0</v>
      </c>
      <c r="AG250" s="1">
        <f t="shared" si="45"/>
        <v>1</v>
      </c>
      <c r="AH250" s="1">
        <f t="shared" si="46"/>
        <v>1</v>
      </c>
      <c r="AI250" s="1">
        <f t="shared" si="47"/>
        <v>1</v>
      </c>
      <c r="AJ250" s="1">
        <f>SUMXMY2(Z250:AI250, Occurrence!B$3:K$3)</f>
        <v>5</v>
      </c>
      <c r="AK250" s="1">
        <f t="shared" si="48"/>
        <v>5</v>
      </c>
    </row>
    <row r="251" spans="1:37">
      <c r="A251" s="1">
        <v>250</v>
      </c>
      <c r="B251" s="1">
        <v>4252249</v>
      </c>
      <c r="C251" s="6">
        <v>810</v>
      </c>
      <c r="D251" s="1">
        <v>0.15079999999999999</v>
      </c>
      <c r="E251" s="1">
        <v>0.17860000000000001</v>
      </c>
      <c r="F251" s="1">
        <v>0.78169999999999995</v>
      </c>
      <c r="G251" s="1">
        <v>0.78180000000000005</v>
      </c>
      <c r="H251" s="1">
        <v>0.79759999999999998</v>
      </c>
      <c r="I251" s="1">
        <v>0.2</v>
      </c>
      <c r="J251" s="1">
        <v>0.25</v>
      </c>
      <c r="K251" s="1">
        <v>0.3</v>
      </c>
      <c r="L251" s="1">
        <v>0.4</v>
      </c>
      <c r="M251" s="1">
        <v>0.8</v>
      </c>
      <c r="N251" s="1">
        <f>(Occurrence!B$3-D251)^2</f>
        <v>2.2740639999999996E-2</v>
      </c>
      <c r="O251" s="1">
        <f>(Occurrence!C$3-E251)^2</f>
        <v>3.1897960000000003E-2</v>
      </c>
      <c r="P251" s="1">
        <f>(Occurrence!D$3-F251)^2</f>
        <v>4.7654890000000019E-2</v>
      </c>
      <c r="Q251" s="1">
        <f>(Occurrence!E$3-G251)^2</f>
        <v>4.7611239999999978E-2</v>
      </c>
      <c r="R251" s="1">
        <f>(Occurrence!F$3-H251)^2</f>
        <v>0.63616575999999991</v>
      </c>
      <c r="S251" s="1">
        <f>(Occurrence!G$3-I251)^2</f>
        <v>4.0000000000000008E-2</v>
      </c>
      <c r="T251" s="1">
        <f>(Occurrence!H$3-J251)^2</f>
        <v>0.5625</v>
      </c>
      <c r="U251" s="1">
        <f>(Occurrence!I$3-K251)^2</f>
        <v>0.48999999999999994</v>
      </c>
      <c r="V251" s="1">
        <f>(Occurrence!J$3-L251)^2</f>
        <v>0.16000000000000003</v>
      </c>
      <c r="W251" s="1">
        <f>(Occurrence!K$3-M251)^2</f>
        <v>3.999999999999998E-2</v>
      </c>
      <c r="X251" s="1">
        <f t="shared" si="37"/>
        <v>2.0785704900000002</v>
      </c>
      <c r="Z251" s="1">
        <f t="shared" si="38"/>
        <v>0</v>
      </c>
      <c r="AA251" s="1">
        <f t="shared" si="39"/>
        <v>0</v>
      </c>
      <c r="AB251" s="1">
        <f t="shared" si="40"/>
        <v>1</v>
      </c>
      <c r="AC251" s="1">
        <f t="shared" si="41"/>
        <v>1</v>
      </c>
      <c r="AD251" s="1">
        <f t="shared" si="42"/>
        <v>1</v>
      </c>
      <c r="AE251" s="1">
        <f t="shared" si="43"/>
        <v>0</v>
      </c>
      <c r="AF251" s="1">
        <f t="shared" si="44"/>
        <v>0</v>
      </c>
      <c r="AG251" s="1">
        <f t="shared" si="45"/>
        <v>0</v>
      </c>
      <c r="AH251" s="1">
        <f t="shared" si="46"/>
        <v>0</v>
      </c>
      <c r="AI251" s="1">
        <f t="shared" si="47"/>
        <v>1</v>
      </c>
      <c r="AJ251" s="1">
        <f>SUMXMY2(Z251:AI251, Occurrence!B$3:K$3)</f>
        <v>3</v>
      </c>
      <c r="AK251" s="1">
        <f t="shared" si="48"/>
        <v>7</v>
      </c>
    </row>
    <row r="252" spans="1:37">
      <c r="A252" s="1">
        <v>251</v>
      </c>
      <c r="B252" s="1">
        <v>4252250</v>
      </c>
      <c r="C252" s="6">
        <v>810</v>
      </c>
      <c r="D252" s="1">
        <v>0</v>
      </c>
      <c r="E252" s="1">
        <v>0</v>
      </c>
      <c r="F252" s="1">
        <v>1</v>
      </c>
      <c r="G252" s="1">
        <v>1</v>
      </c>
      <c r="H252" s="1">
        <v>0.5</v>
      </c>
      <c r="I252" s="1">
        <v>0.2</v>
      </c>
      <c r="J252" s="1">
        <v>1</v>
      </c>
      <c r="K252" s="1">
        <v>0.5</v>
      </c>
      <c r="L252" s="1">
        <v>0</v>
      </c>
      <c r="M252" s="1">
        <v>0.7</v>
      </c>
      <c r="N252" s="1">
        <f>(Occurrence!B$3-D252)^2</f>
        <v>0</v>
      </c>
      <c r="O252" s="1">
        <f>(Occurrence!C$3-E252)^2</f>
        <v>0</v>
      </c>
      <c r="P252" s="1">
        <f>(Occurrence!D$3-F252)^2</f>
        <v>0</v>
      </c>
      <c r="Q252" s="1">
        <f>(Occurrence!E$3-G252)^2</f>
        <v>0</v>
      </c>
      <c r="R252" s="1">
        <f>(Occurrence!F$3-H252)^2</f>
        <v>0.25</v>
      </c>
      <c r="S252" s="1">
        <f>(Occurrence!G$3-I252)^2</f>
        <v>4.0000000000000008E-2</v>
      </c>
      <c r="T252" s="1">
        <f>(Occurrence!H$3-J252)^2</f>
        <v>0</v>
      </c>
      <c r="U252" s="1">
        <f>(Occurrence!I$3-K252)^2</f>
        <v>0.25</v>
      </c>
      <c r="V252" s="1">
        <f>(Occurrence!J$3-L252)^2</f>
        <v>0</v>
      </c>
      <c r="W252" s="1">
        <f>(Occurrence!K$3-M252)^2</f>
        <v>9.0000000000000024E-2</v>
      </c>
      <c r="X252" s="1">
        <f t="shared" si="37"/>
        <v>0.63000000000000012</v>
      </c>
      <c r="Z252" s="1">
        <f t="shared" si="38"/>
        <v>0</v>
      </c>
      <c r="AA252" s="1">
        <f t="shared" si="39"/>
        <v>0</v>
      </c>
      <c r="AB252" s="1">
        <f t="shared" si="40"/>
        <v>1</v>
      </c>
      <c r="AC252" s="1">
        <f t="shared" si="41"/>
        <v>1</v>
      </c>
      <c r="AD252" s="1">
        <f t="shared" si="42"/>
        <v>1</v>
      </c>
      <c r="AE252" s="1">
        <f t="shared" si="43"/>
        <v>0</v>
      </c>
      <c r="AF252" s="1">
        <f t="shared" si="44"/>
        <v>1</v>
      </c>
      <c r="AG252" s="1">
        <f t="shared" si="45"/>
        <v>1</v>
      </c>
      <c r="AH252" s="1">
        <f t="shared" si="46"/>
        <v>0</v>
      </c>
      <c r="AI252" s="1">
        <f t="shared" si="47"/>
        <v>1</v>
      </c>
      <c r="AJ252" s="1">
        <f>SUMXMY2(Z252:AI252, Occurrence!B$3:K$3)</f>
        <v>1</v>
      </c>
      <c r="AK252" s="1">
        <f t="shared" si="48"/>
        <v>9</v>
      </c>
    </row>
    <row r="253" spans="1:37">
      <c r="A253" s="1">
        <v>252</v>
      </c>
      <c r="B253" s="1">
        <v>4252251</v>
      </c>
      <c r="C253" s="6">
        <v>810</v>
      </c>
      <c r="D253" s="1">
        <v>0</v>
      </c>
      <c r="E253" s="1">
        <v>0</v>
      </c>
      <c r="F253" s="1">
        <v>1</v>
      </c>
      <c r="G253" s="1">
        <v>1</v>
      </c>
      <c r="H253" s="1">
        <v>0</v>
      </c>
      <c r="I253" s="1">
        <v>5.0000000000000001E-4</v>
      </c>
      <c r="J253" s="1">
        <v>1</v>
      </c>
      <c r="K253" s="1">
        <v>0.99</v>
      </c>
      <c r="L253" s="1">
        <v>0.05</v>
      </c>
      <c r="M253" s="1">
        <v>0.5</v>
      </c>
      <c r="N253" s="1">
        <f>(Occurrence!B$3-D253)^2</f>
        <v>0</v>
      </c>
      <c r="O253" s="1">
        <f>(Occurrence!C$3-E253)^2</f>
        <v>0</v>
      </c>
      <c r="P253" s="1">
        <f>(Occurrence!D$3-F253)^2</f>
        <v>0</v>
      </c>
      <c r="Q253" s="1">
        <f>(Occurrence!E$3-G253)^2</f>
        <v>0</v>
      </c>
      <c r="R253" s="1">
        <f>(Occurrence!F$3-H253)^2</f>
        <v>0</v>
      </c>
      <c r="S253" s="1">
        <f>(Occurrence!G$3-I253)^2</f>
        <v>2.4999999999999999E-7</v>
      </c>
      <c r="T253" s="1">
        <f>(Occurrence!H$3-J253)^2</f>
        <v>0</v>
      </c>
      <c r="U253" s="1">
        <f>(Occurrence!I$3-K253)^2</f>
        <v>1.0000000000000018E-4</v>
      </c>
      <c r="V253" s="1">
        <f>(Occurrence!J$3-L253)^2</f>
        <v>2.5000000000000005E-3</v>
      </c>
      <c r="W253" s="1">
        <f>(Occurrence!K$3-M253)^2</f>
        <v>0.25</v>
      </c>
      <c r="X253" s="1">
        <f t="shared" si="37"/>
        <v>0.25260025000000003</v>
      </c>
      <c r="Z253" s="1">
        <f t="shared" si="38"/>
        <v>0</v>
      </c>
      <c r="AA253" s="1">
        <f t="shared" si="39"/>
        <v>0</v>
      </c>
      <c r="AB253" s="1">
        <f t="shared" si="40"/>
        <v>1</v>
      </c>
      <c r="AC253" s="1">
        <f t="shared" si="41"/>
        <v>1</v>
      </c>
      <c r="AD253" s="1">
        <f t="shared" si="42"/>
        <v>0</v>
      </c>
      <c r="AE253" s="1">
        <f t="shared" si="43"/>
        <v>0</v>
      </c>
      <c r="AF253" s="1">
        <f t="shared" si="44"/>
        <v>1</v>
      </c>
      <c r="AG253" s="1">
        <f t="shared" si="45"/>
        <v>1</v>
      </c>
      <c r="AH253" s="1">
        <f t="shared" si="46"/>
        <v>0</v>
      </c>
      <c r="AI253" s="1">
        <f t="shared" si="47"/>
        <v>1</v>
      </c>
      <c r="AJ253" s="1">
        <f>SUMXMY2(Z253:AI253, Occurrence!B$3:K$3)</f>
        <v>0</v>
      </c>
      <c r="AK253" s="1">
        <f t="shared" si="48"/>
        <v>10</v>
      </c>
    </row>
    <row r="254" spans="1:37">
      <c r="A254" s="1">
        <v>253</v>
      </c>
      <c r="B254" s="1">
        <v>4252252</v>
      </c>
      <c r="C254" s="6">
        <v>810</v>
      </c>
      <c r="D254" s="1">
        <v>0.2848</v>
      </c>
      <c r="E254" s="1">
        <v>0.31630000000000003</v>
      </c>
      <c r="F254" s="1">
        <v>0.82620000000000005</v>
      </c>
      <c r="G254" s="1">
        <v>0.79469999999999996</v>
      </c>
      <c r="H254" s="1">
        <v>0.54139999999999999</v>
      </c>
      <c r="I254" s="1">
        <v>0.84519999999999995</v>
      </c>
      <c r="J254" s="1">
        <v>0.36270000000000002</v>
      </c>
      <c r="K254" s="1">
        <v>0.94359999999999999</v>
      </c>
      <c r="L254" s="1">
        <v>0.7863</v>
      </c>
      <c r="M254" s="1">
        <v>0.63519999999999999</v>
      </c>
      <c r="N254" s="1">
        <f>(Occurrence!B$3-D254)^2</f>
        <v>8.1111039999999995E-2</v>
      </c>
      <c r="O254" s="1">
        <f>(Occurrence!C$3-E254)^2</f>
        <v>0.10004569000000002</v>
      </c>
      <c r="P254" s="1">
        <f>(Occurrence!D$3-F254)^2</f>
        <v>3.0206439999999984E-2</v>
      </c>
      <c r="Q254" s="1">
        <f>(Occurrence!E$3-G254)^2</f>
        <v>4.2148090000000013E-2</v>
      </c>
      <c r="R254" s="1">
        <f>(Occurrence!F$3-H254)^2</f>
        <v>0.29311396000000001</v>
      </c>
      <c r="S254" s="1">
        <f>(Occurrence!G$3-I254)^2</f>
        <v>0.71436303999999995</v>
      </c>
      <c r="T254" s="1">
        <f>(Occurrence!H$3-J254)^2</f>
        <v>0.40615129</v>
      </c>
      <c r="U254" s="1">
        <f>(Occurrence!I$3-K254)^2</f>
        <v>3.1809600000000005E-3</v>
      </c>
      <c r="V254" s="1">
        <f>(Occurrence!J$3-L254)^2</f>
        <v>0.61826769000000004</v>
      </c>
      <c r="W254" s="1">
        <f>(Occurrence!K$3-M254)^2</f>
        <v>0.13307904000000001</v>
      </c>
      <c r="X254" s="1">
        <f t="shared" si="37"/>
        <v>2.4216672400000001</v>
      </c>
      <c r="Z254" s="1">
        <f t="shared" si="38"/>
        <v>0</v>
      </c>
      <c r="AA254" s="1">
        <f t="shared" si="39"/>
        <v>0</v>
      </c>
      <c r="AB254" s="1">
        <f t="shared" si="40"/>
        <v>1</v>
      </c>
      <c r="AC254" s="1">
        <f t="shared" si="41"/>
        <v>1</v>
      </c>
      <c r="AD254" s="1">
        <f t="shared" si="42"/>
        <v>1</v>
      </c>
      <c r="AE254" s="1">
        <f t="shared" si="43"/>
        <v>1</v>
      </c>
      <c r="AF254" s="1">
        <f t="shared" si="44"/>
        <v>0</v>
      </c>
      <c r="AG254" s="1">
        <f t="shared" si="45"/>
        <v>1</v>
      </c>
      <c r="AH254" s="1">
        <f t="shared" si="46"/>
        <v>1</v>
      </c>
      <c r="AI254" s="1">
        <f t="shared" si="47"/>
        <v>1</v>
      </c>
      <c r="AJ254" s="1">
        <f>SUMXMY2(Z254:AI254, Occurrence!B$3:K$3)</f>
        <v>4</v>
      </c>
      <c r="AK254" s="1">
        <f t="shared" si="48"/>
        <v>6</v>
      </c>
    </row>
    <row r="255" spans="1:37">
      <c r="A255" s="1">
        <v>254</v>
      </c>
      <c r="B255" s="1">
        <v>4252253</v>
      </c>
      <c r="C255" s="6">
        <v>810</v>
      </c>
      <c r="D255" s="1">
        <v>0.61</v>
      </c>
      <c r="E255" s="1">
        <v>0.55000000000000004</v>
      </c>
      <c r="F255" s="1">
        <v>0.5</v>
      </c>
      <c r="G255" s="1">
        <v>0.56000000000000005</v>
      </c>
      <c r="H255" s="1">
        <v>0.7</v>
      </c>
      <c r="I255" s="1">
        <v>0.72</v>
      </c>
      <c r="J255" s="1">
        <v>0.95</v>
      </c>
      <c r="K255" s="1">
        <v>0.85</v>
      </c>
      <c r="L255" s="1">
        <v>0.1</v>
      </c>
      <c r="M255" s="1">
        <v>0.65</v>
      </c>
      <c r="N255" s="1">
        <f>(Occurrence!B$3-D255)^2</f>
        <v>0.37209999999999999</v>
      </c>
      <c r="O255" s="1">
        <f>(Occurrence!C$3-E255)^2</f>
        <v>0.30250000000000005</v>
      </c>
      <c r="P255" s="1">
        <f>(Occurrence!D$3-F255)^2</f>
        <v>0.25</v>
      </c>
      <c r="Q255" s="1">
        <f>(Occurrence!E$3-G255)^2</f>
        <v>0.19359999999999997</v>
      </c>
      <c r="R255" s="1">
        <f>(Occurrence!F$3-H255)^2</f>
        <v>0.48999999999999994</v>
      </c>
      <c r="S255" s="1">
        <f>(Occurrence!G$3-I255)^2</f>
        <v>0.51839999999999997</v>
      </c>
      <c r="T255" s="1">
        <f>(Occurrence!H$3-J255)^2</f>
        <v>2.5000000000000044E-3</v>
      </c>
      <c r="U255" s="1">
        <f>(Occurrence!I$3-K255)^2</f>
        <v>2.2500000000000006E-2</v>
      </c>
      <c r="V255" s="1">
        <f>(Occurrence!J$3-L255)^2</f>
        <v>1.0000000000000002E-2</v>
      </c>
      <c r="W255" s="1">
        <f>(Occurrence!K$3-M255)^2</f>
        <v>0.12249999999999998</v>
      </c>
      <c r="X255" s="1">
        <f t="shared" si="37"/>
        <v>2.2840999999999996</v>
      </c>
      <c r="Z255" s="1">
        <f t="shared" si="38"/>
        <v>1</v>
      </c>
      <c r="AA255" s="1">
        <f t="shared" si="39"/>
        <v>1</v>
      </c>
      <c r="AB255" s="1">
        <f t="shared" si="40"/>
        <v>1</v>
      </c>
      <c r="AC255" s="1">
        <f t="shared" si="41"/>
        <v>1</v>
      </c>
      <c r="AD255" s="1">
        <f t="shared" si="42"/>
        <v>1</v>
      </c>
      <c r="AE255" s="1">
        <f t="shared" si="43"/>
        <v>1</v>
      </c>
      <c r="AF255" s="1">
        <f t="shared" si="44"/>
        <v>1</v>
      </c>
      <c r="AG255" s="1">
        <f t="shared" si="45"/>
        <v>1</v>
      </c>
      <c r="AH255" s="1">
        <f t="shared" si="46"/>
        <v>0</v>
      </c>
      <c r="AI255" s="1">
        <f t="shared" si="47"/>
        <v>1</v>
      </c>
      <c r="AJ255" s="1">
        <f>SUMXMY2(Z255:AI255, Occurrence!B$3:K$3)</f>
        <v>4</v>
      </c>
      <c r="AK255" s="1">
        <f t="shared" si="48"/>
        <v>6</v>
      </c>
    </row>
    <row r="256" spans="1:37">
      <c r="A256" s="1">
        <v>255</v>
      </c>
      <c r="B256" s="1">
        <v>4252254</v>
      </c>
      <c r="C256" s="6">
        <v>810</v>
      </c>
      <c r="D256" s="1">
        <v>0.24809999999999999</v>
      </c>
      <c r="E256" s="1">
        <v>0.29039999999999999</v>
      </c>
      <c r="F256" s="1">
        <v>0.68210000000000004</v>
      </c>
      <c r="G256" s="1">
        <v>0.70960000000000001</v>
      </c>
      <c r="H256" s="1">
        <v>6.9800000000000001E-2</v>
      </c>
      <c r="I256" s="1">
        <v>0.5</v>
      </c>
      <c r="J256" s="1">
        <v>0.45229999999999998</v>
      </c>
      <c r="K256" s="1">
        <v>1.9199999999999998E-2</v>
      </c>
      <c r="L256" s="1">
        <v>1.9599999999999999E-2</v>
      </c>
      <c r="M256" s="1">
        <v>0.57889999999999997</v>
      </c>
      <c r="N256" s="1">
        <f>(Occurrence!B$3-D256)^2</f>
        <v>6.1553609999999995E-2</v>
      </c>
      <c r="O256" s="1">
        <f>(Occurrence!C$3-E256)^2</f>
        <v>8.4332159999999989E-2</v>
      </c>
      <c r="P256" s="1">
        <f>(Occurrence!D$3-F256)^2</f>
        <v>0.10106040999999998</v>
      </c>
      <c r="Q256" s="1">
        <f>(Occurrence!E$3-G256)^2</f>
        <v>8.4332159999999989E-2</v>
      </c>
      <c r="R256" s="1">
        <f>(Occurrence!F$3-H256)^2</f>
        <v>4.8720400000000002E-3</v>
      </c>
      <c r="S256" s="1">
        <f>(Occurrence!G$3-I256)^2</f>
        <v>0.25</v>
      </c>
      <c r="T256" s="1">
        <f>(Occurrence!H$3-J256)^2</f>
        <v>0.29997529000000006</v>
      </c>
      <c r="U256" s="1">
        <f>(Occurrence!I$3-K256)^2</f>
        <v>0.96196864000000004</v>
      </c>
      <c r="V256" s="1">
        <f>(Occurrence!J$3-L256)^2</f>
        <v>3.8415999999999998E-4</v>
      </c>
      <c r="W256" s="1">
        <f>(Occurrence!K$3-M256)^2</f>
        <v>0.17732521000000004</v>
      </c>
      <c r="X256" s="1">
        <f t="shared" si="37"/>
        <v>2.0258036800000001</v>
      </c>
      <c r="Z256" s="1">
        <f t="shared" si="38"/>
        <v>0</v>
      </c>
      <c r="AA256" s="1">
        <f t="shared" si="39"/>
        <v>0</v>
      </c>
      <c r="AB256" s="1">
        <f t="shared" si="40"/>
        <v>1</v>
      </c>
      <c r="AC256" s="1">
        <f t="shared" si="41"/>
        <v>1</v>
      </c>
      <c r="AD256" s="1">
        <f t="shared" si="42"/>
        <v>0</v>
      </c>
      <c r="AE256" s="1">
        <f t="shared" si="43"/>
        <v>1</v>
      </c>
      <c r="AF256" s="1">
        <f t="shared" si="44"/>
        <v>0</v>
      </c>
      <c r="AG256" s="1">
        <f t="shared" si="45"/>
        <v>0</v>
      </c>
      <c r="AH256" s="1">
        <f t="shared" si="46"/>
        <v>0</v>
      </c>
      <c r="AI256" s="1">
        <f t="shared" si="47"/>
        <v>1</v>
      </c>
      <c r="AJ256" s="1">
        <f>SUMXMY2(Z256:AI256, Occurrence!B$3:K$3)</f>
        <v>3</v>
      </c>
      <c r="AK256" s="1">
        <f t="shared" si="48"/>
        <v>7</v>
      </c>
    </row>
    <row r="257" spans="1:37">
      <c r="A257" s="1">
        <v>256</v>
      </c>
      <c r="B257" s="1">
        <v>4252255</v>
      </c>
      <c r="C257" s="6">
        <v>810</v>
      </c>
      <c r="D257" s="1">
        <v>0.27750000000000002</v>
      </c>
      <c r="E257" s="1">
        <v>0.4052</v>
      </c>
      <c r="F257" s="1">
        <v>0.49280000000000002</v>
      </c>
      <c r="G257" s="1">
        <v>0.59519999999999995</v>
      </c>
      <c r="H257" s="1">
        <v>0.77029999999999998</v>
      </c>
      <c r="I257" s="1">
        <v>0.6996</v>
      </c>
      <c r="J257" s="1">
        <v>0.27839999999999998</v>
      </c>
      <c r="K257" s="1">
        <v>0.879</v>
      </c>
      <c r="L257" s="1">
        <v>0.1163</v>
      </c>
      <c r="M257" s="1">
        <v>0.61639999999999995</v>
      </c>
      <c r="N257" s="1">
        <f>(Occurrence!B$3-D257)^2</f>
        <v>7.7006250000000012E-2</v>
      </c>
      <c r="O257" s="1">
        <f>(Occurrence!C$3-E257)^2</f>
        <v>0.16418704000000001</v>
      </c>
      <c r="P257" s="1">
        <f>(Occurrence!D$3-F257)^2</f>
        <v>0.25725184000000001</v>
      </c>
      <c r="Q257" s="1">
        <f>(Occurrence!E$3-G257)^2</f>
        <v>0.16386304000000004</v>
      </c>
      <c r="R257" s="1">
        <f>(Occurrence!F$3-H257)^2</f>
        <v>0.59336208999999995</v>
      </c>
      <c r="S257" s="1">
        <f>(Occurrence!G$3-I257)^2</f>
        <v>0.48944016000000001</v>
      </c>
      <c r="T257" s="1">
        <f>(Occurrence!H$3-J257)^2</f>
        <v>0.52070656000000004</v>
      </c>
      <c r="U257" s="1">
        <f>(Occurrence!I$3-K257)^2</f>
        <v>1.4641E-2</v>
      </c>
      <c r="V257" s="1">
        <f>(Occurrence!J$3-L257)^2</f>
        <v>1.352569E-2</v>
      </c>
      <c r="W257" s="1">
        <f>(Occurrence!K$3-M257)^2</f>
        <v>0.14714896000000005</v>
      </c>
      <c r="X257" s="1">
        <f t="shared" si="37"/>
        <v>2.4411326300000002</v>
      </c>
      <c r="Z257" s="1">
        <f t="shared" si="38"/>
        <v>0</v>
      </c>
      <c r="AA257" s="1">
        <f t="shared" si="39"/>
        <v>0</v>
      </c>
      <c r="AB257" s="1">
        <f t="shared" si="40"/>
        <v>0</v>
      </c>
      <c r="AC257" s="1">
        <f t="shared" si="41"/>
        <v>1</v>
      </c>
      <c r="AD257" s="1">
        <f t="shared" si="42"/>
        <v>1</v>
      </c>
      <c r="AE257" s="1">
        <f t="shared" si="43"/>
        <v>1</v>
      </c>
      <c r="AF257" s="1">
        <f t="shared" si="44"/>
        <v>0</v>
      </c>
      <c r="AG257" s="1">
        <f t="shared" si="45"/>
        <v>1</v>
      </c>
      <c r="AH257" s="1">
        <f t="shared" si="46"/>
        <v>0</v>
      </c>
      <c r="AI257" s="1">
        <f t="shared" si="47"/>
        <v>1</v>
      </c>
      <c r="AJ257" s="1">
        <f>SUMXMY2(Z257:AI257, Occurrence!B$3:K$3)</f>
        <v>4</v>
      </c>
      <c r="AK257" s="1">
        <f t="shared" si="48"/>
        <v>6</v>
      </c>
    </row>
    <row r="258" spans="1:37">
      <c r="A258" s="1">
        <v>257</v>
      </c>
      <c r="B258" s="1">
        <v>4252256</v>
      </c>
      <c r="C258" s="6">
        <v>810</v>
      </c>
      <c r="D258" s="1">
        <v>0.247</v>
      </c>
      <c r="E258" s="1">
        <v>0.27360000000000001</v>
      </c>
      <c r="F258" s="1">
        <v>0.68410000000000004</v>
      </c>
      <c r="G258" s="1">
        <v>0.70979999999999999</v>
      </c>
      <c r="H258" s="1">
        <v>6.8900000000000003E-2</v>
      </c>
      <c r="I258" s="1">
        <v>0.75</v>
      </c>
      <c r="J258" s="1">
        <v>0.85</v>
      </c>
      <c r="K258" s="1">
        <v>0.65</v>
      </c>
      <c r="L258" s="1">
        <v>0.33329999999999999</v>
      </c>
      <c r="M258" s="1">
        <v>0.68589999999999995</v>
      </c>
      <c r="N258" s="1">
        <f>(Occurrence!B$3-D258)^2</f>
        <v>6.1009000000000001E-2</v>
      </c>
      <c r="O258" s="1">
        <f>(Occurrence!C$3-E258)^2</f>
        <v>7.485696E-2</v>
      </c>
      <c r="P258" s="1">
        <f>(Occurrence!D$3-F258)^2</f>
        <v>9.9792809999999968E-2</v>
      </c>
      <c r="Q258" s="1">
        <f>(Occurrence!E$3-G258)^2</f>
        <v>8.4216040000000006E-2</v>
      </c>
      <c r="R258" s="1">
        <f>(Occurrence!F$3-H258)^2</f>
        <v>4.74721E-3</v>
      </c>
      <c r="S258" s="1">
        <f>(Occurrence!G$3-I258)^2</f>
        <v>0.5625</v>
      </c>
      <c r="T258" s="1">
        <f>(Occurrence!H$3-J258)^2</f>
        <v>2.2500000000000006E-2</v>
      </c>
      <c r="U258" s="1">
        <f>(Occurrence!I$3-K258)^2</f>
        <v>0.12249999999999998</v>
      </c>
      <c r="V258" s="1">
        <f>(Occurrence!J$3-L258)^2</f>
        <v>0.11108889</v>
      </c>
      <c r="W258" s="1">
        <f>(Occurrence!K$3-M258)^2</f>
        <v>9.8658810000000027E-2</v>
      </c>
      <c r="X258" s="1">
        <f t="shared" si="37"/>
        <v>1.24186972</v>
      </c>
      <c r="Z258" s="1">
        <f t="shared" si="38"/>
        <v>0</v>
      </c>
      <c r="AA258" s="1">
        <f t="shared" si="39"/>
        <v>0</v>
      </c>
      <c r="AB258" s="1">
        <f t="shared" si="40"/>
        <v>1</v>
      </c>
      <c r="AC258" s="1">
        <f t="shared" si="41"/>
        <v>1</v>
      </c>
      <c r="AD258" s="1">
        <f t="shared" si="42"/>
        <v>0</v>
      </c>
      <c r="AE258" s="1">
        <f t="shared" si="43"/>
        <v>1</v>
      </c>
      <c r="AF258" s="1">
        <f t="shared" si="44"/>
        <v>1</v>
      </c>
      <c r="AG258" s="1">
        <f t="shared" si="45"/>
        <v>1</v>
      </c>
      <c r="AH258" s="1">
        <f t="shared" si="46"/>
        <v>0</v>
      </c>
      <c r="AI258" s="1">
        <f t="shared" si="47"/>
        <v>1</v>
      </c>
      <c r="AJ258" s="1">
        <f>SUMXMY2(Z258:AI258, Occurrence!B$3:K$3)</f>
        <v>1</v>
      </c>
      <c r="AK258" s="1">
        <f t="shared" si="48"/>
        <v>9</v>
      </c>
    </row>
    <row r="259" spans="1:37">
      <c r="A259" s="1">
        <v>258</v>
      </c>
      <c r="B259" s="1">
        <v>4252257</v>
      </c>
      <c r="C259" s="6">
        <v>810</v>
      </c>
      <c r="D259" s="1">
        <v>3.56E-2</v>
      </c>
      <c r="E259" s="1">
        <v>0.46729999999999999</v>
      </c>
      <c r="F259" s="1">
        <v>0.69440000000000002</v>
      </c>
      <c r="G259" s="1">
        <v>0.53269999999999995</v>
      </c>
      <c r="H259" s="1">
        <v>1</v>
      </c>
      <c r="I259" s="1">
        <v>0.43</v>
      </c>
      <c r="J259" s="1">
        <v>0.1229</v>
      </c>
      <c r="K259" s="1">
        <v>0.33</v>
      </c>
      <c r="L259" s="1">
        <v>0.35</v>
      </c>
      <c r="M259" s="1">
        <v>0.92</v>
      </c>
      <c r="N259" s="1">
        <f>(Occurrence!B$3-D259)^2</f>
        <v>1.2673599999999999E-3</v>
      </c>
      <c r="O259" s="1">
        <f>(Occurrence!C$3-E259)^2</f>
        <v>0.21836928999999999</v>
      </c>
      <c r="P259" s="1">
        <f>(Occurrence!D$3-F259)^2</f>
        <v>9.3391359999999993E-2</v>
      </c>
      <c r="Q259" s="1">
        <f>(Occurrence!E$3-G259)^2</f>
        <v>0.21836929000000005</v>
      </c>
      <c r="R259" s="1">
        <f>(Occurrence!F$3-H259)^2</f>
        <v>1</v>
      </c>
      <c r="S259" s="1">
        <f>(Occurrence!G$3-I259)^2</f>
        <v>0.18489999999999998</v>
      </c>
      <c r="T259" s="1">
        <f>(Occurrence!H$3-J259)^2</f>
        <v>0.76930440999999994</v>
      </c>
      <c r="U259" s="1">
        <f>(Occurrence!I$3-K259)^2</f>
        <v>0.44889999999999991</v>
      </c>
      <c r="V259" s="1">
        <f>(Occurrence!J$3-L259)^2</f>
        <v>0.12249999999999998</v>
      </c>
      <c r="W259" s="1">
        <f>(Occurrence!K$3-M259)^2</f>
        <v>6.3999999999999934E-3</v>
      </c>
      <c r="X259" s="1">
        <f t="shared" ref="X259:X322" si="49">SUM(N259:W259)</f>
        <v>3.0634017100000004</v>
      </c>
      <c r="Z259" s="1">
        <f t="shared" ref="Z259:Z322" si="50">ROUND(D259, 0)</f>
        <v>0</v>
      </c>
      <c r="AA259" s="1">
        <f t="shared" ref="AA259:AA322" si="51">ROUND(E259, 0)</f>
        <v>0</v>
      </c>
      <c r="AB259" s="1">
        <f t="shared" ref="AB259:AB322" si="52">ROUND(F259, 0)</f>
        <v>1</v>
      </c>
      <c r="AC259" s="1">
        <f t="shared" ref="AC259:AC322" si="53">ROUND(G259, 0)</f>
        <v>1</v>
      </c>
      <c r="AD259" s="1">
        <f t="shared" ref="AD259:AD322" si="54">ROUND(H259, 0)</f>
        <v>1</v>
      </c>
      <c r="AE259" s="1">
        <f t="shared" ref="AE259:AE322" si="55">ROUND(I259, 0)</f>
        <v>0</v>
      </c>
      <c r="AF259" s="1">
        <f t="shared" ref="AF259:AF322" si="56">ROUND(J259, 0)</f>
        <v>0</v>
      </c>
      <c r="AG259" s="1">
        <f t="shared" ref="AG259:AG322" si="57">ROUND(K259, 0)</f>
        <v>0</v>
      </c>
      <c r="AH259" s="1">
        <f t="shared" ref="AH259:AH322" si="58">ROUND(L259, 0)</f>
        <v>0</v>
      </c>
      <c r="AI259" s="1">
        <f t="shared" ref="AI259:AI322" si="59">ROUND(M259, 0)</f>
        <v>1</v>
      </c>
      <c r="AJ259" s="1">
        <f>SUMXMY2(Z259:AI259, Occurrence!B$3:K$3)</f>
        <v>3</v>
      </c>
      <c r="AK259" s="1">
        <f t="shared" ref="AK259:AK322" si="60">10-AJ259</f>
        <v>7</v>
      </c>
    </row>
    <row r="260" spans="1:37">
      <c r="A260" s="1">
        <v>259</v>
      </c>
      <c r="B260" s="1">
        <v>4252258</v>
      </c>
      <c r="C260" s="6">
        <v>810</v>
      </c>
      <c r="D260" s="1">
        <v>0.27</v>
      </c>
      <c r="E260" s="1">
        <v>0.28999999999999998</v>
      </c>
      <c r="F260" s="1">
        <v>0.69</v>
      </c>
      <c r="G260" s="1">
        <v>0.71</v>
      </c>
      <c r="H260" s="1">
        <v>0.04</v>
      </c>
      <c r="I260" s="1">
        <v>0.57999999999999996</v>
      </c>
      <c r="J260" s="1">
        <v>0.32</v>
      </c>
      <c r="K260" s="1">
        <v>0.68</v>
      </c>
      <c r="L260" s="1">
        <v>0.34</v>
      </c>
      <c r="M260" s="1">
        <v>0.42</v>
      </c>
      <c r="N260" s="1">
        <f>(Occurrence!B$3-D260)^2</f>
        <v>7.2900000000000006E-2</v>
      </c>
      <c r="O260" s="1">
        <f>(Occurrence!C$3-E260)^2</f>
        <v>8.4099999999999994E-2</v>
      </c>
      <c r="P260" s="1">
        <f>(Occurrence!D$3-F260)^2</f>
        <v>9.6100000000000033E-2</v>
      </c>
      <c r="Q260" s="1">
        <f>(Occurrence!E$3-G260)^2</f>
        <v>8.4100000000000022E-2</v>
      </c>
      <c r="R260" s="1">
        <f>(Occurrence!F$3-H260)^2</f>
        <v>1.6000000000000001E-3</v>
      </c>
      <c r="S260" s="1">
        <f>(Occurrence!G$3-I260)^2</f>
        <v>0.33639999999999998</v>
      </c>
      <c r="T260" s="1">
        <f>(Occurrence!H$3-J260)^2</f>
        <v>0.46239999999999992</v>
      </c>
      <c r="U260" s="1">
        <f>(Occurrence!I$3-K260)^2</f>
        <v>0.10239999999999996</v>
      </c>
      <c r="V260" s="1">
        <f>(Occurrence!J$3-L260)^2</f>
        <v>0.11560000000000002</v>
      </c>
      <c r="W260" s="1">
        <f>(Occurrence!K$3-M260)^2</f>
        <v>0.33640000000000009</v>
      </c>
      <c r="X260" s="1">
        <f t="shared" si="49"/>
        <v>1.6919999999999999</v>
      </c>
      <c r="Z260" s="1">
        <f t="shared" si="50"/>
        <v>0</v>
      </c>
      <c r="AA260" s="1">
        <f t="shared" si="51"/>
        <v>0</v>
      </c>
      <c r="AB260" s="1">
        <f t="shared" si="52"/>
        <v>1</v>
      </c>
      <c r="AC260" s="1">
        <f t="shared" si="53"/>
        <v>1</v>
      </c>
      <c r="AD260" s="1">
        <f t="shared" si="54"/>
        <v>0</v>
      </c>
      <c r="AE260" s="1">
        <f t="shared" si="55"/>
        <v>1</v>
      </c>
      <c r="AF260" s="1">
        <f t="shared" si="56"/>
        <v>0</v>
      </c>
      <c r="AG260" s="1">
        <f t="shared" si="57"/>
        <v>1</v>
      </c>
      <c r="AH260" s="1">
        <f t="shared" si="58"/>
        <v>0</v>
      </c>
      <c r="AI260" s="1">
        <f t="shared" si="59"/>
        <v>0</v>
      </c>
      <c r="AJ260" s="1">
        <f>SUMXMY2(Z260:AI260, Occurrence!B$3:K$3)</f>
        <v>3</v>
      </c>
      <c r="AK260" s="1">
        <f t="shared" si="60"/>
        <v>7</v>
      </c>
    </row>
    <row r="261" spans="1:37">
      <c r="A261" s="1">
        <v>260</v>
      </c>
      <c r="B261" s="1">
        <v>4252259</v>
      </c>
      <c r="C261" s="6">
        <v>810</v>
      </c>
      <c r="D261" s="1">
        <v>6.6E-3</v>
      </c>
      <c r="E261" s="1">
        <v>2.2000000000000001E-3</v>
      </c>
      <c r="F261" s="1">
        <v>0.99339999999999995</v>
      </c>
      <c r="G261" s="1">
        <v>0.99780000000000002</v>
      </c>
      <c r="H261" s="1">
        <v>4.4000000000000003E-3</v>
      </c>
      <c r="I261" s="1">
        <v>0.64</v>
      </c>
      <c r="J261" s="1">
        <v>0.1</v>
      </c>
      <c r="K261" s="1">
        <v>0.99</v>
      </c>
      <c r="L261" s="1">
        <v>0.99</v>
      </c>
      <c r="M261" s="1">
        <v>0.95</v>
      </c>
      <c r="N261" s="1">
        <f>(Occurrence!B$3-D261)^2</f>
        <v>4.3559999999999996E-5</v>
      </c>
      <c r="O261" s="1">
        <f>(Occurrence!C$3-E261)^2</f>
        <v>4.8400000000000002E-6</v>
      </c>
      <c r="P261" s="1">
        <f>(Occurrence!D$3-F261)^2</f>
        <v>4.356000000000066E-5</v>
      </c>
      <c r="Q261" s="1">
        <f>(Occurrence!E$3-G261)^2</f>
        <v>4.8399999999999113E-6</v>
      </c>
      <c r="R261" s="1">
        <f>(Occurrence!F$3-H261)^2</f>
        <v>1.9360000000000001E-5</v>
      </c>
      <c r="S261" s="1">
        <f>(Occurrence!G$3-I261)^2</f>
        <v>0.40960000000000002</v>
      </c>
      <c r="T261" s="1">
        <f>(Occurrence!H$3-J261)^2</f>
        <v>0.81</v>
      </c>
      <c r="U261" s="1">
        <f>(Occurrence!I$3-K261)^2</f>
        <v>1.0000000000000018E-4</v>
      </c>
      <c r="V261" s="1">
        <f>(Occurrence!J$3-L261)^2</f>
        <v>0.98009999999999997</v>
      </c>
      <c r="W261" s="1">
        <f>(Occurrence!K$3-M261)^2</f>
        <v>2.5000000000000044E-3</v>
      </c>
      <c r="X261" s="1">
        <f t="shared" si="49"/>
        <v>2.2024161599999998</v>
      </c>
      <c r="Z261" s="1">
        <f t="shared" si="50"/>
        <v>0</v>
      </c>
      <c r="AA261" s="1">
        <f t="shared" si="51"/>
        <v>0</v>
      </c>
      <c r="AB261" s="1">
        <f t="shared" si="52"/>
        <v>1</v>
      </c>
      <c r="AC261" s="1">
        <f t="shared" si="53"/>
        <v>1</v>
      </c>
      <c r="AD261" s="1">
        <f t="shared" si="54"/>
        <v>0</v>
      </c>
      <c r="AE261" s="1">
        <f t="shared" si="55"/>
        <v>1</v>
      </c>
      <c r="AF261" s="1">
        <f t="shared" si="56"/>
        <v>0</v>
      </c>
      <c r="AG261" s="1">
        <f t="shared" si="57"/>
        <v>1</v>
      </c>
      <c r="AH261" s="1">
        <f t="shared" si="58"/>
        <v>1</v>
      </c>
      <c r="AI261" s="1">
        <f t="shared" si="59"/>
        <v>1</v>
      </c>
      <c r="AJ261" s="1">
        <f>SUMXMY2(Z261:AI261, Occurrence!B$3:K$3)</f>
        <v>3</v>
      </c>
      <c r="AK261" s="1">
        <f t="shared" si="60"/>
        <v>7</v>
      </c>
    </row>
    <row r="262" spans="1:37">
      <c r="A262" s="1">
        <v>261</v>
      </c>
      <c r="B262" s="1">
        <v>4252260</v>
      </c>
      <c r="C262" s="6">
        <v>810</v>
      </c>
      <c r="D262" s="1">
        <v>0.27260000000000001</v>
      </c>
      <c r="E262" s="1">
        <v>0.3518</v>
      </c>
      <c r="F262" s="1">
        <v>0.50009999999999999</v>
      </c>
      <c r="G262" s="1">
        <v>0.6028</v>
      </c>
      <c r="H262" s="1">
        <v>0.77270000000000005</v>
      </c>
      <c r="I262" s="1">
        <v>0.20119999999999999</v>
      </c>
      <c r="J262" s="1">
        <v>0.48209999999999997</v>
      </c>
      <c r="K262" s="1">
        <v>0.85209999999999997</v>
      </c>
      <c r="L262" s="1">
        <v>0.2112</v>
      </c>
      <c r="M262" s="1">
        <v>0.34520000000000001</v>
      </c>
      <c r="N262" s="1">
        <f>(Occurrence!B$3-D262)^2</f>
        <v>7.4310760000000003E-2</v>
      </c>
      <c r="O262" s="1">
        <f>(Occurrence!C$3-E262)^2</f>
        <v>0.12376324</v>
      </c>
      <c r="P262" s="1">
        <f>(Occurrence!D$3-F262)^2</f>
        <v>0.24990001000000001</v>
      </c>
      <c r="Q262" s="1">
        <f>(Occurrence!E$3-G262)^2</f>
        <v>0.15776783999999999</v>
      </c>
      <c r="R262" s="1">
        <f>(Occurrence!F$3-H262)^2</f>
        <v>0.59706529000000008</v>
      </c>
      <c r="S262" s="1">
        <f>(Occurrence!G$3-I262)^2</f>
        <v>4.0481439999999994E-2</v>
      </c>
      <c r="T262" s="1">
        <f>(Occurrence!H$3-J262)^2</f>
        <v>0.26822041000000002</v>
      </c>
      <c r="U262" s="1">
        <f>(Occurrence!I$3-K262)^2</f>
        <v>2.1874410000000011E-2</v>
      </c>
      <c r="V262" s="1">
        <f>(Occurrence!J$3-L262)^2</f>
        <v>4.4605439999999996E-2</v>
      </c>
      <c r="W262" s="1">
        <f>(Occurrence!K$3-M262)^2</f>
        <v>0.42876304000000004</v>
      </c>
      <c r="X262" s="1">
        <f t="shared" si="49"/>
        <v>2.0067518799999999</v>
      </c>
      <c r="Z262" s="1">
        <f t="shared" si="50"/>
        <v>0</v>
      </c>
      <c r="AA262" s="1">
        <f t="shared" si="51"/>
        <v>0</v>
      </c>
      <c r="AB262" s="1">
        <f t="shared" si="52"/>
        <v>1</v>
      </c>
      <c r="AC262" s="1">
        <f t="shared" si="53"/>
        <v>1</v>
      </c>
      <c r="AD262" s="1">
        <f t="shared" si="54"/>
        <v>1</v>
      </c>
      <c r="AE262" s="1">
        <f t="shared" si="55"/>
        <v>0</v>
      </c>
      <c r="AF262" s="1">
        <f t="shared" si="56"/>
        <v>0</v>
      </c>
      <c r="AG262" s="1">
        <f t="shared" si="57"/>
        <v>1</v>
      </c>
      <c r="AH262" s="1">
        <f t="shared" si="58"/>
        <v>0</v>
      </c>
      <c r="AI262" s="1">
        <f t="shared" si="59"/>
        <v>0</v>
      </c>
      <c r="AJ262" s="1">
        <f>SUMXMY2(Z262:AI262, Occurrence!B$3:K$3)</f>
        <v>3</v>
      </c>
      <c r="AK262" s="1">
        <f t="shared" si="60"/>
        <v>7</v>
      </c>
    </row>
    <row r="263" spans="1:37">
      <c r="A263" s="1">
        <v>262</v>
      </c>
      <c r="B263" s="1">
        <v>4252261</v>
      </c>
      <c r="C263" s="6">
        <v>810</v>
      </c>
      <c r="D263" s="1">
        <v>0.247</v>
      </c>
      <c r="E263" s="1">
        <v>0.27360000000000001</v>
      </c>
      <c r="F263" s="1">
        <v>0.68410000000000004</v>
      </c>
      <c r="G263" s="1">
        <v>0.70979999999999999</v>
      </c>
      <c r="H263" s="1">
        <v>6.8900000000000003E-2</v>
      </c>
      <c r="I263" s="1">
        <v>0.15</v>
      </c>
      <c r="J263" s="1">
        <v>0.23</v>
      </c>
      <c r="K263" s="1">
        <v>0.95</v>
      </c>
      <c r="L263" s="1">
        <v>0.5</v>
      </c>
      <c r="M263" s="1">
        <v>0.83</v>
      </c>
      <c r="N263" s="1">
        <f>(Occurrence!B$3-D263)^2</f>
        <v>6.1009000000000001E-2</v>
      </c>
      <c r="O263" s="1">
        <f>(Occurrence!C$3-E263)^2</f>
        <v>7.485696E-2</v>
      </c>
      <c r="P263" s="1">
        <f>(Occurrence!D$3-F263)^2</f>
        <v>9.9792809999999968E-2</v>
      </c>
      <c r="Q263" s="1">
        <f>(Occurrence!E$3-G263)^2</f>
        <v>8.4216040000000006E-2</v>
      </c>
      <c r="R263" s="1">
        <f>(Occurrence!F$3-H263)^2</f>
        <v>4.74721E-3</v>
      </c>
      <c r="S263" s="1">
        <f>(Occurrence!G$3-I263)^2</f>
        <v>2.2499999999999999E-2</v>
      </c>
      <c r="T263" s="1">
        <f>(Occurrence!H$3-J263)^2</f>
        <v>0.59289999999999998</v>
      </c>
      <c r="U263" s="1">
        <f>(Occurrence!I$3-K263)^2</f>
        <v>2.5000000000000044E-3</v>
      </c>
      <c r="V263" s="1">
        <f>(Occurrence!J$3-L263)^2</f>
        <v>0.25</v>
      </c>
      <c r="W263" s="1">
        <f>(Occurrence!K$3-M263)^2</f>
        <v>2.8900000000000012E-2</v>
      </c>
      <c r="X263" s="1">
        <f t="shared" si="49"/>
        <v>1.2214220200000001</v>
      </c>
      <c r="Z263" s="1">
        <f t="shared" si="50"/>
        <v>0</v>
      </c>
      <c r="AA263" s="1">
        <f t="shared" si="51"/>
        <v>0</v>
      </c>
      <c r="AB263" s="1">
        <f t="shared" si="52"/>
        <v>1</v>
      </c>
      <c r="AC263" s="1">
        <f t="shared" si="53"/>
        <v>1</v>
      </c>
      <c r="AD263" s="1">
        <f t="shared" si="54"/>
        <v>0</v>
      </c>
      <c r="AE263" s="1">
        <f t="shared" si="55"/>
        <v>0</v>
      </c>
      <c r="AF263" s="1">
        <f t="shared" si="56"/>
        <v>0</v>
      </c>
      <c r="AG263" s="1">
        <f t="shared" si="57"/>
        <v>1</v>
      </c>
      <c r="AH263" s="1">
        <f t="shared" si="58"/>
        <v>1</v>
      </c>
      <c r="AI263" s="1">
        <f t="shared" si="59"/>
        <v>1</v>
      </c>
      <c r="AJ263" s="1">
        <f>SUMXMY2(Z263:AI263, Occurrence!B$3:K$3)</f>
        <v>2</v>
      </c>
      <c r="AK263" s="1">
        <f t="shared" si="60"/>
        <v>8</v>
      </c>
    </row>
    <row r="264" spans="1:37">
      <c r="A264" s="1">
        <v>263</v>
      </c>
      <c r="B264" s="1">
        <v>4252262</v>
      </c>
      <c r="C264" s="6">
        <v>810</v>
      </c>
      <c r="D264" s="1">
        <v>5.0000000000000001E-3</v>
      </c>
      <c r="E264" s="1">
        <v>0.2</v>
      </c>
      <c r="F264" s="1">
        <v>0.95</v>
      </c>
      <c r="G264" s="1">
        <v>0.75</v>
      </c>
      <c r="H264" s="1">
        <v>0.2</v>
      </c>
      <c r="I264" s="1">
        <v>0.04</v>
      </c>
      <c r="J264" s="1">
        <v>0.9</v>
      </c>
      <c r="K264" s="1">
        <v>0.8</v>
      </c>
      <c r="L264" s="1">
        <v>0.35</v>
      </c>
      <c r="M264" s="1">
        <v>0.55000000000000004</v>
      </c>
      <c r="N264" s="1">
        <f>(Occurrence!B$3-D264)^2</f>
        <v>2.5000000000000001E-5</v>
      </c>
      <c r="O264" s="1">
        <f>(Occurrence!C$3-E264)^2</f>
        <v>4.0000000000000008E-2</v>
      </c>
      <c r="P264" s="1">
        <f>(Occurrence!D$3-F264)^2</f>
        <v>2.5000000000000044E-3</v>
      </c>
      <c r="Q264" s="1">
        <f>(Occurrence!E$3-G264)^2</f>
        <v>6.25E-2</v>
      </c>
      <c r="R264" s="1">
        <f>(Occurrence!F$3-H264)^2</f>
        <v>4.0000000000000008E-2</v>
      </c>
      <c r="S264" s="1">
        <f>(Occurrence!G$3-I264)^2</f>
        <v>1.6000000000000001E-3</v>
      </c>
      <c r="T264" s="1">
        <f>(Occurrence!H$3-J264)^2</f>
        <v>9.999999999999995E-3</v>
      </c>
      <c r="U264" s="1">
        <f>(Occurrence!I$3-K264)^2</f>
        <v>3.999999999999998E-2</v>
      </c>
      <c r="V264" s="1">
        <f>(Occurrence!J$3-L264)^2</f>
        <v>0.12249999999999998</v>
      </c>
      <c r="W264" s="1">
        <f>(Occurrence!K$3-M264)^2</f>
        <v>0.20249999999999996</v>
      </c>
      <c r="X264" s="1">
        <f t="shared" si="49"/>
        <v>0.52162500000000001</v>
      </c>
      <c r="Z264" s="1">
        <f t="shared" si="50"/>
        <v>0</v>
      </c>
      <c r="AA264" s="1">
        <f t="shared" si="51"/>
        <v>0</v>
      </c>
      <c r="AB264" s="1">
        <f t="shared" si="52"/>
        <v>1</v>
      </c>
      <c r="AC264" s="1">
        <f t="shared" si="53"/>
        <v>1</v>
      </c>
      <c r="AD264" s="1">
        <f t="shared" si="54"/>
        <v>0</v>
      </c>
      <c r="AE264" s="1">
        <f t="shared" si="55"/>
        <v>0</v>
      </c>
      <c r="AF264" s="1">
        <f t="shared" si="56"/>
        <v>1</v>
      </c>
      <c r="AG264" s="1">
        <f t="shared" si="57"/>
        <v>1</v>
      </c>
      <c r="AH264" s="1">
        <f t="shared" si="58"/>
        <v>0</v>
      </c>
      <c r="AI264" s="1">
        <f t="shared" si="59"/>
        <v>1</v>
      </c>
      <c r="AJ264" s="1">
        <f>SUMXMY2(Z264:AI264, Occurrence!B$3:K$3)</f>
        <v>0</v>
      </c>
      <c r="AK264" s="1">
        <f t="shared" si="60"/>
        <v>10</v>
      </c>
    </row>
    <row r="265" spans="1:37">
      <c r="A265" s="1">
        <v>264</v>
      </c>
      <c r="B265" s="1">
        <v>4252263</v>
      </c>
      <c r="C265" s="6">
        <v>810</v>
      </c>
      <c r="D265" s="1">
        <v>0.2</v>
      </c>
      <c r="E265" s="1">
        <v>0.1</v>
      </c>
      <c r="F265" s="1">
        <v>0.6</v>
      </c>
      <c r="G265" s="1">
        <v>0.1</v>
      </c>
      <c r="H265" s="1">
        <v>0.4</v>
      </c>
      <c r="I265" s="1">
        <v>0.4</v>
      </c>
      <c r="J265" s="1">
        <v>0.3</v>
      </c>
      <c r="K265" s="1">
        <v>0.7</v>
      </c>
      <c r="L265" s="1">
        <v>0.6</v>
      </c>
      <c r="M265" s="1">
        <v>0.7</v>
      </c>
      <c r="N265" s="1">
        <f>(Occurrence!B$3-D265)^2</f>
        <v>4.0000000000000008E-2</v>
      </c>
      <c r="O265" s="1">
        <f>(Occurrence!C$3-E265)^2</f>
        <v>1.0000000000000002E-2</v>
      </c>
      <c r="P265" s="1">
        <f>(Occurrence!D$3-F265)^2</f>
        <v>0.16000000000000003</v>
      </c>
      <c r="Q265" s="1">
        <f>(Occurrence!E$3-G265)^2</f>
        <v>0.81</v>
      </c>
      <c r="R265" s="1">
        <f>(Occurrence!F$3-H265)^2</f>
        <v>0.16000000000000003</v>
      </c>
      <c r="S265" s="1">
        <f>(Occurrence!G$3-I265)^2</f>
        <v>0.16000000000000003</v>
      </c>
      <c r="T265" s="1">
        <f>(Occurrence!H$3-J265)^2</f>
        <v>0.48999999999999994</v>
      </c>
      <c r="U265" s="1">
        <f>(Occurrence!I$3-K265)^2</f>
        <v>9.0000000000000024E-2</v>
      </c>
      <c r="V265" s="1">
        <f>(Occurrence!J$3-L265)^2</f>
        <v>0.36</v>
      </c>
      <c r="W265" s="1">
        <f>(Occurrence!K$3-M265)^2</f>
        <v>9.0000000000000024E-2</v>
      </c>
      <c r="X265" s="1">
        <f t="shared" si="49"/>
        <v>2.37</v>
      </c>
      <c r="Z265" s="1">
        <f t="shared" si="50"/>
        <v>0</v>
      </c>
      <c r="AA265" s="1">
        <f t="shared" si="51"/>
        <v>0</v>
      </c>
      <c r="AB265" s="1">
        <f t="shared" si="52"/>
        <v>1</v>
      </c>
      <c r="AC265" s="1">
        <f t="shared" si="53"/>
        <v>0</v>
      </c>
      <c r="AD265" s="1">
        <f t="shared" si="54"/>
        <v>0</v>
      </c>
      <c r="AE265" s="1">
        <f t="shared" si="55"/>
        <v>0</v>
      </c>
      <c r="AF265" s="1">
        <f t="shared" si="56"/>
        <v>0</v>
      </c>
      <c r="AG265" s="1">
        <f t="shared" si="57"/>
        <v>1</v>
      </c>
      <c r="AH265" s="1">
        <f t="shared" si="58"/>
        <v>1</v>
      </c>
      <c r="AI265" s="1">
        <f t="shared" si="59"/>
        <v>1</v>
      </c>
      <c r="AJ265" s="1">
        <f>SUMXMY2(Z265:AI265, Occurrence!B$3:K$3)</f>
        <v>3</v>
      </c>
      <c r="AK265" s="1">
        <f t="shared" si="60"/>
        <v>7</v>
      </c>
    </row>
    <row r="266" spans="1:37">
      <c r="A266" s="1">
        <v>265</v>
      </c>
      <c r="B266" s="1">
        <v>4252264</v>
      </c>
      <c r="C266" s="6">
        <v>810</v>
      </c>
      <c r="D266" s="1">
        <v>0.13</v>
      </c>
      <c r="E266" s="1">
        <v>0.87</v>
      </c>
      <c r="F266" s="1">
        <v>0.25</v>
      </c>
      <c r="G266" s="1">
        <v>0.75</v>
      </c>
      <c r="H266" s="1">
        <v>0.69</v>
      </c>
      <c r="I266" s="1">
        <v>0.47</v>
      </c>
      <c r="J266" s="1">
        <v>0.63</v>
      </c>
      <c r="K266" s="1">
        <v>0.41</v>
      </c>
      <c r="L266" s="1">
        <v>0.43</v>
      </c>
      <c r="M266" s="1">
        <v>0.52</v>
      </c>
      <c r="N266" s="1">
        <f>(Occurrence!B$3-D266)^2</f>
        <v>1.6900000000000002E-2</v>
      </c>
      <c r="O266" s="1">
        <f>(Occurrence!C$3-E266)^2</f>
        <v>0.75690000000000002</v>
      </c>
      <c r="P266" s="1">
        <f>(Occurrence!D$3-F266)^2</f>
        <v>0.5625</v>
      </c>
      <c r="Q266" s="1">
        <f>(Occurrence!E$3-G266)^2</f>
        <v>6.25E-2</v>
      </c>
      <c r="R266" s="1">
        <f>(Occurrence!F$3-H266)^2</f>
        <v>0.47609999999999991</v>
      </c>
      <c r="S266" s="1">
        <f>(Occurrence!G$3-I266)^2</f>
        <v>0.22089999999999999</v>
      </c>
      <c r="T266" s="1">
        <f>(Occurrence!H$3-J266)^2</f>
        <v>0.13689999999999999</v>
      </c>
      <c r="U266" s="1">
        <f>(Occurrence!I$3-K266)^2</f>
        <v>0.34810000000000008</v>
      </c>
      <c r="V266" s="1">
        <f>(Occurrence!J$3-L266)^2</f>
        <v>0.18489999999999998</v>
      </c>
      <c r="W266" s="1">
        <f>(Occurrence!K$3-M266)^2</f>
        <v>0.23039999999999999</v>
      </c>
      <c r="X266" s="1">
        <f t="shared" si="49"/>
        <v>2.9960999999999998</v>
      </c>
      <c r="Z266" s="1">
        <f t="shared" si="50"/>
        <v>0</v>
      </c>
      <c r="AA266" s="1">
        <f t="shared" si="51"/>
        <v>1</v>
      </c>
      <c r="AB266" s="1">
        <f t="shared" si="52"/>
        <v>0</v>
      </c>
      <c r="AC266" s="1">
        <f t="shared" si="53"/>
        <v>1</v>
      </c>
      <c r="AD266" s="1">
        <f t="shared" si="54"/>
        <v>1</v>
      </c>
      <c r="AE266" s="1">
        <f t="shared" si="55"/>
        <v>0</v>
      </c>
      <c r="AF266" s="1">
        <f t="shared" si="56"/>
        <v>1</v>
      </c>
      <c r="AG266" s="1">
        <f t="shared" si="57"/>
        <v>0</v>
      </c>
      <c r="AH266" s="1">
        <f t="shared" si="58"/>
        <v>0</v>
      </c>
      <c r="AI266" s="1">
        <f t="shared" si="59"/>
        <v>1</v>
      </c>
      <c r="AJ266" s="1">
        <f>SUMXMY2(Z266:AI266, Occurrence!B$3:K$3)</f>
        <v>4</v>
      </c>
      <c r="AK266" s="1">
        <f t="shared" si="60"/>
        <v>6</v>
      </c>
    </row>
    <row r="267" spans="1:37">
      <c r="A267" s="1">
        <v>266</v>
      </c>
      <c r="B267" s="1">
        <v>4252265</v>
      </c>
      <c r="C267" s="6">
        <v>810</v>
      </c>
      <c r="D267" s="1">
        <v>0.24690000000000001</v>
      </c>
      <c r="E267" s="1">
        <v>0.27360000000000001</v>
      </c>
      <c r="F267" s="1">
        <v>0.68410000000000004</v>
      </c>
      <c r="G267" s="1">
        <v>0.70979999999999999</v>
      </c>
      <c r="H267" s="1">
        <v>6.8900000000000003E-2</v>
      </c>
      <c r="I267" s="1">
        <v>0.56340000000000001</v>
      </c>
      <c r="J267" s="1">
        <v>0.73419999999999996</v>
      </c>
      <c r="K267" s="1">
        <v>0.22509999999999999</v>
      </c>
      <c r="L267" s="1">
        <v>0.14369999999999999</v>
      </c>
      <c r="M267" s="1">
        <v>0.43819999999999998</v>
      </c>
      <c r="N267" s="1">
        <f>(Occurrence!B$3-D267)^2</f>
        <v>6.0959610000000004E-2</v>
      </c>
      <c r="O267" s="1">
        <f>(Occurrence!C$3-E267)^2</f>
        <v>7.485696E-2</v>
      </c>
      <c r="P267" s="1">
        <f>(Occurrence!D$3-F267)^2</f>
        <v>9.9792809999999968E-2</v>
      </c>
      <c r="Q267" s="1">
        <f>(Occurrence!E$3-G267)^2</f>
        <v>8.4216040000000006E-2</v>
      </c>
      <c r="R267" s="1">
        <f>(Occurrence!F$3-H267)^2</f>
        <v>4.74721E-3</v>
      </c>
      <c r="S267" s="1">
        <f>(Occurrence!G$3-I267)^2</f>
        <v>0.31741955999999999</v>
      </c>
      <c r="T267" s="1">
        <f>(Occurrence!H$3-J267)^2</f>
        <v>7.0649640000000014E-2</v>
      </c>
      <c r="U267" s="1">
        <f>(Occurrence!I$3-K267)^2</f>
        <v>0.60047001</v>
      </c>
      <c r="V267" s="1">
        <f>(Occurrence!J$3-L267)^2</f>
        <v>2.0649689999999998E-2</v>
      </c>
      <c r="W267" s="1">
        <f>(Occurrence!K$3-M267)^2</f>
        <v>0.31561924000000008</v>
      </c>
      <c r="X267" s="1">
        <f t="shared" si="49"/>
        <v>1.6493807700000001</v>
      </c>
      <c r="Z267" s="1">
        <f t="shared" si="50"/>
        <v>0</v>
      </c>
      <c r="AA267" s="1">
        <f t="shared" si="51"/>
        <v>0</v>
      </c>
      <c r="AB267" s="1">
        <f t="shared" si="52"/>
        <v>1</v>
      </c>
      <c r="AC267" s="1">
        <f t="shared" si="53"/>
        <v>1</v>
      </c>
      <c r="AD267" s="1">
        <f t="shared" si="54"/>
        <v>0</v>
      </c>
      <c r="AE267" s="1">
        <f t="shared" si="55"/>
        <v>1</v>
      </c>
      <c r="AF267" s="1">
        <f t="shared" si="56"/>
        <v>1</v>
      </c>
      <c r="AG267" s="1">
        <f t="shared" si="57"/>
        <v>0</v>
      </c>
      <c r="AH267" s="1">
        <f t="shared" si="58"/>
        <v>0</v>
      </c>
      <c r="AI267" s="1">
        <f t="shared" si="59"/>
        <v>0</v>
      </c>
      <c r="AJ267" s="1">
        <f>SUMXMY2(Z267:AI267, Occurrence!B$3:K$3)</f>
        <v>3</v>
      </c>
      <c r="AK267" s="1">
        <f t="shared" si="60"/>
        <v>7</v>
      </c>
    </row>
    <row r="268" spans="1:37">
      <c r="A268" s="1">
        <v>267</v>
      </c>
      <c r="B268" s="1">
        <v>4252266</v>
      </c>
      <c r="C268" s="6">
        <v>811</v>
      </c>
      <c r="D268" s="1">
        <v>0</v>
      </c>
      <c r="E268" s="1">
        <v>0</v>
      </c>
      <c r="F268" s="1">
        <v>1</v>
      </c>
      <c r="G268" s="1">
        <v>1</v>
      </c>
      <c r="H268" s="1">
        <v>1</v>
      </c>
      <c r="I268" s="1">
        <v>1</v>
      </c>
      <c r="J268" s="1">
        <v>0</v>
      </c>
      <c r="K268" s="1">
        <v>0</v>
      </c>
      <c r="L268" s="1">
        <v>0</v>
      </c>
      <c r="M268" s="1">
        <v>1</v>
      </c>
      <c r="N268" s="1">
        <f>(Occurrence!B$3-D268)^2</f>
        <v>0</v>
      </c>
      <c r="O268" s="1">
        <f>(Occurrence!C$3-E268)^2</f>
        <v>0</v>
      </c>
      <c r="P268" s="1">
        <f>(Occurrence!D$3-F268)^2</f>
        <v>0</v>
      </c>
      <c r="Q268" s="1">
        <f>(Occurrence!E$3-G268)^2</f>
        <v>0</v>
      </c>
      <c r="R268" s="1">
        <f>(Occurrence!F$3-H268)^2</f>
        <v>1</v>
      </c>
      <c r="S268" s="1">
        <f>(Occurrence!G$3-I268)^2</f>
        <v>1</v>
      </c>
      <c r="T268" s="1">
        <f>(Occurrence!H$3-J268)^2</f>
        <v>1</v>
      </c>
      <c r="U268" s="1">
        <f>(Occurrence!I$3-K268)^2</f>
        <v>1</v>
      </c>
      <c r="V268" s="1">
        <f>(Occurrence!J$3-L268)^2</f>
        <v>0</v>
      </c>
      <c r="W268" s="1">
        <f>(Occurrence!K$3-M268)^2</f>
        <v>0</v>
      </c>
      <c r="X268" s="1">
        <f t="shared" si="49"/>
        <v>4</v>
      </c>
      <c r="Z268" s="1">
        <f t="shared" si="50"/>
        <v>0</v>
      </c>
      <c r="AA268" s="1">
        <f t="shared" si="51"/>
        <v>0</v>
      </c>
      <c r="AB268" s="1">
        <f t="shared" si="52"/>
        <v>1</v>
      </c>
      <c r="AC268" s="1">
        <f t="shared" si="53"/>
        <v>1</v>
      </c>
      <c r="AD268" s="1">
        <f t="shared" si="54"/>
        <v>1</v>
      </c>
      <c r="AE268" s="1">
        <f t="shared" si="55"/>
        <v>1</v>
      </c>
      <c r="AF268" s="1">
        <f t="shared" si="56"/>
        <v>0</v>
      </c>
      <c r="AG268" s="1">
        <f t="shared" si="57"/>
        <v>0</v>
      </c>
      <c r="AH268" s="1">
        <f t="shared" si="58"/>
        <v>0</v>
      </c>
      <c r="AI268" s="1">
        <f t="shared" si="59"/>
        <v>1</v>
      </c>
      <c r="AJ268" s="1">
        <f>SUMXMY2(Z268:AI268, Occurrence!B$3:K$3)</f>
        <v>4</v>
      </c>
      <c r="AK268" s="1">
        <f t="shared" si="60"/>
        <v>6</v>
      </c>
    </row>
    <row r="269" spans="1:37">
      <c r="A269" s="1">
        <v>268</v>
      </c>
      <c r="B269" s="1">
        <v>4252267</v>
      </c>
      <c r="C269" s="6">
        <v>811</v>
      </c>
      <c r="D269" s="1">
        <v>0.37</v>
      </c>
      <c r="E269" s="1">
        <v>0.13</v>
      </c>
      <c r="F269" s="1">
        <v>0.68</v>
      </c>
      <c r="G269" s="1">
        <v>0.89</v>
      </c>
      <c r="H269" s="1">
        <v>0.02</v>
      </c>
      <c r="I269" s="1">
        <v>0.61</v>
      </c>
      <c r="J269" s="1">
        <v>0.28000000000000003</v>
      </c>
      <c r="K269" s="1">
        <v>3.1E-2</v>
      </c>
      <c r="L269" s="1">
        <v>2.3E-3</v>
      </c>
      <c r="M269" s="1">
        <v>0.35066721000000001</v>
      </c>
      <c r="N269" s="1">
        <f>(Occurrence!B$3-D269)^2</f>
        <v>0.13689999999999999</v>
      </c>
      <c r="O269" s="1">
        <f>(Occurrence!C$3-E269)^2</f>
        <v>1.6900000000000002E-2</v>
      </c>
      <c r="P269" s="1">
        <f>(Occurrence!D$3-F269)^2</f>
        <v>0.10239999999999996</v>
      </c>
      <c r="Q269" s="1">
        <f>(Occurrence!E$3-G269)^2</f>
        <v>1.2099999999999998E-2</v>
      </c>
      <c r="R269" s="1">
        <f>(Occurrence!F$3-H269)^2</f>
        <v>4.0000000000000002E-4</v>
      </c>
      <c r="S269" s="1">
        <f>(Occurrence!G$3-I269)^2</f>
        <v>0.37209999999999999</v>
      </c>
      <c r="T269" s="1">
        <f>(Occurrence!H$3-J269)^2</f>
        <v>0.51839999999999997</v>
      </c>
      <c r="U269" s="1">
        <f>(Occurrence!I$3-K269)^2</f>
        <v>0.93896099999999993</v>
      </c>
      <c r="V269" s="1">
        <f>(Occurrence!J$3-L269)^2</f>
        <v>5.2900000000000002E-6</v>
      </c>
      <c r="W269" s="1">
        <f>(Occurrence!K$3-M269)^2</f>
        <v>0.42163307216918411</v>
      </c>
      <c r="X269" s="1">
        <f t="shared" si="49"/>
        <v>2.5197993621691843</v>
      </c>
      <c r="Z269" s="1">
        <f t="shared" si="50"/>
        <v>0</v>
      </c>
      <c r="AA269" s="1">
        <f t="shared" si="51"/>
        <v>0</v>
      </c>
      <c r="AB269" s="1">
        <f t="shared" si="52"/>
        <v>1</v>
      </c>
      <c r="AC269" s="1">
        <f t="shared" si="53"/>
        <v>1</v>
      </c>
      <c r="AD269" s="1">
        <f t="shared" si="54"/>
        <v>0</v>
      </c>
      <c r="AE269" s="1">
        <f t="shared" si="55"/>
        <v>1</v>
      </c>
      <c r="AF269" s="1">
        <f t="shared" si="56"/>
        <v>0</v>
      </c>
      <c r="AG269" s="1">
        <f t="shared" si="57"/>
        <v>0</v>
      </c>
      <c r="AH269" s="1">
        <f t="shared" si="58"/>
        <v>0</v>
      </c>
      <c r="AI269" s="1">
        <f t="shared" si="59"/>
        <v>0</v>
      </c>
      <c r="AJ269" s="1">
        <f>SUMXMY2(Z269:AI269, Occurrence!B$3:K$3)</f>
        <v>4</v>
      </c>
      <c r="AK269" s="1">
        <f t="shared" si="60"/>
        <v>6</v>
      </c>
    </row>
    <row r="270" spans="1:37">
      <c r="A270" s="1">
        <v>269</v>
      </c>
      <c r="B270" s="1">
        <v>4252268</v>
      </c>
      <c r="C270" s="6">
        <v>811</v>
      </c>
      <c r="D270" s="1">
        <v>1</v>
      </c>
      <c r="E270" s="1">
        <v>0</v>
      </c>
      <c r="F270" s="1">
        <v>0</v>
      </c>
      <c r="G270" s="1">
        <v>1</v>
      </c>
      <c r="H270" s="1">
        <v>0</v>
      </c>
      <c r="I270" s="1">
        <v>1</v>
      </c>
      <c r="J270" s="1">
        <v>0</v>
      </c>
      <c r="K270" s="1">
        <v>1</v>
      </c>
      <c r="L270" s="1">
        <v>0</v>
      </c>
      <c r="M270" s="1">
        <v>1</v>
      </c>
      <c r="N270" s="1">
        <f>(Occurrence!B$3-D270)^2</f>
        <v>1</v>
      </c>
      <c r="O270" s="1">
        <f>(Occurrence!C$3-E270)^2</f>
        <v>0</v>
      </c>
      <c r="P270" s="1">
        <f>(Occurrence!D$3-F270)^2</f>
        <v>1</v>
      </c>
      <c r="Q270" s="1">
        <f>(Occurrence!E$3-G270)^2</f>
        <v>0</v>
      </c>
      <c r="R270" s="1">
        <f>(Occurrence!F$3-H270)^2</f>
        <v>0</v>
      </c>
      <c r="S270" s="1">
        <f>(Occurrence!G$3-I270)^2</f>
        <v>1</v>
      </c>
      <c r="T270" s="1">
        <f>(Occurrence!H$3-J270)^2</f>
        <v>1</v>
      </c>
      <c r="U270" s="1">
        <f>(Occurrence!I$3-K270)^2</f>
        <v>0</v>
      </c>
      <c r="V270" s="1">
        <f>(Occurrence!J$3-L270)^2</f>
        <v>0</v>
      </c>
      <c r="W270" s="1">
        <f>(Occurrence!K$3-M270)^2</f>
        <v>0</v>
      </c>
      <c r="X270" s="1">
        <f t="shared" si="49"/>
        <v>4</v>
      </c>
      <c r="Z270" s="1">
        <f t="shared" si="50"/>
        <v>1</v>
      </c>
      <c r="AA270" s="1">
        <f t="shared" si="51"/>
        <v>0</v>
      </c>
      <c r="AB270" s="1">
        <f t="shared" si="52"/>
        <v>0</v>
      </c>
      <c r="AC270" s="1">
        <f t="shared" si="53"/>
        <v>1</v>
      </c>
      <c r="AD270" s="1">
        <f t="shared" si="54"/>
        <v>0</v>
      </c>
      <c r="AE270" s="1">
        <f t="shared" si="55"/>
        <v>1</v>
      </c>
      <c r="AF270" s="1">
        <f t="shared" si="56"/>
        <v>0</v>
      </c>
      <c r="AG270" s="1">
        <f t="shared" si="57"/>
        <v>1</v>
      </c>
      <c r="AH270" s="1">
        <f t="shared" si="58"/>
        <v>0</v>
      </c>
      <c r="AI270" s="1">
        <f t="shared" si="59"/>
        <v>1</v>
      </c>
      <c r="AJ270" s="1">
        <f>SUMXMY2(Z270:AI270, Occurrence!B$3:K$3)</f>
        <v>4</v>
      </c>
      <c r="AK270" s="1">
        <f t="shared" si="60"/>
        <v>6</v>
      </c>
    </row>
    <row r="271" spans="1:37">
      <c r="A271" s="1">
        <v>270</v>
      </c>
      <c r="B271" s="1">
        <v>4252269</v>
      </c>
      <c r="C271" s="6">
        <v>811</v>
      </c>
      <c r="D271" s="1">
        <v>0.49990000000000001</v>
      </c>
      <c r="E271" s="1">
        <v>0.3972</v>
      </c>
      <c r="F271" s="1">
        <v>0.50009999999999999</v>
      </c>
      <c r="G271" s="1">
        <v>0.6028</v>
      </c>
      <c r="H271" s="1">
        <v>0.77270000000000005</v>
      </c>
      <c r="I271" s="1">
        <v>0.5</v>
      </c>
      <c r="J271" s="1">
        <v>0.5</v>
      </c>
      <c r="K271" s="1">
        <v>0.5</v>
      </c>
      <c r="L271" s="1">
        <v>0.5</v>
      </c>
      <c r="M271" s="1">
        <v>0.5</v>
      </c>
      <c r="N271" s="1">
        <f>(Occurrence!B$3-D271)^2</f>
        <v>0.24990001000000001</v>
      </c>
      <c r="O271" s="1">
        <f>(Occurrence!C$3-E271)^2</f>
        <v>0.15776783999999999</v>
      </c>
      <c r="P271" s="1">
        <f>(Occurrence!D$3-F271)^2</f>
        <v>0.24990001000000001</v>
      </c>
      <c r="Q271" s="1">
        <f>(Occurrence!E$3-G271)^2</f>
        <v>0.15776783999999999</v>
      </c>
      <c r="R271" s="1">
        <f>(Occurrence!F$3-H271)^2</f>
        <v>0.59706529000000008</v>
      </c>
      <c r="S271" s="1">
        <f>(Occurrence!G$3-I271)^2</f>
        <v>0.25</v>
      </c>
      <c r="T271" s="1">
        <f>(Occurrence!H$3-J271)^2</f>
        <v>0.25</v>
      </c>
      <c r="U271" s="1">
        <f>(Occurrence!I$3-K271)^2</f>
        <v>0.25</v>
      </c>
      <c r="V271" s="1">
        <f>(Occurrence!J$3-L271)^2</f>
        <v>0.25</v>
      </c>
      <c r="W271" s="1">
        <f>(Occurrence!K$3-M271)^2</f>
        <v>0.25</v>
      </c>
      <c r="X271" s="1">
        <f t="shared" si="49"/>
        <v>2.6624009900000001</v>
      </c>
      <c r="Z271" s="1">
        <f t="shared" si="50"/>
        <v>0</v>
      </c>
      <c r="AA271" s="1">
        <f t="shared" si="51"/>
        <v>0</v>
      </c>
      <c r="AB271" s="1">
        <f t="shared" si="52"/>
        <v>1</v>
      </c>
      <c r="AC271" s="1">
        <f t="shared" si="53"/>
        <v>1</v>
      </c>
      <c r="AD271" s="1">
        <f t="shared" si="54"/>
        <v>1</v>
      </c>
      <c r="AE271" s="1">
        <f t="shared" si="55"/>
        <v>1</v>
      </c>
      <c r="AF271" s="1">
        <f t="shared" si="56"/>
        <v>1</v>
      </c>
      <c r="AG271" s="1">
        <f t="shared" si="57"/>
        <v>1</v>
      </c>
      <c r="AH271" s="1">
        <f t="shared" si="58"/>
        <v>1</v>
      </c>
      <c r="AI271" s="1">
        <f t="shared" si="59"/>
        <v>1</v>
      </c>
      <c r="AJ271" s="1">
        <f>SUMXMY2(Z271:AI271, Occurrence!B$3:K$3)</f>
        <v>3</v>
      </c>
      <c r="AK271" s="1">
        <f t="shared" si="60"/>
        <v>7</v>
      </c>
    </row>
    <row r="272" spans="1:37">
      <c r="A272" s="1">
        <v>271</v>
      </c>
      <c r="B272" s="1">
        <v>4252270</v>
      </c>
      <c r="C272" s="6">
        <v>811</v>
      </c>
      <c r="D272" s="1">
        <v>0.2</v>
      </c>
      <c r="E272" s="1">
        <v>0.85</v>
      </c>
      <c r="F272" s="1">
        <v>0.15</v>
      </c>
      <c r="G272" s="1">
        <v>0.8</v>
      </c>
      <c r="H272" s="1">
        <v>1</v>
      </c>
      <c r="I272" s="1">
        <v>0.73</v>
      </c>
      <c r="J272" s="1">
        <v>0.22</v>
      </c>
      <c r="K272" s="1">
        <v>0.2</v>
      </c>
      <c r="L272" s="1">
        <v>1</v>
      </c>
      <c r="M272" s="1">
        <v>0.6</v>
      </c>
      <c r="N272" s="1">
        <f>(Occurrence!B$3-D272)^2</f>
        <v>4.0000000000000008E-2</v>
      </c>
      <c r="O272" s="1">
        <f>(Occurrence!C$3-E272)^2</f>
        <v>0.72249999999999992</v>
      </c>
      <c r="P272" s="1">
        <f>(Occurrence!D$3-F272)^2</f>
        <v>0.72249999999999992</v>
      </c>
      <c r="Q272" s="1">
        <f>(Occurrence!E$3-G272)^2</f>
        <v>3.999999999999998E-2</v>
      </c>
      <c r="R272" s="1">
        <f>(Occurrence!F$3-H272)^2</f>
        <v>1</v>
      </c>
      <c r="S272" s="1">
        <f>(Occurrence!G$3-I272)^2</f>
        <v>0.53289999999999993</v>
      </c>
      <c r="T272" s="1">
        <f>(Occurrence!H$3-J272)^2</f>
        <v>0.60840000000000005</v>
      </c>
      <c r="U272" s="1">
        <f>(Occurrence!I$3-K272)^2</f>
        <v>0.64000000000000012</v>
      </c>
      <c r="V272" s="1">
        <f>(Occurrence!J$3-L272)^2</f>
        <v>1</v>
      </c>
      <c r="W272" s="1">
        <f>(Occurrence!K$3-M272)^2</f>
        <v>0.16000000000000003</v>
      </c>
      <c r="X272" s="1">
        <f t="shared" si="49"/>
        <v>5.4663000000000004</v>
      </c>
      <c r="Z272" s="1">
        <f t="shared" si="50"/>
        <v>0</v>
      </c>
      <c r="AA272" s="1">
        <f t="shared" si="51"/>
        <v>1</v>
      </c>
      <c r="AB272" s="1">
        <f t="shared" si="52"/>
        <v>0</v>
      </c>
      <c r="AC272" s="1">
        <f t="shared" si="53"/>
        <v>1</v>
      </c>
      <c r="AD272" s="1">
        <f t="shared" si="54"/>
        <v>1</v>
      </c>
      <c r="AE272" s="1">
        <f t="shared" si="55"/>
        <v>1</v>
      </c>
      <c r="AF272" s="1">
        <f t="shared" si="56"/>
        <v>0</v>
      </c>
      <c r="AG272" s="1">
        <f t="shared" si="57"/>
        <v>0</v>
      </c>
      <c r="AH272" s="1">
        <f t="shared" si="58"/>
        <v>1</v>
      </c>
      <c r="AI272" s="1">
        <f t="shared" si="59"/>
        <v>1</v>
      </c>
      <c r="AJ272" s="1">
        <f>SUMXMY2(Z272:AI272, Occurrence!B$3:K$3)</f>
        <v>7</v>
      </c>
      <c r="AK272" s="1">
        <f t="shared" si="60"/>
        <v>3</v>
      </c>
    </row>
    <row r="273" spans="1:37">
      <c r="A273" s="1">
        <v>272</v>
      </c>
      <c r="B273" s="1">
        <v>4252271</v>
      </c>
      <c r="C273" s="6">
        <v>811</v>
      </c>
      <c r="D273" s="1">
        <v>0.246</v>
      </c>
      <c r="E273" s="1">
        <v>0.14599999999999999</v>
      </c>
      <c r="F273" s="1">
        <v>0.34599999999999997</v>
      </c>
      <c r="G273" s="1">
        <v>0.14799999999999999</v>
      </c>
      <c r="H273" s="1">
        <v>0.90600000000000003</v>
      </c>
      <c r="I273" s="1">
        <v>0.50600000000000001</v>
      </c>
      <c r="J273" s="1">
        <v>0.76500000000000001</v>
      </c>
      <c r="K273" s="1">
        <v>0.94599999999999995</v>
      </c>
      <c r="L273" s="1">
        <v>0.878</v>
      </c>
      <c r="M273" s="1">
        <v>0.84499999999999997</v>
      </c>
      <c r="N273" s="1">
        <f>(Occurrence!B$3-D273)^2</f>
        <v>6.0516E-2</v>
      </c>
      <c r="O273" s="1">
        <f>(Occurrence!C$3-E273)^2</f>
        <v>2.1315999999999998E-2</v>
      </c>
      <c r="P273" s="1">
        <f>(Occurrence!D$3-F273)^2</f>
        <v>0.42771600000000004</v>
      </c>
      <c r="Q273" s="1">
        <f>(Occurrence!E$3-G273)^2</f>
        <v>0.72590399999999999</v>
      </c>
      <c r="R273" s="1">
        <f>(Occurrence!F$3-H273)^2</f>
        <v>0.82083600000000001</v>
      </c>
      <c r="S273" s="1">
        <f>(Occurrence!G$3-I273)^2</f>
        <v>0.25603599999999999</v>
      </c>
      <c r="T273" s="1">
        <f>(Occurrence!H$3-J273)^2</f>
        <v>5.5224999999999996E-2</v>
      </c>
      <c r="U273" s="1">
        <f>(Occurrence!I$3-K273)^2</f>
        <v>2.9160000000000054E-3</v>
      </c>
      <c r="V273" s="1">
        <f>(Occurrence!J$3-L273)^2</f>
        <v>0.77088400000000001</v>
      </c>
      <c r="W273" s="1">
        <f>(Occurrence!K$3-M273)^2</f>
        <v>2.4025000000000008E-2</v>
      </c>
      <c r="X273" s="1">
        <f t="shared" si="49"/>
        <v>3.1653739999999999</v>
      </c>
      <c r="Z273" s="1">
        <f t="shared" si="50"/>
        <v>0</v>
      </c>
      <c r="AA273" s="1">
        <f t="shared" si="51"/>
        <v>0</v>
      </c>
      <c r="AB273" s="1">
        <f t="shared" si="52"/>
        <v>0</v>
      </c>
      <c r="AC273" s="1">
        <f t="shared" si="53"/>
        <v>0</v>
      </c>
      <c r="AD273" s="1">
        <f t="shared" si="54"/>
        <v>1</v>
      </c>
      <c r="AE273" s="1">
        <f t="shared" si="55"/>
        <v>1</v>
      </c>
      <c r="AF273" s="1">
        <f t="shared" si="56"/>
        <v>1</v>
      </c>
      <c r="AG273" s="1">
        <f t="shared" si="57"/>
        <v>1</v>
      </c>
      <c r="AH273" s="1">
        <f t="shared" si="58"/>
        <v>1</v>
      </c>
      <c r="AI273" s="1">
        <f t="shared" si="59"/>
        <v>1</v>
      </c>
      <c r="AJ273" s="1">
        <f>SUMXMY2(Z273:AI273, Occurrence!B$3:K$3)</f>
        <v>5</v>
      </c>
      <c r="AK273" s="1">
        <f t="shared" si="60"/>
        <v>5</v>
      </c>
    </row>
    <row r="274" spans="1:37">
      <c r="A274" s="1">
        <v>273</v>
      </c>
      <c r="B274" s="1">
        <v>4252272</v>
      </c>
      <c r="C274" s="6">
        <v>811</v>
      </c>
      <c r="D274" s="1">
        <v>0.1244</v>
      </c>
      <c r="E274" s="1">
        <v>3.0000000000000001E-3</v>
      </c>
      <c r="F274" s="1">
        <v>0.78680000000000005</v>
      </c>
      <c r="G274" s="1">
        <v>0.98980000000000001</v>
      </c>
      <c r="H274" s="1">
        <v>0.78559999999999997</v>
      </c>
      <c r="I274" s="1">
        <v>0.79059999999999997</v>
      </c>
      <c r="J274" s="1">
        <v>0.23449999999999999</v>
      </c>
      <c r="K274" s="1">
        <v>0.2354</v>
      </c>
      <c r="L274" s="1">
        <v>0.45639999999999997</v>
      </c>
      <c r="M274" s="1">
        <v>0.67889999999999995</v>
      </c>
      <c r="N274" s="1">
        <f>(Occurrence!B$3-D274)^2</f>
        <v>1.5475359999999999E-2</v>
      </c>
      <c r="O274" s="1">
        <f>(Occurrence!C$3-E274)^2</f>
        <v>9.0000000000000002E-6</v>
      </c>
      <c r="P274" s="1">
        <f>(Occurrence!D$3-F274)^2</f>
        <v>4.5454239999999979E-2</v>
      </c>
      <c r="Q274" s="1">
        <f>(Occurrence!E$3-G274)^2</f>
        <v>1.0403999999999973E-4</v>
      </c>
      <c r="R274" s="1">
        <f>(Occurrence!F$3-H274)^2</f>
        <v>0.61716735999999994</v>
      </c>
      <c r="S274" s="1">
        <f>(Occurrence!G$3-I274)^2</f>
        <v>0.62504835999999997</v>
      </c>
      <c r="T274" s="1">
        <f>(Occurrence!H$3-J274)^2</f>
        <v>0.58599025000000016</v>
      </c>
      <c r="U274" s="1">
        <f>(Occurrence!I$3-K274)^2</f>
        <v>0.58461315999999997</v>
      </c>
      <c r="V274" s="1">
        <f>(Occurrence!J$3-L274)^2</f>
        <v>0.20830095999999998</v>
      </c>
      <c r="W274" s="1">
        <f>(Occurrence!K$3-M274)^2</f>
        <v>0.10310521000000003</v>
      </c>
      <c r="X274" s="1">
        <f t="shared" si="49"/>
        <v>2.7852679399999998</v>
      </c>
      <c r="Z274" s="1">
        <f t="shared" si="50"/>
        <v>0</v>
      </c>
      <c r="AA274" s="1">
        <f t="shared" si="51"/>
        <v>0</v>
      </c>
      <c r="AB274" s="1">
        <f t="shared" si="52"/>
        <v>1</v>
      </c>
      <c r="AC274" s="1">
        <f t="shared" si="53"/>
        <v>1</v>
      </c>
      <c r="AD274" s="1">
        <f t="shared" si="54"/>
        <v>1</v>
      </c>
      <c r="AE274" s="1">
        <f t="shared" si="55"/>
        <v>1</v>
      </c>
      <c r="AF274" s="1">
        <f t="shared" si="56"/>
        <v>0</v>
      </c>
      <c r="AG274" s="1">
        <f t="shared" si="57"/>
        <v>0</v>
      </c>
      <c r="AH274" s="1">
        <f t="shared" si="58"/>
        <v>0</v>
      </c>
      <c r="AI274" s="1">
        <f t="shared" si="59"/>
        <v>1</v>
      </c>
      <c r="AJ274" s="1">
        <f>SUMXMY2(Z274:AI274, Occurrence!B$3:K$3)</f>
        <v>4</v>
      </c>
      <c r="AK274" s="1">
        <f t="shared" si="60"/>
        <v>6</v>
      </c>
    </row>
    <row r="275" spans="1:37">
      <c r="A275" s="1">
        <v>274</v>
      </c>
      <c r="B275" s="1">
        <v>4252273</v>
      </c>
      <c r="C275" s="6">
        <v>811</v>
      </c>
      <c r="D275" s="1">
        <v>0.3357</v>
      </c>
      <c r="E275" s="1">
        <v>0.3392</v>
      </c>
      <c r="F275" s="1">
        <v>0.2467</v>
      </c>
      <c r="G275" s="1">
        <v>0.37459999999999999</v>
      </c>
      <c r="H275" s="1">
        <v>0.6472</v>
      </c>
      <c r="I275" s="1">
        <v>0.79020000000000001</v>
      </c>
      <c r="J275" s="1">
        <v>0</v>
      </c>
      <c r="K275" s="1">
        <v>0.25030000000000002</v>
      </c>
      <c r="L275" s="1">
        <v>0.89449999999999996</v>
      </c>
      <c r="M275" s="1">
        <v>0.53890000000000005</v>
      </c>
      <c r="N275" s="1">
        <f>(Occurrence!B$3-D275)^2</f>
        <v>0.11269448999999999</v>
      </c>
      <c r="O275" s="1">
        <f>(Occurrence!C$3-E275)^2</f>
        <v>0.11505664</v>
      </c>
      <c r="P275" s="1">
        <f>(Occurrence!D$3-F275)^2</f>
        <v>0.56746089</v>
      </c>
      <c r="Q275" s="1">
        <f>(Occurrence!E$3-G275)^2</f>
        <v>0.39112515999999997</v>
      </c>
      <c r="R275" s="1">
        <f>(Occurrence!F$3-H275)^2</f>
        <v>0.41886783999999999</v>
      </c>
      <c r="S275" s="1">
        <f>(Occurrence!G$3-I275)^2</f>
        <v>0.62441604000000006</v>
      </c>
      <c r="T275" s="1">
        <f>(Occurrence!H$3-J275)^2</f>
        <v>1</v>
      </c>
      <c r="U275" s="1">
        <f>(Occurrence!I$3-K275)^2</f>
        <v>0.56205009000000006</v>
      </c>
      <c r="V275" s="1">
        <f>(Occurrence!J$3-L275)^2</f>
        <v>0.80013024999999993</v>
      </c>
      <c r="W275" s="1">
        <f>(Occurrence!K$3-M275)^2</f>
        <v>0.21261320999999997</v>
      </c>
      <c r="X275" s="1">
        <f t="shared" si="49"/>
        <v>4.8044146100000003</v>
      </c>
      <c r="Z275" s="1">
        <f t="shared" si="50"/>
        <v>0</v>
      </c>
      <c r="AA275" s="1">
        <f t="shared" si="51"/>
        <v>0</v>
      </c>
      <c r="AB275" s="1">
        <f t="shared" si="52"/>
        <v>0</v>
      </c>
      <c r="AC275" s="1">
        <f t="shared" si="53"/>
        <v>0</v>
      </c>
      <c r="AD275" s="1">
        <f t="shared" si="54"/>
        <v>1</v>
      </c>
      <c r="AE275" s="1">
        <f t="shared" si="55"/>
        <v>1</v>
      </c>
      <c r="AF275" s="1">
        <f t="shared" si="56"/>
        <v>0</v>
      </c>
      <c r="AG275" s="1">
        <f t="shared" si="57"/>
        <v>0</v>
      </c>
      <c r="AH275" s="1">
        <f t="shared" si="58"/>
        <v>1</v>
      </c>
      <c r="AI275" s="1">
        <f t="shared" si="59"/>
        <v>1</v>
      </c>
      <c r="AJ275" s="1">
        <f>SUMXMY2(Z275:AI275, Occurrence!B$3:K$3)</f>
        <v>7</v>
      </c>
      <c r="AK275" s="1">
        <f t="shared" si="60"/>
        <v>3</v>
      </c>
    </row>
    <row r="276" spans="1:37">
      <c r="A276" s="1">
        <v>275</v>
      </c>
      <c r="B276" s="1">
        <v>4252274</v>
      </c>
      <c r="C276" s="6">
        <v>811</v>
      </c>
      <c r="D276" s="1">
        <v>0.12</v>
      </c>
      <c r="E276" s="1">
        <v>0.4</v>
      </c>
      <c r="F276" s="1">
        <v>0.4</v>
      </c>
      <c r="G276" s="1">
        <v>0.8</v>
      </c>
      <c r="H276" s="1">
        <v>0.95</v>
      </c>
      <c r="I276" s="1">
        <v>0.5</v>
      </c>
      <c r="J276" s="1">
        <v>0.3</v>
      </c>
      <c r="K276" s="1">
        <v>0.3</v>
      </c>
      <c r="L276" s="1">
        <v>0.51</v>
      </c>
      <c r="M276" s="1">
        <v>0.1234</v>
      </c>
      <c r="N276" s="1">
        <f>(Occurrence!B$3-D276)^2</f>
        <v>1.44E-2</v>
      </c>
      <c r="O276" s="1">
        <f>(Occurrence!C$3-E276)^2</f>
        <v>0.16000000000000003</v>
      </c>
      <c r="P276" s="1">
        <f>(Occurrence!D$3-F276)^2</f>
        <v>0.36</v>
      </c>
      <c r="Q276" s="1">
        <f>(Occurrence!E$3-G276)^2</f>
        <v>3.999999999999998E-2</v>
      </c>
      <c r="R276" s="1">
        <f>(Occurrence!F$3-H276)^2</f>
        <v>0.90249999999999997</v>
      </c>
      <c r="S276" s="1">
        <f>(Occurrence!G$3-I276)^2</f>
        <v>0.25</v>
      </c>
      <c r="T276" s="1">
        <f>(Occurrence!H$3-J276)^2</f>
        <v>0.48999999999999994</v>
      </c>
      <c r="U276" s="1">
        <f>(Occurrence!I$3-K276)^2</f>
        <v>0.48999999999999994</v>
      </c>
      <c r="V276" s="1">
        <f>(Occurrence!J$3-L276)^2</f>
        <v>0.2601</v>
      </c>
      <c r="W276" s="1">
        <f>(Occurrence!K$3-M276)^2</f>
        <v>0.76842756000000012</v>
      </c>
      <c r="X276" s="1">
        <f t="shared" si="49"/>
        <v>3.7354275599999998</v>
      </c>
      <c r="Z276" s="1">
        <f t="shared" si="50"/>
        <v>0</v>
      </c>
      <c r="AA276" s="1">
        <f t="shared" si="51"/>
        <v>0</v>
      </c>
      <c r="AB276" s="1">
        <f t="shared" si="52"/>
        <v>0</v>
      </c>
      <c r="AC276" s="1">
        <f t="shared" si="53"/>
        <v>1</v>
      </c>
      <c r="AD276" s="1">
        <f t="shared" si="54"/>
        <v>1</v>
      </c>
      <c r="AE276" s="1">
        <f t="shared" si="55"/>
        <v>1</v>
      </c>
      <c r="AF276" s="1">
        <f t="shared" si="56"/>
        <v>0</v>
      </c>
      <c r="AG276" s="1">
        <f t="shared" si="57"/>
        <v>0</v>
      </c>
      <c r="AH276" s="1">
        <f t="shared" si="58"/>
        <v>1</v>
      </c>
      <c r="AI276" s="1">
        <f t="shared" si="59"/>
        <v>0</v>
      </c>
      <c r="AJ276" s="1">
        <f>SUMXMY2(Z276:AI276, Occurrence!B$3:K$3)</f>
        <v>7</v>
      </c>
      <c r="AK276" s="1">
        <f t="shared" si="60"/>
        <v>3</v>
      </c>
    </row>
    <row r="277" spans="1:37">
      <c r="A277" s="1">
        <v>276</v>
      </c>
      <c r="B277" s="1">
        <v>4252275</v>
      </c>
      <c r="C277" s="6">
        <v>811</v>
      </c>
      <c r="D277" s="1">
        <v>3.6900000000000002E-2</v>
      </c>
      <c r="E277" s="1">
        <v>0.23369999999999999</v>
      </c>
      <c r="F277" s="1">
        <v>0.37209999999999999</v>
      </c>
      <c r="G277" s="1">
        <v>9.5600000000000004E-2</v>
      </c>
      <c r="H277" s="1">
        <v>0.4637</v>
      </c>
      <c r="I277" s="1">
        <v>0.63819999999999999</v>
      </c>
      <c r="J277" s="1">
        <v>2.5600000000000001E-2</v>
      </c>
      <c r="K277" s="1">
        <v>0.8649</v>
      </c>
      <c r="L277" s="1">
        <v>0.84360000000000002</v>
      </c>
      <c r="M277" s="1">
        <v>4.8300000000000003E-2</v>
      </c>
      <c r="N277" s="1">
        <f>(Occurrence!B$3-D277)^2</f>
        <v>1.3616100000000001E-3</v>
      </c>
      <c r="O277" s="1">
        <f>(Occurrence!C$3-E277)^2</f>
        <v>5.4615689999999995E-2</v>
      </c>
      <c r="P277" s="1">
        <f>(Occurrence!D$3-F277)^2</f>
        <v>0.39425841</v>
      </c>
      <c r="Q277" s="1">
        <f>(Occurrence!E$3-G277)^2</f>
        <v>0.81793936</v>
      </c>
      <c r="R277" s="1">
        <f>(Occurrence!F$3-H277)^2</f>
        <v>0.21501769000000001</v>
      </c>
      <c r="S277" s="1">
        <f>(Occurrence!G$3-I277)^2</f>
        <v>0.40729924000000001</v>
      </c>
      <c r="T277" s="1">
        <f>(Occurrence!H$3-J277)^2</f>
        <v>0.94945536000000008</v>
      </c>
      <c r="U277" s="1">
        <f>(Occurrence!I$3-K277)^2</f>
        <v>1.8252009999999999E-2</v>
      </c>
      <c r="V277" s="1">
        <f>(Occurrence!J$3-L277)^2</f>
        <v>0.71166096000000001</v>
      </c>
      <c r="W277" s="1">
        <f>(Occurrence!K$3-M277)^2</f>
        <v>0.90573289000000001</v>
      </c>
      <c r="X277" s="1">
        <f t="shared" si="49"/>
        <v>4.4755932200000004</v>
      </c>
      <c r="Z277" s="1">
        <f t="shared" si="50"/>
        <v>0</v>
      </c>
      <c r="AA277" s="1">
        <f t="shared" si="51"/>
        <v>0</v>
      </c>
      <c r="AB277" s="1">
        <f t="shared" si="52"/>
        <v>0</v>
      </c>
      <c r="AC277" s="1">
        <f t="shared" si="53"/>
        <v>0</v>
      </c>
      <c r="AD277" s="1">
        <f t="shared" si="54"/>
        <v>0</v>
      </c>
      <c r="AE277" s="1">
        <f t="shared" si="55"/>
        <v>1</v>
      </c>
      <c r="AF277" s="1">
        <f t="shared" si="56"/>
        <v>0</v>
      </c>
      <c r="AG277" s="1">
        <f t="shared" si="57"/>
        <v>1</v>
      </c>
      <c r="AH277" s="1">
        <f t="shared" si="58"/>
        <v>1</v>
      </c>
      <c r="AI277" s="1">
        <f t="shared" si="59"/>
        <v>0</v>
      </c>
      <c r="AJ277" s="1">
        <f>SUMXMY2(Z277:AI277, Occurrence!B$3:K$3)</f>
        <v>6</v>
      </c>
      <c r="AK277" s="1">
        <f t="shared" si="60"/>
        <v>4</v>
      </c>
    </row>
    <row r="278" spans="1:37">
      <c r="A278" s="1">
        <v>277</v>
      </c>
      <c r="B278" s="1">
        <v>4252276</v>
      </c>
      <c r="C278" s="6">
        <v>811</v>
      </c>
      <c r="D278" s="1">
        <v>0.7</v>
      </c>
      <c r="E278" s="1">
        <v>0.1</v>
      </c>
      <c r="F278" s="1">
        <v>0.2</v>
      </c>
      <c r="G278" s="1">
        <v>0.9</v>
      </c>
      <c r="H278" s="1">
        <v>0.15</v>
      </c>
      <c r="I278" s="1">
        <v>0.3</v>
      </c>
      <c r="J278" s="1">
        <v>0.55000000000000004</v>
      </c>
      <c r="K278" s="1">
        <v>0.25</v>
      </c>
      <c r="L278" s="1">
        <v>0.75</v>
      </c>
      <c r="M278" s="1">
        <v>0.8</v>
      </c>
      <c r="N278" s="1">
        <f>(Occurrence!B$3-D278)^2</f>
        <v>0.48999999999999994</v>
      </c>
      <c r="O278" s="1">
        <f>(Occurrence!C$3-E278)^2</f>
        <v>1.0000000000000002E-2</v>
      </c>
      <c r="P278" s="1">
        <f>(Occurrence!D$3-F278)^2</f>
        <v>0.64000000000000012</v>
      </c>
      <c r="Q278" s="1">
        <f>(Occurrence!E$3-G278)^2</f>
        <v>9.999999999999995E-3</v>
      </c>
      <c r="R278" s="1">
        <f>(Occurrence!F$3-H278)^2</f>
        <v>2.2499999999999999E-2</v>
      </c>
      <c r="S278" s="1">
        <f>(Occurrence!G$3-I278)^2</f>
        <v>0.09</v>
      </c>
      <c r="T278" s="1">
        <f>(Occurrence!H$3-J278)^2</f>
        <v>0.20249999999999996</v>
      </c>
      <c r="U278" s="1">
        <f>(Occurrence!I$3-K278)^2</f>
        <v>0.5625</v>
      </c>
      <c r="V278" s="1">
        <f>(Occurrence!J$3-L278)^2</f>
        <v>0.5625</v>
      </c>
      <c r="W278" s="1">
        <f>(Occurrence!K$3-M278)^2</f>
        <v>3.999999999999998E-2</v>
      </c>
      <c r="X278" s="1">
        <f t="shared" si="49"/>
        <v>2.63</v>
      </c>
      <c r="Z278" s="1">
        <f t="shared" si="50"/>
        <v>1</v>
      </c>
      <c r="AA278" s="1">
        <f t="shared" si="51"/>
        <v>0</v>
      </c>
      <c r="AB278" s="1">
        <f t="shared" si="52"/>
        <v>0</v>
      </c>
      <c r="AC278" s="1">
        <f t="shared" si="53"/>
        <v>1</v>
      </c>
      <c r="AD278" s="1">
        <f t="shared" si="54"/>
        <v>0</v>
      </c>
      <c r="AE278" s="1">
        <f t="shared" si="55"/>
        <v>0</v>
      </c>
      <c r="AF278" s="1">
        <f t="shared" si="56"/>
        <v>1</v>
      </c>
      <c r="AG278" s="1">
        <f t="shared" si="57"/>
        <v>0</v>
      </c>
      <c r="AH278" s="1">
        <f t="shared" si="58"/>
        <v>1</v>
      </c>
      <c r="AI278" s="1">
        <f t="shared" si="59"/>
        <v>1</v>
      </c>
      <c r="AJ278" s="1">
        <f>SUMXMY2(Z278:AI278, Occurrence!B$3:K$3)</f>
        <v>4</v>
      </c>
      <c r="AK278" s="1">
        <f t="shared" si="60"/>
        <v>6</v>
      </c>
    </row>
    <row r="279" spans="1:37">
      <c r="A279" s="1">
        <v>278</v>
      </c>
      <c r="B279" s="1">
        <v>4252277</v>
      </c>
      <c r="C279" s="6">
        <v>811</v>
      </c>
      <c r="D279" s="1">
        <v>0.7</v>
      </c>
      <c r="E279" s="1">
        <v>0.3</v>
      </c>
      <c r="F279" s="1">
        <v>0.5</v>
      </c>
      <c r="G279" s="1">
        <v>0.1</v>
      </c>
      <c r="H279" s="1">
        <v>0.6</v>
      </c>
      <c r="I279" s="1">
        <v>0.9</v>
      </c>
      <c r="J279" s="1">
        <v>0.4</v>
      </c>
      <c r="K279" s="1">
        <v>0.3</v>
      </c>
      <c r="L279" s="1">
        <v>0.02</v>
      </c>
      <c r="M279" s="1">
        <v>0.26</v>
      </c>
      <c r="N279" s="1">
        <f>(Occurrence!B$3-D279)^2</f>
        <v>0.48999999999999994</v>
      </c>
      <c r="O279" s="1">
        <f>(Occurrence!C$3-E279)^2</f>
        <v>0.09</v>
      </c>
      <c r="P279" s="1">
        <f>(Occurrence!D$3-F279)^2</f>
        <v>0.25</v>
      </c>
      <c r="Q279" s="1">
        <f>(Occurrence!E$3-G279)^2</f>
        <v>0.81</v>
      </c>
      <c r="R279" s="1">
        <f>(Occurrence!F$3-H279)^2</f>
        <v>0.36</v>
      </c>
      <c r="S279" s="1">
        <f>(Occurrence!G$3-I279)^2</f>
        <v>0.81</v>
      </c>
      <c r="T279" s="1">
        <f>(Occurrence!H$3-J279)^2</f>
        <v>0.36</v>
      </c>
      <c r="U279" s="1">
        <f>(Occurrence!I$3-K279)^2</f>
        <v>0.48999999999999994</v>
      </c>
      <c r="V279" s="1">
        <f>(Occurrence!J$3-L279)^2</f>
        <v>4.0000000000000002E-4</v>
      </c>
      <c r="W279" s="1">
        <f>(Occurrence!K$3-M279)^2</f>
        <v>0.54759999999999998</v>
      </c>
      <c r="X279" s="1">
        <f t="shared" si="49"/>
        <v>4.2079999999999993</v>
      </c>
      <c r="Z279" s="1">
        <f t="shared" si="50"/>
        <v>1</v>
      </c>
      <c r="AA279" s="1">
        <f t="shared" si="51"/>
        <v>0</v>
      </c>
      <c r="AB279" s="1">
        <f t="shared" si="52"/>
        <v>1</v>
      </c>
      <c r="AC279" s="1">
        <f t="shared" si="53"/>
        <v>0</v>
      </c>
      <c r="AD279" s="1">
        <f t="shared" si="54"/>
        <v>1</v>
      </c>
      <c r="AE279" s="1">
        <f t="shared" si="55"/>
        <v>1</v>
      </c>
      <c r="AF279" s="1">
        <f t="shared" si="56"/>
        <v>0</v>
      </c>
      <c r="AG279" s="1">
        <f t="shared" si="57"/>
        <v>0</v>
      </c>
      <c r="AH279" s="1">
        <f t="shared" si="58"/>
        <v>0</v>
      </c>
      <c r="AI279" s="1">
        <f t="shared" si="59"/>
        <v>0</v>
      </c>
      <c r="AJ279" s="1">
        <f>SUMXMY2(Z279:AI279, Occurrence!B$3:K$3)</f>
        <v>7</v>
      </c>
      <c r="AK279" s="1">
        <f t="shared" si="60"/>
        <v>3</v>
      </c>
    </row>
    <row r="280" spans="1:37">
      <c r="A280" s="1">
        <v>279</v>
      </c>
      <c r="B280" s="1">
        <v>4252278</v>
      </c>
      <c r="C280" s="6">
        <v>811</v>
      </c>
      <c r="D280" s="1">
        <v>0.5</v>
      </c>
      <c r="E280" s="1">
        <v>0.2</v>
      </c>
      <c r="F280" s="1">
        <v>0.7</v>
      </c>
      <c r="G280" s="1">
        <v>0.8</v>
      </c>
      <c r="H280" s="1">
        <v>0.9</v>
      </c>
      <c r="I280" s="1">
        <v>0.95</v>
      </c>
      <c r="J280" s="1">
        <v>0.42</v>
      </c>
      <c r="K280" s="1">
        <v>0.69</v>
      </c>
      <c r="L280" s="1">
        <v>0.42</v>
      </c>
      <c r="M280" s="1">
        <v>0.80079999999999996</v>
      </c>
      <c r="N280" s="1">
        <f>(Occurrence!B$3-D280)^2</f>
        <v>0.25</v>
      </c>
      <c r="O280" s="1">
        <f>(Occurrence!C$3-E280)^2</f>
        <v>4.0000000000000008E-2</v>
      </c>
      <c r="P280" s="1">
        <f>(Occurrence!D$3-F280)^2</f>
        <v>9.0000000000000024E-2</v>
      </c>
      <c r="Q280" s="1">
        <f>(Occurrence!E$3-G280)^2</f>
        <v>3.999999999999998E-2</v>
      </c>
      <c r="R280" s="1">
        <f>(Occurrence!F$3-H280)^2</f>
        <v>0.81</v>
      </c>
      <c r="S280" s="1">
        <f>(Occurrence!G$3-I280)^2</f>
        <v>0.90249999999999997</v>
      </c>
      <c r="T280" s="1">
        <f>(Occurrence!H$3-J280)^2</f>
        <v>0.33640000000000009</v>
      </c>
      <c r="U280" s="1">
        <f>(Occurrence!I$3-K280)^2</f>
        <v>9.6100000000000033E-2</v>
      </c>
      <c r="V280" s="1">
        <f>(Occurrence!J$3-L280)^2</f>
        <v>0.17639999999999997</v>
      </c>
      <c r="W280" s="1">
        <f>(Occurrence!K$3-M280)^2</f>
        <v>3.9680640000000017E-2</v>
      </c>
      <c r="X280" s="1">
        <f t="shared" si="49"/>
        <v>2.7810806399999999</v>
      </c>
      <c r="Z280" s="1">
        <f t="shared" si="50"/>
        <v>1</v>
      </c>
      <c r="AA280" s="1">
        <f t="shared" si="51"/>
        <v>0</v>
      </c>
      <c r="AB280" s="1">
        <f t="shared" si="52"/>
        <v>1</v>
      </c>
      <c r="AC280" s="1">
        <f t="shared" si="53"/>
        <v>1</v>
      </c>
      <c r="AD280" s="1">
        <f t="shared" si="54"/>
        <v>1</v>
      </c>
      <c r="AE280" s="1">
        <f t="shared" si="55"/>
        <v>1</v>
      </c>
      <c r="AF280" s="1">
        <f t="shared" si="56"/>
        <v>0</v>
      </c>
      <c r="AG280" s="1">
        <f t="shared" si="57"/>
        <v>1</v>
      </c>
      <c r="AH280" s="1">
        <f t="shared" si="58"/>
        <v>0</v>
      </c>
      <c r="AI280" s="1">
        <f t="shared" si="59"/>
        <v>1</v>
      </c>
      <c r="AJ280" s="1">
        <f>SUMXMY2(Z280:AI280, Occurrence!B$3:K$3)</f>
        <v>4</v>
      </c>
      <c r="AK280" s="1">
        <f t="shared" si="60"/>
        <v>6</v>
      </c>
    </row>
    <row r="281" spans="1:37">
      <c r="A281" s="1">
        <v>280</v>
      </c>
      <c r="B281" s="1">
        <v>4252279</v>
      </c>
      <c r="C281" s="6">
        <v>811</v>
      </c>
      <c r="D281" s="1">
        <v>0.49990000000000001</v>
      </c>
      <c r="E281" s="1">
        <v>0.3972</v>
      </c>
      <c r="F281" s="1">
        <v>0.50009999999999999</v>
      </c>
      <c r="G281" s="1">
        <v>0.60009999999999997</v>
      </c>
      <c r="H281" s="1">
        <v>0.32240000000000002</v>
      </c>
      <c r="I281" s="1">
        <v>0.34320000000000001</v>
      </c>
      <c r="J281" s="1">
        <v>0.47320000000000001</v>
      </c>
      <c r="K281" s="1">
        <v>0.34320000000000001</v>
      </c>
      <c r="L281" s="1">
        <v>0.23430000000000001</v>
      </c>
      <c r="M281" s="1">
        <v>0.25779999999999997</v>
      </c>
      <c r="N281" s="1">
        <f>(Occurrence!B$3-D281)^2</f>
        <v>0.24990001000000001</v>
      </c>
      <c r="O281" s="1">
        <f>(Occurrence!C$3-E281)^2</f>
        <v>0.15776783999999999</v>
      </c>
      <c r="P281" s="1">
        <f>(Occurrence!D$3-F281)^2</f>
        <v>0.24990001000000001</v>
      </c>
      <c r="Q281" s="1">
        <f>(Occurrence!E$3-G281)^2</f>
        <v>0.15992001000000003</v>
      </c>
      <c r="R281" s="1">
        <f>(Occurrence!F$3-H281)^2</f>
        <v>0.10394176000000001</v>
      </c>
      <c r="S281" s="1">
        <f>(Occurrence!G$3-I281)^2</f>
        <v>0.11778624</v>
      </c>
      <c r="T281" s="1">
        <f>(Occurrence!H$3-J281)^2</f>
        <v>0.27751823999999992</v>
      </c>
      <c r="U281" s="1">
        <f>(Occurrence!I$3-K281)^2</f>
        <v>0.43138624000000009</v>
      </c>
      <c r="V281" s="1">
        <f>(Occurrence!J$3-L281)^2</f>
        <v>5.4896490000000006E-2</v>
      </c>
      <c r="W281" s="1">
        <f>(Occurrence!K$3-M281)^2</f>
        <v>0.55086083999999991</v>
      </c>
      <c r="X281" s="1">
        <f t="shared" si="49"/>
        <v>2.3538776800000001</v>
      </c>
      <c r="Z281" s="1">
        <f t="shared" si="50"/>
        <v>0</v>
      </c>
      <c r="AA281" s="1">
        <f t="shared" si="51"/>
        <v>0</v>
      </c>
      <c r="AB281" s="1">
        <f t="shared" si="52"/>
        <v>1</v>
      </c>
      <c r="AC281" s="1">
        <f t="shared" si="53"/>
        <v>1</v>
      </c>
      <c r="AD281" s="1">
        <f t="shared" si="54"/>
        <v>0</v>
      </c>
      <c r="AE281" s="1">
        <f t="shared" si="55"/>
        <v>0</v>
      </c>
      <c r="AF281" s="1">
        <f t="shared" si="56"/>
        <v>0</v>
      </c>
      <c r="AG281" s="1">
        <f t="shared" si="57"/>
        <v>0</v>
      </c>
      <c r="AH281" s="1">
        <f t="shared" si="58"/>
        <v>0</v>
      </c>
      <c r="AI281" s="1">
        <f t="shared" si="59"/>
        <v>0</v>
      </c>
      <c r="AJ281" s="1">
        <f>SUMXMY2(Z281:AI281, Occurrence!B$3:K$3)</f>
        <v>3</v>
      </c>
      <c r="AK281" s="1">
        <f t="shared" si="60"/>
        <v>7</v>
      </c>
    </row>
    <row r="282" spans="1:37">
      <c r="A282" s="1">
        <v>281</v>
      </c>
      <c r="B282" s="1">
        <v>4252280</v>
      </c>
      <c r="C282" s="6">
        <v>811</v>
      </c>
      <c r="D282" s="1">
        <v>0.01</v>
      </c>
      <c r="E282" s="1">
        <v>0.01</v>
      </c>
      <c r="F282" s="1">
        <v>0.95</v>
      </c>
      <c r="G282" s="1">
        <v>0.99</v>
      </c>
      <c r="H282" s="1">
        <v>0.05</v>
      </c>
      <c r="I282" s="1">
        <v>0.06</v>
      </c>
      <c r="J282" s="1">
        <v>7.0000000000000007E-2</v>
      </c>
      <c r="K282" s="1">
        <v>0.9</v>
      </c>
      <c r="L282" s="1">
        <v>0.95</v>
      </c>
      <c r="M282" s="1">
        <v>0.5</v>
      </c>
      <c r="N282" s="1">
        <f>(Occurrence!B$3-D282)^2</f>
        <v>1E-4</v>
      </c>
      <c r="O282" s="1">
        <f>(Occurrence!C$3-E282)^2</f>
        <v>1E-4</v>
      </c>
      <c r="P282" s="1">
        <f>(Occurrence!D$3-F282)^2</f>
        <v>2.5000000000000044E-3</v>
      </c>
      <c r="Q282" s="1">
        <f>(Occurrence!E$3-G282)^2</f>
        <v>1.0000000000000018E-4</v>
      </c>
      <c r="R282" s="1">
        <f>(Occurrence!F$3-H282)^2</f>
        <v>2.5000000000000005E-3</v>
      </c>
      <c r="S282" s="1">
        <f>(Occurrence!G$3-I282)^2</f>
        <v>3.5999999999999999E-3</v>
      </c>
      <c r="T282" s="1">
        <f>(Occurrence!H$3-J282)^2</f>
        <v>0.86489999999999989</v>
      </c>
      <c r="U282" s="1">
        <f>(Occurrence!I$3-K282)^2</f>
        <v>9.999999999999995E-3</v>
      </c>
      <c r="V282" s="1">
        <f>(Occurrence!J$3-L282)^2</f>
        <v>0.90249999999999997</v>
      </c>
      <c r="W282" s="1">
        <f>(Occurrence!K$3-M282)^2</f>
        <v>0.25</v>
      </c>
      <c r="X282" s="1">
        <f t="shared" si="49"/>
        <v>2.0362999999999998</v>
      </c>
      <c r="Z282" s="1">
        <f t="shared" si="50"/>
        <v>0</v>
      </c>
      <c r="AA282" s="1">
        <f t="shared" si="51"/>
        <v>0</v>
      </c>
      <c r="AB282" s="1">
        <f t="shared" si="52"/>
        <v>1</v>
      </c>
      <c r="AC282" s="1">
        <f t="shared" si="53"/>
        <v>1</v>
      </c>
      <c r="AD282" s="1">
        <f t="shared" si="54"/>
        <v>0</v>
      </c>
      <c r="AE282" s="1">
        <f t="shared" si="55"/>
        <v>0</v>
      </c>
      <c r="AF282" s="1">
        <f t="shared" si="56"/>
        <v>0</v>
      </c>
      <c r="AG282" s="1">
        <f t="shared" si="57"/>
        <v>1</v>
      </c>
      <c r="AH282" s="1">
        <f t="shared" si="58"/>
        <v>1</v>
      </c>
      <c r="AI282" s="1">
        <f t="shared" si="59"/>
        <v>1</v>
      </c>
      <c r="AJ282" s="1">
        <f>SUMXMY2(Z282:AI282, Occurrence!B$3:K$3)</f>
        <v>2</v>
      </c>
      <c r="AK282" s="1">
        <f t="shared" si="60"/>
        <v>8</v>
      </c>
    </row>
    <row r="283" spans="1:37">
      <c r="A283" s="1">
        <v>282</v>
      </c>
      <c r="B283" s="1">
        <v>4252281</v>
      </c>
      <c r="C283" s="6">
        <v>811</v>
      </c>
      <c r="D283" s="1">
        <v>0.01</v>
      </c>
      <c r="E283" s="1">
        <v>0.01</v>
      </c>
      <c r="F283" s="1">
        <v>0.99</v>
      </c>
      <c r="G283" s="1">
        <v>0.99</v>
      </c>
      <c r="H283" s="1">
        <v>0.1</v>
      </c>
      <c r="I283" s="1">
        <v>0.02</v>
      </c>
      <c r="J283" s="1">
        <v>0.05</v>
      </c>
      <c r="K283" s="1">
        <v>0.8</v>
      </c>
      <c r="L283" s="1">
        <v>0.7</v>
      </c>
      <c r="M283" s="1">
        <v>0.8</v>
      </c>
      <c r="N283" s="1">
        <f>(Occurrence!B$3-D283)^2</f>
        <v>1E-4</v>
      </c>
      <c r="O283" s="1">
        <f>(Occurrence!C$3-E283)^2</f>
        <v>1E-4</v>
      </c>
      <c r="P283" s="1">
        <f>(Occurrence!D$3-F283)^2</f>
        <v>1.0000000000000018E-4</v>
      </c>
      <c r="Q283" s="1">
        <f>(Occurrence!E$3-G283)^2</f>
        <v>1.0000000000000018E-4</v>
      </c>
      <c r="R283" s="1">
        <f>(Occurrence!F$3-H283)^2</f>
        <v>1.0000000000000002E-2</v>
      </c>
      <c r="S283" s="1">
        <f>(Occurrence!G$3-I283)^2</f>
        <v>4.0000000000000002E-4</v>
      </c>
      <c r="T283" s="1">
        <f>(Occurrence!H$3-J283)^2</f>
        <v>0.90249999999999997</v>
      </c>
      <c r="U283" s="1">
        <f>(Occurrence!I$3-K283)^2</f>
        <v>3.999999999999998E-2</v>
      </c>
      <c r="V283" s="1">
        <f>(Occurrence!J$3-L283)^2</f>
        <v>0.48999999999999994</v>
      </c>
      <c r="W283" s="1">
        <f>(Occurrence!K$3-M283)^2</f>
        <v>3.999999999999998E-2</v>
      </c>
      <c r="X283" s="1">
        <f t="shared" si="49"/>
        <v>1.4833000000000001</v>
      </c>
      <c r="Z283" s="1">
        <f t="shared" si="50"/>
        <v>0</v>
      </c>
      <c r="AA283" s="1">
        <f t="shared" si="51"/>
        <v>0</v>
      </c>
      <c r="AB283" s="1">
        <f t="shared" si="52"/>
        <v>1</v>
      </c>
      <c r="AC283" s="1">
        <f t="shared" si="53"/>
        <v>1</v>
      </c>
      <c r="AD283" s="1">
        <f t="shared" si="54"/>
        <v>0</v>
      </c>
      <c r="AE283" s="1">
        <f t="shared" si="55"/>
        <v>0</v>
      </c>
      <c r="AF283" s="1">
        <f t="shared" si="56"/>
        <v>0</v>
      </c>
      <c r="AG283" s="1">
        <f t="shared" si="57"/>
        <v>1</v>
      </c>
      <c r="AH283" s="1">
        <f t="shared" si="58"/>
        <v>1</v>
      </c>
      <c r="AI283" s="1">
        <f t="shared" si="59"/>
        <v>1</v>
      </c>
      <c r="AJ283" s="1">
        <f>SUMXMY2(Z283:AI283, Occurrence!B$3:K$3)</f>
        <v>2</v>
      </c>
      <c r="AK283" s="1">
        <f t="shared" si="60"/>
        <v>8</v>
      </c>
    </row>
    <row r="284" spans="1:37">
      <c r="A284" s="1">
        <v>283</v>
      </c>
      <c r="B284" s="1">
        <v>4252282</v>
      </c>
      <c r="C284" s="6">
        <v>811</v>
      </c>
      <c r="D284" s="1">
        <v>9.8699999999999996E-2</v>
      </c>
      <c r="E284" s="1">
        <v>0.87670000000000003</v>
      </c>
      <c r="F284" s="1">
        <v>0.83919999999999995</v>
      </c>
      <c r="G284" s="1">
        <v>0.93640000000000001</v>
      </c>
      <c r="H284" s="1">
        <v>0.86750000000000005</v>
      </c>
      <c r="I284" s="1">
        <v>0.98760000000000003</v>
      </c>
      <c r="J284" s="1">
        <v>0.6754</v>
      </c>
      <c r="K284" s="1">
        <v>0.77769999999999995</v>
      </c>
      <c r="L284" s="1">
        <v>0.90090000000000003</v>
      </c>
      <c r="M284" s="1">
        <v>0.98880000000000001</v>
      </c>
      <c r="N284" s="1">
        <f>(Occurrence!B$3-D284)^2</f>
        <v>9.741689999999999E-3</v>
      </c>
      <c r="O284" s="1">
        <f>(Occurrence!C$3-E284)^2</f>
        <v>0.76860289000000004</v>
      </c>
      <c r="P284" s="1">
        <f>(Occurrence!D$3-F284)^2</f>
        <v>2.5856640000000018E-2</v>
      </c>
      <c r="Q284" s="1">
        <f>(Occurrence!E$3-G284)^2</f>
        <v>4.0449599999999985E-3</v>
      </c>
      <c r="R284" s="1">
        <f>(Occurrence!F$3-H284)^2</f>
        <v>0.75255625000000004</v>
      </c>
      <c r="S284" s="1">
        <f>(Occurrence!G$3-I284)^2</f>
        <v>0.97535376000000007</v>
      </c>
      <c r="T284" s="1">
        <f>(Occurrence!H$3-J284)^2</f>
        <v>0.10536516</v>
      </c>
      <c r="U284" s="1">
        <f>(Occurrence!I$3-K284)^2</f>
        <v>4.9417290000000023E-2</v>
      </c>
      <c r="V284" s="1">
        <f>(Occurrence!J$3-L284)^2</f>
        <v>0.81162081000000008</v>
      </c>
      <c r="W284" s="1">
        <f>(Occurrence!K$3-M284)^2</f>
        <v>1.2543999999999972E-4</v>
      </c>
      <c r="X284" s="1">
        <f t="shared" si="49"/>
        <v>3.5026848900000003</v>
      </c>
      <c r="Z284" s="1">
        <f t="shared" si="50"/>
        <v>0</v>
      </c>
      <c r="AA284" s="1">
        <f t="shared" si="51"/>
        <v>1</v>
      </c>
      <c r="AB284" s="1">
        <f t="shared" si="52"/>
        <v>1</v>
      </c>
      <c r="AC284" s="1">
        <f t="shared" si="53"/>
        <v>1</v>
      </c>
      <c r="AD284" s="1">
        <f t="shared" si="54"/>
        <v>1</v>
      </c>
      <c r="AE284" s="1">
        <f t="shared" si="55"/>
        <v>1</v>
      </c>
      <c r="AF284" s="1">
        <f t="shared" si="56"/>
        <v>1</v>
      </c>
      <c r="AG284" s="1">
        <f t="shared" si="57"/>
        <v>1</v>
      </c>
      <c r="AH284" s="1">
        <f t="shared" si="58"/>
        <v>1</v>
      </c>
      <c r="AI284" s="1">
        <f t="shared" si="59"/>
        <v>1</v>
      </c>
      <c r="AJ284" s="1">
        <f>SUMXMY2(Z284:AI284, Occurrence!B$3:K$3)</f>
        <v>4</v>
      </c>
      <c r="AK284" s="1">
        <f t="shared" si="60"/>
        <v>6</v>
      </c>
    </row>
    <row r="285" spans="1:37">
      <c r="A285" s="1">
        <v>284</v>
      </c>
      <c r="B285" s="1">
        <v>4252283</v>
      </c>
      <c r="C285" s="6">
        <v>811</v>
      </c>
      <c r="D285" s="1">
        <v>0.01</v>
      </c>
      <c r="E285" s="1">
        <v>0.99</v>
      </c>
      <c r="F285" s="1">
        <v>0.05</v>
      </c>
      <c r="G285" s="1">
        <v>7.0000000000000007E-2</v>
      </c>
      <c r="H285" s="1">
        <v>0.09</v>
      </c>
      <c r="I285" s="1">
        <v>0.27</v>
      </c>
      <c r="J285" s="1">
        <v>0.95</v>
      </c>
      <c r="K285" s="1">
        <v>0.5</v>
      </c>
      <c r="L285" s="1">
        <v>0.5</v>
      </c>
      <c r="M285" s="1">
        <v>0.4</v>
      </c>
      <c r="N285" s="1">
        <f>(Occurrence!B$3-D285)^2</f>
        <v>1E-4</v>
      </c>
      <c r="O285" s="1">
        <f>(Occurrence!C$3-E285)^2</f>
        <v>0.98009999999999997</v>
      </c>
      <c r="P285" s="1">
        <f>(Occurrence!D$3-F285)^2</f>
        <v>0.90249999999999997</v>
      </c>
      <c r="Q285" s="1">
        <f>(Occurrence!E$3-G285)^2</f>
        <v>0.86489999999999989</v>
      </c>
      <c r="R285" s="1">
        <f>(Occurrence!F$3-H285)^2</f>
        <v>8.0999999999999996E-3</v>
      </c>
      <c r="S285" s="1">
        <f>(Occurrence!G$3-I285)^2</f>
        <v>7.2900000000000006E-2</v>
      </c>
      <c r="T285" s="1">
        <f>(Occurrence!H$3-J285)^2</f>
        <v>2.5000000000000044E-3</v>
      </c>
      <c r="U285" s="1">
        <f>(Occurrence!I$3-K285)^2</f>
        <v>0.25</v>
      </c>
      <c r="V285" s="1">
        <f>(Occurrence!J$3-L285)^2</f>
        <v>0.25</v>
      </c>
      <c r="W285" s="1">
        <f>(Occurrence!K$3-M285)^2</f>
        <v>0.36</v>
      </c>
      <c r="X285" s="1">
        <f t="shared" si="49"/>
        <v>3.6911</v>
      </c>
      <c r="Z285" s="1">
        <f t="shared" si="50"/>
        <v>0</v>
      </c>
      <c r="AA285" s="1">
        <f t="shared" si="51"/>
        <v>1</v>
      </c>
      <c r="AB285" s="1">
        <f t="shared" si="52"/>
        <v>0</v>
      </c>
      <c r="AC285" s="1">
        <f t="shared" si="53"/>
        <v>0</v>
      </c>
      <c r="AD285" s="1">
        <f t="shared" si="54"/>
        <v>0</v>
      </c>
      <c r="AE285" s="1">
        <f t="shared" si="55"/>
        <v>0</v>
      </c>
      <c r="AF285" s="1">
        <f t="shared" si="56"/>
        <v>1</v>
      </c>
      <c r="AG285" s="1">
        <f t="shared" si="57"/>
        <v>1</v>
      </c>
      <c r="AH285" s="1">
        <f t="shared" si="58"/>
        <v>1</v>
      </c>
      <c r="AI285" s="1">
        <f t="shared" si="59"/>
        <v>0</v>
      </c>
      <c r="AJ285" s="1">
        <f>SUMXMY2(Z285:AI285, Occurrence!B$3:K$3)</f>
        <v>5</v>
      </c>
      <c r="AK285" s="1">
        <f t="shared" si="60"/>
        <v>5</v>
      </c>
    </row>
    <row r="286" spans="1:37">
      <c r="A286" s="1">
        <v>285</v>
      </c>
      <c r="B286" s="1">
        <v>4252284</v>
      </c>
      <c r="C286" s="6">
        <v>811</v>
      </c>
      <c r="D286" s="1">
        <v>0.05</v>
      </c>
      <c r="E286" s="1">
        <v>0.01</v>
      </c>
      <c r="F286" s="1">
        <v>0.95</v>
      </c>
      <c r="G286" s="1">
        <v>0.99</v>
      </c>
      <c r="H286" s="1">
        <v>0</v>
      </c>
      <c r="I286" s="1">
        <v>1</v>
      </c>
      <c r="J286" s="1">
        <v>1</v>
      </c>
      <c r="K286" s="1">
        <v>1</v>
      </c>
      <c r="L286" s="1">
        <v>0</v>
      </c>
      <c r="M286" s="1">
        <v>1</v>
      </c>
      <c r="N286" s="1">
        <f>(Occurrence!B$3-D286)^2</f>
        <v>2.5000000000000005E-3</v>
      </c>
      <c r="O286" s="1">
        <f>(Occurrence!C$3-E286)^2</f>
        <v>1E-4</v>
      </c>
      <c r="P286" s="1">
        <f>(Occurrence!D$3-F286)^2</f>
        <v>2.5000000000000044E-3</v>
      </c>
      <c r="Q286" s="1">
        <f>(Occurrence!E$3-G286)^2</f>
        <v>1.0000000000000018E-4</v>
      </c>
      <c r="R286" s="1">
        <f>(Occurrence!F$3-H286)^2</f>
        <v>0</v>
      </c>
      <c r="S286" s="1">
        <f>(Occurrence!G$3-I286)^2</f>
        <v>1</v>
      </c>
      <c r="T286" s="1">
        <f>(Occurrence!H$3-J286)^2</f>
        <v>0</v>
      </c>
      <c r="U286" s="1">
        <f>(Occurrence!I$3-K286)^2</f>
        <v>0</v>
      </c>
      <c r="V286" s="1">
        <f>(Occurrence!J$3-L286)^2</f>
        <v>0</v>
      </c>
      <c r="W286" s="1">
        <f>(Occurrence!K$3-M286)^2</f>
        <v>0</v>
      </c>
      <c r="X286" s="1">
        <f t="shared" si="49"/>
        <v>1.0052000000000001</v>
      </c>
      <c r="Z286" s="1">
        <f t="shared" si="50"/>
        <v>0</v>
      </c>
      <c r="AA286" s="1">
        <f t="shared" si="51"/>
        <v>0</v>
      </c>
      <c r="AB286" s="1">
        <f t="shared" si="52"/>
        <v>1</v>
      </c>
      <c r="AC286" s="1">
        <f t="shared" si="53"/>
        <v>1</v>
      </c>
      <c r="AD286" s="1">
        <f t="shared" si="54"/>
        <v>0</v>
      </c>
      <c r="AE286" s="1">
        <f t="shared" si="55"/>
        <v>1</v>
      </c>
      <c r="AF286" s="1">
        <f t="shared" si="56"/>
        <v>1</v>
      </c>
      <c r="AG286" s="1">
        <f t="shared" si="57"/>
        <v>1</v>
      </c>
      <c r="AH286" s="1">
        <f t="shared" si="58"/>
        <v>0</v>
      </c>
      <c r="AI286" s="1">
        <f t="shared" si="59"/>
        <v>1</v>
      </c>
      <c r="AJ286" s="1">
        <f>SUMXMY2(Z286:AI286, Occurrence!B$3:K$3)</f>
        <v>1</v>
      </c>
      <c r="AK286" s="1">
        <f t="shared" si="60"/>
        <v>9</v>
      </c>
    </row>
    <row r="287" spans="1:37">
      <c r="A287" s="1">
        <v>286</v>
      </c>
      <c r="B287" s="1">
        <v>4252285</v>
      </c>
      <c r="C287" s="6">
        <v>811</v>
      </c>
      <c r="D287" s="1">
        <v>0.49990000000000001</v>
      </c>
      <c r="E287" s="1">
        <v>0.3972</v>
      </c>
      <c r="F287" s="1">
        <v>0.50009999999999999</v>
      </c>
      <c r="G287" s="1">
        <v>0.6028</v>
      </c>
      <c r="H287" s="1">
        <v>1</v>
      </c>
      <c r="I287" s="1">
        <v>0.7</v>
      </c>
      <c r="J287" s="1">
        <v>0.5</v>
      </c>
      <c r="K287" s="1">
        <v>0.8</v>
      </c>
      <c r="L287" s="1">
        <v>0.5</v>
      </c>
      <c r="M287" s="1">
        <v>0.6</v>
      </c>
      <c r="N287" s="1">
        <f>(Occurrence!B$3-D287)^2</f>
        <v>0.24990001000000001</v>
      </c>
      <c r="O287" s="1">
        <f>(Occurrence!C$3-E287)^2</f>
        <v>0.15776783999999999</v>
      </c>
      <c r="P287" s="1">
        <f>(Occurrence!D$3-F287)^2</f>
        <v>0.24990001000000001</v>
      </c>
      <c r="Q287" s="1">
        <f>(Occurrence!E$3-G287)^2</f>
        <v>0.15776783999999999</v>
      </c>
      <c r="R287" s="1">
        <f>(Occurrence!F$3-H287)^2</f>
        <v>1</v>
      </c>
      <c r="S287" s="1">
        <f>(Occurrence!G$3-I287)^2</f>
        <v>0.48999999999999994</v>
      </c>
      <c r="T287" s="1">
        <f>(Occurrence!H$3-J287)^2</f>
        <v>0.25</v>
      </c>
      <c r="U287" s="1">
        <f>(Occurrence!I$3-K287)^2</f>
        <v>3.999999999999998E-2</v>
      </c>
      <c r="V287" s="1">
        <f>(Occurrence!J$3-L287)^2</f>
        <v>0.25</v>
      </c>
      <c r="W287" s="1">
        <f>(Occurrence!K$3-M287)^2</f>
        <v>0.16000000000000003</v>
      </c>
      <c r="X287" s="1">
        <f t="shared" si="49"/>
        <v>3.0053356999999998</v>
      </c>
      <c r="Z287" s="1">
        <f t="shared" si="50"/>
        <v>0</v>
      </c>
      <c r="AA287" s="1">
        <f t="shared" si="51"/>
        <v>0</v>
      </c>
      <c r="AB287" s="1">
        <f t="shared" si="52"/>
        <v>1</v>
      </c>
      <c r="AC287" s="1">
        <f t="shared" si="53"/>
        <v>1</v>
      </c>
      <c r="AD287" s="1">
        <f t="shared" si="54"/>
        <v>1</v>
      </c>
      <c r="AE287" s="1">
        <f t="shared" si="55"/>
        <v>1</v>
      </c>
      <c r="AF287" s="1">
        <f t="shared" si="56"/>
        <v>1</v>
      </c>
      <c r="AG287" s="1">
        <f t="shared" si="57"/>
        <v>1</v>
      </c>
      <c r="AH287" s="1">
        <f t="shared" si="58"/>
        <v>1</v>
      </c>
      <c r="AI287" s="1">
        <f t="shared" si="59"/>
        <v>1</v>
      </c>
      <c r="AJ287" s="1">
        <f>SUMXMY2(Z287:AI287, Occurrence!B$3:K$3)</f>
        <v>3</v>
      </c>
      <c r="AK287" s="1">
        <f t="shared" si="60"/>
        <v>7</v>
      </c>
    </row>
    <row r="288" spans="1:37">
      <c r="A288" s="1">
        <v>287</v>
      </c>
      <c r="B288" s="1">
        <v>4252286</v>
      </c>
      <c r="C288" s="6">
        <v>811</v>
      </c>
      <c r="D288" s="1">
        <v>0.05</v>
      </c>
      <c r="E288" s="1">
        <v>0.01</v>
      </c>
      <c r="F288" s="1">
        <v>0.9</v>
      </c>
      <c r="G288" s="1">
        <v>0.9</v>
      </c>
      <c r="H288" s="1">
        <v>0.1</v>
      </c>
      <c r="I288" s="1">
        <v>0.5</v>
      </c>
      <c r="J288" s="1">
        <v>0.01</v>
      </c>
      <c r="K288" s="1">
        <v>1</v>
      </c>
      <c r="L288" s="1">
        <v>0.4</v>
      </c>
      <c r="M288" s="1">
        <v>0.8</v>
      </c>
      <c r="N288" s="1">
        <f>(Occurrence!B$3-D288)^2</f>
        <v>2.5000000000000005E-3</v>
      </c>
      <c r="O288" s="1">
        <f>(Occurrence!C$3-E288)^2</f>
        <v>1E-4</v>
      </c>
      <c r="P288" s="1">
        <f>(Occurrence!D$3-F288)^2</f>
        <v>9.999999999999995E-3</v>
      </c>
      <c r="Q288" s="1">
        <f>(Occurrence!E$3-G288)^2</f>
        <v>9.999999999999995E-3</v>
      </c>
      <c r="R288" s="1">
        <f>(Occurrence!F$3-H288)^2</f>
        <v>1.0000000000000002E-2</v>
      </c>
      <c r="S288" s="1">
        <f>(Occurrence!G$3-I288)^2</f>
        <v>0.25</v>
      </c>
      <c r="T288" s="1">
        <f>(Occurrence!H$3-J288)^2</f>
        <v>0.98009999999999997</v>
      </c>
      <c r="U288" s="1">
        <f>(Occurrence!I$3-K288)^2</f>
        <v>0</v>
      </c>
      <c r="V288" s="1">
        <f>(Occurrence!J$3-L288)^2</f>
        <v>0.16000000000000003</v>
      </c>
      <c r="W288" s="1">
        <f>(Occurrence!K$3-M288)^2</f>
        <v>3.999999999999998E-2</v>
      </c>
      <c r="X288" s="1">
        <f t="shared" si="49"/>
        <v>1.4626999999999999</v>
      </c>
      <c r="Z288" s="1">
        <f t="shared" si="50"/>
        <v>0</v>
      </c>
      <c r="AA288" s="1">
        <f t="shared" si="51"/>
        <v>0</v>
      </c>
      <c r="AB288" s="1">
        <f t="shared" si="52"/>
        <v>1</v>
      </c>
      <c r="AC288" s="1">
        <f t="shared" si="53"/>
        <v>1</v>
      </c>
      <c r="AD288" s="1">
        <f t="shared" si="54"/>
        <v>0</v>
      </c>
      <c r="AE288" s="1">
        <f t="shared" si="55"/>
        <v>1</v>
      </c>
      <c r="AF288" s="1">
        <f t="shared" si="56"/>
        <v>0</v>
      </c>
      <c r="AG288" s="1">
        <f t="shared" si="57"/>
        <v>1</v>
      </c>
      <c r="AH288" s="1">
        <f t="shared" si="58"/>
        <v>0</v>
      </c>
      <c r="AI288" s="1">
        <f t="shared" si="59"/>
        <v>1</v>
      </c>
      <c r="AJ288" s="1">
        <f>SUMXMY2(Z288:AI288, Occurrence!B$3:K$3)</f>
        <v>2</v>
      </c>
      <c r="AK288" s="1">
        <f t="shared" si="60"/>
        <v>8</v>
      </c>
    </row>
    <row r="289" spans="1:37">
      <c r="A289" s="1">
        <v>288</v>
      </c>
      <c r="B289" s="1">
        <v>4252287</v>
      </c>
      <c r="C289" s="6">
        <v>811</v>
      </c>
      <c r="D289" s="1">
        <v>0.02</v>
      </c>
      <c r="E289" s="1">
        <v>0.1</v>
      </c>
      <c r="F289" s="1">
        <v>0.5</v>
      </c>
      <c r="G289" s="1">
        <v>0.9</v>
      </c>
      <c r="H289" s="1">
        <v>0.48</v>
      </c>
      <c r="I289" s="1">
        <v>0.3</v>
      </c>
      <c r="J289" s="1">
        <v>0.2</v>
      </c>
      <c r="K289" s="1">
        <v>0.5</v>
      </c>
      <c r="L289" s="1">
        <v>0.8</v>
      </c>
      <c r="M289" s="1">
        <v>0.9</v>
      </c>
      <c r="N289" s="1">
        <f>(Occurrence!B$3-D289)^2</f>
        <v>4.0000000000000002E-4</v>
      </c>
      <c r="O289" s="1">
        <f>(Occurrence!C$3-E289)^2</f>
        <v>1.0000000000000002E-2</v>
      </c>
      <c r="P289" s="1">
        <f>(Occurrence!D$3-F289)^2</f>
        <v>0.25</v>
      </c>
      <c r="Q289" s="1">
        <f>(Occurrence!E$3-G289)^2</f>
        <v>9.999999999999995E-3</v>
      </c>
      <c r="R289" s="1">
        <f>(Occurrence!F$3-H289)^2</f>
        <v>0.23039999999999999</v>
      </c>
      <c r="S289" s="1">
        <f>(Occurrence!G$3-I289)^2</f>
        <v>0.09</v>
      </c>
      <c r="T289" s="1">
        <f>(Occurrence!H$3-J289)^2</f>
        <v>0.64000000000000012</v>
      </c>
      <c r="U289" s="1">
        <f>(Occurrence!I$3-K289)^2</f>
        <v>0.25</v>
      </c>
      <c r="V289" s="1">
        <f>(Occurrence!J$3-L289)^2</f>
        <v>0.64000000000000012</v>
      </c>
      <c r="W289" s="1">
        <f>(Occurrence!K$3-M289)^2</f>
        <v>9.999999999999995E-3</v>
      </c>
      <c r="X289" s="1">
        <f t="shared" si="49"/>
        <v>2.1307999999999998</v>
      </c>
      <c r="Z289" s="1">
        <f t="shared" si="50"/>
        <v>0</v>
      </c>
      <c r="AA289" s="1">
        <f t="shared" si="51"/>
        <v>0</v>
      </c>
      <c r="AB289" s="1">
        <f t="shared" si="52"/>
        <v>1</v>
      </c>
      <c r="AC289" s="1">
        <f t="shared" si="53"/>
        <v>1</v>
      </c>
      <c r="AD289" s="1">
        <f t="shared" si="54"/>
        <v>0</v>
      </c>
      <c r="AE289" s="1">
        <f t="shared" si="55"/>
        <v>0</v>
      </c>
      <c r="AF289" s="1">
        <f t="shared" si="56"/>
        <v>0</v>
      </c>
      <c r="AG289" s="1">
        <f t="shared" si="57"/>
        <v>1</v>
      </c>
      <c r="AH289" s="1">
        <f t="shared" si="58"/>
        <v>1</v>
      </c>
      <c r="AI289" s="1">
        <f t="shared" si="59"/>
        <v>1</v>
      </c>
      <c r="AJ289" s="1">
        <f>SUMXMY2(Z289:AI289, Occurrence!B$3:K$3)</f>
        <v>2</v>
      </c>
      <c r="AK289" s="1">
        <f t="shared" si="60"/>
        <v>8</v>
      </c>
    </row>
    <row r="290" spans="1:37">
      <c r="A290" s="1">
        <v>289</v>
      </c>
      <c r="B290" s="1">
        <v>4252288</v>
      </c>
      <c r="C290" s="6">
        <v>811</v>
      </c>
      <c r="D290" s="1">
        <v>0.4</v>
      </c>
      <c r="E290" s="1">
        <v>0.5</v>
      </c>
      <c r="F290" s="1">
        <v>0.4</v>
      </c>
      <c r="G290" s="1">
        <v>0.5</v>
      </c>
      <c r="H290" s="1">
        <v>0.4</v>
      </c>
      <c r="I290" s="1">
        <v>0.7</v>
      </c>
      <c r="J290" s="1">
        <v>0.5</v>
      </c>
      <c r="K290" s="1">
        <v>0.3</v>
      </c>
      <c r="L290" s="1">
        <v>0.7</v>
      </c>
      <c r="M290" s="1">
        <v>0.2</v>
      </c>
      <c r="N290" s="1">
        <f>(Occurrence!B$3-D290)^2</f>
        <v>0.16000000000000003</v>
      </c>
      <c r="O290" s="1">
        <f>(Occurrence!C$3-E290)^2</f>
        <v>0.25</v>
      </c>
      <c r="P290" s="1">
        <f>(Occurrence!D$3-F290)^2</f>
        <v>0.36</v>
      </c>
      <c r="Q290" s="1">
        <f>(Occurrence!E$3-G290)^2</f>
        <v>0.25</v>
      </c>
      <c r="R290" s="1">
        <f>(Occurrence!F$3-H290)^2</f>
        <v>0.16000000000000003</v>
      </c>
      <c r="S290" s="1">
        <f>(Occurrence!G$3-I290)^2</f>
        <v>0.48999999999999994</v>
      </c>
      <c r="T290" s="1">
        <f>(Occurrence!H$3-J290)^2</f>
        <v>0.25</v>
      </c>
      <c r="U290" s="1">
        <f>(Occurrence!I$3-K290)^2</f>
        <v>0.48999999999999994</v>
      </c>
      <c r="V290" s="1">
        <f>(Occurrence!J$3-L290)^2</f>
        <v>0.48999999999999994</v>
      </c>
      <c r="W290" s="1">
        <f>(Occurrence!K$3-M290)^2</f>
        <v>0.64000000000000012</v>
      </c>
      <c r="X290" s="1">
        <f t="shared" si="49"/>
        <v>3.54</v>
      </c>
      <c r="Z290" s="1">
        <f t="shared" si="50"/>
        <v>0</v>
      </c>
      <c r="AA290" s="1">
        <f t="shared" si="51"/>
        <v>1</v>
      </c>
      <c r="AB290" s="1">
        <f t="shared" si="52"/>
        <v>0</v>
      </c>
      <c r="AC290" s="1">
        <f t="shared" si="53"/>
        <v>1</v>
      </c>
      <c r="AD290" s="1">
        <f t="shared" si="54"/>
        <v>0</v>
      </c>
      <c r="AE290" s="1">
        <f t="shared" si="55"/>
        <v>1</v>
      </c>
      <c r="AF290" s="1">
        <f t="shared" si="56"/>
        <v>1</v>
      </c>
      <c r="AG290" s="1">
        <f t="shared" si="57"/>
        <v>0</v>
      </c>
      <c r="AH290" s="1">
        <f t="shared" si="58"/>
        <v>1</v>
      </c>
      <c r="AI290" s="1">
        <f t="shared" si="59"/>
        <v>0</v>
      </c>
      <c r="AJ290" s="1">
        <f>SUMXMY2(Z290:AI290, Occurrence!B$3:K$3)</f>
        <v>6</v>
      </c>
      <c r="AK290" s="1">
        <f t="shared" si="60"/>
        <v>4</v>
      </c>
    </row>
    <row r="291" spans="1:37">
      <c r="A291" s="1">
        <v>290</v>
      </c>
      <c r="B291" s="1">
        <v>4252289</v>
      </c>
      <c r="C291" s="6">
        <v>812</v>
      </c>
      <c r="D291" s="1">
        <v>0.09</v>
      </c>
      <c r="E291" s="1">
        <v>0.05</v>
      </c>
      <c r="F291" s="1">
        <v>0.8</v>
      </c>
      <c r="G291" s="1">
        <v>0.1</v>
      </c>
      <c r="H291" s="1">
        <v>0.2</v>
      </c>
      <c r="I291" s="1">
        <v>0.75</v>
      </c>
      <c r="J291" s="1">
        <v>0.5</v>
      </c>
      <c r="K291" s="1">
        <v>0.7</v>
      </c>
      <c r="L291" s="1">
        <v>0.6</v>
      </c>
      <c r="M291" s="1">
        <v>0.3</v>
      </c>
      <c r="N291" s="1">
        <f>(Occurrence!B$3-D291)^2</f>
        <v>8.0999999999999996E-3</v>
      </c>
      <c r="O291" s="1">
        <f>(Occurrence!C$3-E291)^2</f>
        <v>2.5000000000000005E-3</v>
      </c>
      <c r="P291" s="1">
        <f>(Occurrence!D$3-F291)^2</f>
        <v>3.999999999999998E-2</v>
      </c>
      <c r="Q291" s="1">
        <f>(Occurrence!E$3-G291)^2</f>
        <v>0.81</v>
      </c>
      <c r="R291" s="1">
        <f>(Occurrence!F$3-H291)^2</f>
        <v>4.0000000000000008E-2</v>
      </c>
      <c r="S291" s="1">
        <f>(Occurrence!G$3-I291)^2</f>
        <v>0.5625</v>
      </c>
      <c r="T291" s="1">
        <f>(Occurrence!H$3-J291)^2</f>
        <v>0.25</v>
      </c>
      <c r="U291" s="1">
        <f>(Occurrence!I$3-K291)^2</f>
        <v>9.0000000000000024E-2</v>
      </c>
      <c r="V291" s="1">
        <f>(Occurrence!J$3-L291)^2</f>
        <v>0.36</v>
      </c>
      <c r="W291" s="1">
        <f>(Occurrence!K$3-M291)^2</f>
        <v>0.48999999999999994</v>
      </c>
      <c r="X291" s="1">
        <f t="shared" si="49"/>
        <v>2.6530999999999998</v>
      </c>
      <c r="Z291" s="1">
        <f t="shared" si="50"/>
        <v>0</v>
      </c>
      <c r="AA291" s="1">
        <f t="shared" si="51"/>
        <v>0</v>
      </c>
      <c r="AB291" s="1">
        <f t="shared" si="52"/>
        <v>1</v>
      </c>
      <c r="AC291" s="1">
        <f t="shared" si="53"/>
        <v>0</v>
      </c>
      <c r="AD291" s="1">
        <f t="shared" si="54"/>
        <v>0</v>
      </c>
      <c r="AE291" s="1">
        <f t="shared" si="55"/>
        <v>1</v>
      </c>
      <c r="AF291" s="1">
        <f t="shared" si="56"/>
        <v>1</v>
      </c>
      <c r="AG291" s="1">
        <f t="shared" si="57"/>
        <v>1</v>
      </c>
      <c r="AH291" s="1">
        <f t="shared" si="58"/>
        <v>1</v>
      </c>
      <c r="AI291" s="1">
        <f t="shared" si="59"/>
        <v>0</v>
      </c>
      <c r="AJ291" s="1">
        <f>SUMXMY2(Z291:AI291, Occurrence!B$3:K$3)</f>
        <v>4</v>
      </c>
      <c r="AK291" s="1">
        <f t="shared" si="60"/>
        <v>6</v>
      </c>
    </row>
    <row r="292" spans="1:37">
      <c r="A292" s="1">
        <v>291</v>
      </c>
      <c r="B292" s="1">
        <v>4252290</v>
      </c>
      <c r="C292" s="6">
        <v>812</v>
      </c>
      <c r="D292" s="1">
        <v>0.03</v>
      </c>
      <c r="E292" s="1">
        <v>0.08</v>
      </c>
      <c r="F292" s="1">
        <v>0.06</v>
      </c>
      <c r="G292" s="1">
        <v>0.09</v>
      </c>
      <c r="H292" s="1">
        <v>0.06</v>
      </c>
      <c r="I292" s="1">
        <v>0.6</v>
      </c>
      <c r="J292" s="1">
        <v>0.6</v>
      </c>
      <c r="K292" s="1">
        <v>0.4</v>
      </c>
      <c r="L292" s="1">
        <v>0.5</v>
      </c>
      <c r="M292" s="1">
        <v>0.8</v>
      </c>
      <c r="N292" s="1">
        <f>(Occurrence!B$3-D292)^2</f>
        <v>8.9999999999999998E-4</v>
      </c>
      <c r="O292" s="1">
        <f>(Occurrence!C$3-E292)^2</f>
        <v>6.4000000000000003E-3</v>
      </c>
      <c r="P292" s="1">
        <f>(Occurrence!D$3-F292)^2</f>
        <v>0.88359999999999994</v>
      </c>
      <c r="Q292" s="1">
        <f>(Occurrence!E$3-G292)^2</f>
        <v>0.82810000000000006</v>
      </c>
      <c r="R292" s="1">
        <f>(Occurrence!F$3-H292)^2</f>
        <v>3.5999999999999999E-3</v>
      </c>
      <c r="S292" s="1">
        <f>(Occurrence!G$3-I292)^2</f>
        <v>0.36</v>
      </c>
      <c r="T292" s="1">
        <f>(Occurrence!H$3-J292)^2</f>
        <v>0.16000000000000003</v>
      </c>
      <c r="U292" s="1">
        <f>(Occurrence!I$3-K292)^2</f>
        <v>0.36</v>
      </c>
      <c r="V292" s="1">
        <f>(Occurrence!J$3-L292)^2</f>
        <v>0.25</v>
      </c>
      <c r="W292" s="1">
        <f>(Occurrence!K$3-M292)^2</f>
        <v>3.999999999999998E-2</v>
      </c>
      <c r="X292" s="1">
        <f t="shared" si="49"/>
        <v>2.8925999999999998</v>
      </c>
      <c r="Z292" s="1">
        <f t="shared" si="50"/>
        <v>0</v>
      </c>
      <c r="AA292" s="1">
        <f t="shared" si="51"/>
        <v>0</v>
      </c>
      <c r="AB292" s="1">
        <f t="shared" si="52"/>
        <v>0</v>
      </c>
      <c r="AC292" s="1">
        <f t="shared" si="53"/>
        <v>0</v>
      </c>
      <c r="AD292" s="1">
        <f t="shared" si="54"/>
        <v>0</v>
      </c>
      <c r="AE292" s="1">
        <f t="shared" si="55"/>
        <v>1</v>
      </c>
      <c r="AF292" s="1">
        <f t="shared" si="56"/>
        <v>1</v>
      </c>
      <c r="AG292" s="1">
        <f t="shared" si="57"/>
        <v>0</v>
      </c>
      <c r="AH292" s="1">
        <f t="shared" si="58"/>
        <v>1</v>
      </c>
      <c r="AI292" s="1">
        <f t="shared" si="59"/>
        <v>1</v>
      </c>
      <c r="AJ292" s="1">
        <f>SUMXMY2(Z292:AI292, Occurrence!B$3:K$3)</f>
        <v>5</v>
      </c>
      <c r="AK292" s="1">
        <f t="shared" si="60"/>
        <v>5</v>
      </c>
    </row>
    <row r="293" spans="1:37">
      <c r="A293" s="1">
        <v>292</v>
      </c>
      <c r="B293" s="1">
        <v>4252291</v>
      </c>
      <c r="C293" s="6">
        <v>812</v>
      </c>
      <c r="D293" s="1">
        <v>0</v>
      </c>
      <c r="E293" s="1">
        <v>0.03</v>
      </c>
      <c r="F293" s="1">
        <v>0</v>
      </c>
      <c r="G293" s="1">
        <v>0.75</v>
      </c>
      <c r="H293" s="1">
        <v>0.06</v>
      </c>
      <c r="I293" s="1">
        <v>0.9</v>
      </c>
      <c r="J293" s="1">
        <v>0.5</v>
      </c>
      <c r="K293" s="1">
        <v>0.83</v>
      </c>
      <c r="L293" s="1">
        <v>0.15</v>
      </c>
      <c r="M293" s="1">
        <v>0.81</v>
      </c>
      <c r="N293" s="1">
        <f>(Occurrence!B$3-D293)^2</f>
        <v>0</v>
      </c>
      <c r="O293" s="1">
        <f>(Occurrence!C$3-E293)^2</f>
        <v>8.9999999999999998E-4</v>
      </c>
      <c r="P293" s="1">
        <f>(Occurrence!D$3-F293)^2</f>
        <v>1</v>
      </c>
      <c r="Q293" s="1">
        <f>(Occurrence!E$3-G293)^2</f>
        <v>6.25E-2</v>
      </c>
      <c r="R293" s="1">
        <f>(Occurrence!F$3-H293)^2</f>
        <v>3.5999999999999999E-3</v>
      </c>
      <c r="S293" s="1">
        <f>(Occurrence!G$3-I293)^2</f>
        <v>0.81</v>
      </c>
      <c r="T293" s="1">
        <f>(Occurrence!H$3-J293)^2</f>
        <v>0.25</v>
      </c>
      <c r="U293" s="1">
        <f>(Occurrence!I$3-K293)^2</f>
        <v>2.8900000000000012E-2</v>
      </c>
      <c r="V293" s="1">
        <f>(Occurrence!J$3-L293)^2</f>
        <v>2.2499999999999999E-2</v>
      </c>
      <c r="W293" s="1">
        <f>(Occurrence!K$3-M293)^2</f>
        <v>3.6099999999999979E-2</v>
      </c>
      <c r="X293" s="1">
        <f t="shared" si="49"/>
        <v>2.2144999999999997</v>
      </c>
      <c r="Z293" s="1">
        <f t="shared" si="50"/>
        <v>0</v>
      </c>
      <c r="AA293" s="1">
        <f t="shared" si="51"/>
        <v>0</v>
      </c>
      <c r="AB293" s="1">
        <f t="shared" si="52"/>
        <v>0</v>
      </c>
      <c r="AC293" s="1">
        <f t="shared" si="53"/>
        <v>1</v>
      </c>
      <c r="AD293" s="1">
        <f t="shared" si="54"/>
        <v>0</v>
      </c>
      <c r="AE293" s="1">
        <f t="shared" si="55"/>
        <v>1</v>
      </c>
      <c r="AF293" s="1">
        <f t="shared" si="56"/>
        <v>1</v>
      </c>
      <c r="AG293" s="1">
        <f t="shared" si="57"/>
        <v>1</v>
      </c>
      <c r="AH293" s="1">
        <f t="shared" si="58"/>
        <v>0</v>
      </c>
      <c r="AI293" s="1">
        <f t="shared" si="59"/>
        <v>1</v>
      </c>
      <c r="AJ293" s="1">
        <f>SUMXMY2(Z293:AI293, Occurrence!B$3:K$3)</f>
        <v>2</v>
      </c>
      <c r="AK293" s="1">
        <f t="shared" si="60"/>
        <v>8</v>
      </c>
    </row>
    <row r="294" spans="1:37">
      <c r="A294" s="1">
        <v>293</v>
      </c>
      <c r="B294" s="1">
        <v>4252292</v>
      </c>
      <c r="C294" s="6">
        <v>812</v>
      </c>
      <c r="D294" s="1">
        <v>0</v>
      </c>
      <c r="E294" s="1">
        <v>0.01</v>
      </c>
      <c r="F294" s="1">
        <v>0.8</v>
      </c>
      <c r="G294" s="1">
        <v>0.75</v>
      </c>
      <c r="H294" s="1">
        <v>0.7</v>
      </c>
      <c r="I294" s="1">
        <v>0.5</v>
      </c>
      <c r="J294" s="1">
        <v>0.1</v>
      </c>
      <c r="K294" s="1">
        <v>0.9</v>
      </c>
      <c r="L294" s="1">
        <v>0.7</v>
      </c>
      <c r="M294" s="1">
        <v>0.5</v>
      </c>
      <c r="N294" s="1">
        <f>(Occurrence!B$3-D294)^2</f>
        <v>0</v>
      </c>
      <c r="O294" s="1">
        <f>(Occurrence!C$3-E294)^2</f>
        <v>1E-4</v>
      </c>
      <c r="P294" s="1">
        <f>(Occurrence!D$3-F294)^2</f>
        <v>3.999999999999998E-2</v>
      </c>
      <c r="Q294" s="1">
        <f>(Occurrence!E$3-G294)^2</f>
        <v>6.25E-2</v>
      </c>
      <c r="R294" s="1">
        <f>(Occurrence!F$3-H294)^2</f>
        <v>0.48999999999999994</v>
      </c>
      <c r="S294" s="1">
        <f>(Occurrence!G$3-I294)^2</f>
        <v>0.25</v>
      </c>
      <c r="T294" s="1">
        <f>(Occurrence!H$3-J294)^2</f>
        <v>0.81</v>
      </c>
      <c r="U294" s="1">
        <f>(Occurrence!I$3-K294)^2</f>
        <v>9.999999999999995E-3</v>
      </c>
      <c r="V294" s="1">
        <f>(Occurrence!J$3-L294)^2</f>
        <v>0.48999999999999994</v>
      </c>
      <c r="W294" s="1">
        <f>(Occurrence!K$3-M294)^2</f>
        <v>0.25</v>
      </c>
      <c r="X294" s="1">
        <f t="shared" si="49"/>
        <v>2.4026000000000001</v>
      </c>
      <c r="Z294" s="1">
        <f t="shared" si="50"/>
        <v>0</v>
      </c>
      <c r="AA294" s="1">
        <f t="shared" si="51"/>
        <v>0</v>
      </c>
      <c r="AB294" s="1">
        <f t="shared" si="52"/>
        <v>1</v>
      </c>
      <c r="AC294" s="1">
        <f t="shared" si="53"/>
        <v>1</v>
      </c>
      <c r="AD294" s="1">
        <f t="shared" si="54"/>
        <v>1</v>
      </c>
      <c r="AE294" s="1">
        <f t="shared" si="55"/>
        <v>1</v>
      </c>
      <c r="AF294" s="1">
        <f t="shared" si="56"/>
        <v>0</v>
      </c>
      <c r="AG294" s="1">
        <f t="shared" si="57"/>
        <v>1</v>
      </c>
      <c r="AH294" s="1">
        <f t="shared" si="58"/>
        <v>1</v>
      </c>
      <c r="AI294" s="1">
        <f t="shared" si="59"/>
        <v>1</v>
      </c>
      <c r="AJ294" s="1">
        <f>SUMXMY2(Z294:AI294, Occurrence!B$3:K$3)</f>
        <v>4</v>
      </c>
      <c r="AK294" s="1">
        <f t="shared" si="60"/>
        <v>6</v>
      </c>
    </row>
    <row r="295" spans="1:37">
      <c r="A295" s="1">
        <v>294</v>
      </c>
      <c r="B295" s="1">
        <v>4252293</v>
      </c>
      <c r="C295" s="6">
        <v>812</v>
      </c>
      <c r="D295" s="1">
        <v>0</v>
      </c>
      <c r="E295" s="1">
        <v>0.01</v>
      </c>
      <c r="F295" s="1">
        <v>0.8</v>
      </c>
      <c r="G295" s="1">
        <v>0.9</v>
      </c>
      <c r="H295" s="1">
        <v>0.7</v>
      </c>
      <c r="I295" s="1">
        <v>0.5</v>
      </c>
      <c r="J295" s="1">
        <v>0.1</v>
      </c>
      <c r="K295" s="1">
        <v>0.9</v>
      </c>
      <c r="L295" s="1">
        <v>0.7</v>
      </c>
      <c r="M295" s="1">
        <v>0.5</v>
      </c>
      <c r="N295" s="1">
        <f>(Occurrence!B$3-D295)^2</f>
        <v>0</v>
      </c>
      <c r="O295" s="1">
        <f>(Occurrence!C$3-E295)^2</f>
        <v>1E-4</v>
      </c>
      <c r="P295" s="1">
        <f>(Occurrence!D$3-F295)^2</f>
        <v>3.999999999999998E-2</v>
      </c>
      <c r="Q295" s="1">
        <f>(Occurrence!E$3-G295)^2</f>
        <v>9.999999999999995E-3</v>
      </c>
      <c r="R295" s="1">
        <f>(Occurrence!F$3-H295)^2</f>
        <v>0.48999999999999994</v>
      </c>
      <c r="S295" s="1">
        <f>(Occurrence!G$3-I295)^2</f>
        <v>0.25</v>
      </c>
      <c r="T295" s="1">
        <f>(Occurrence!H$3-J295)^2</f>
        <v>0.81</v>
      </c>
      <c r="U295" s="1">
        <f>(Occurrence!I$3-K295)^2</f>
        <v>9.999999999999995E-3</v>
      </c>
      <c r="V295" s="1">
        <f>(Occurrence!J$3-L295)^2</f>
        <v>0.48999999999999994</v>
      </c>
      <c r="W295" s="1">
        <f>(Occurrence!K$3-M295)^2</f>
        <v>0.25</v>
      </c>
      <c r="X295" s="1">
        <f t="shared" si="49"/>
        <v>2.3500999999999999</v>
      </c>
      <c r="Z295" s="1">
        <f t="shared" si="50"/>
        <v>0</v>
      </c>
      <c r="AA295" s="1">
        <f t="shared" si="51"/>
        <v>0</v>
      </c>
      <c r="AB295" s="1">
        <f t="shared" si="52"/>
        <v>1</v>
      </c>
      <c r="AC295" s="1">
        <f t="shared" si="53"/>
        <v>1</v>
      </c>
      <c r="AD295" s="1">
        <f t="shared" si="54"/>
        <v>1</v>
      </c>
      <c r="AE295" s="1">
        <f t="shared" si="55"/>
        <v>1</v>
      </c>
      <c r="AF295" s="1">
        <f t="shared" si="56"/>
        <v>0</v>
      </c>
      <c r="AG295" s="1">
        <f t="shared" si="57"/>
        <v>1</v>
      </c>
      <c r="AH295" s="1">
        <f t="shared" si="58"/>
        <v>1</v>
      </c>
      <c r="AI295" s="1">
        <f t="shared" si="59"/>
        <v>1</v>
      </c>
      <c r="AJ295" s="1">
        <f>SUMXMY2(Z295:AI295, Occurrence!B$3:K$3)</f>
        <v>4</v>
      </c>
      <c r="AK295" s="1">
        <f t="shared" si="60"/>
        <v>6</v>
      </c>
    </row>
    <row r="296" spans="1:37">
      <c r="A296" s="1">
        <v>295</v>
      </c>
      <c r="B296" s="1">
        <v>4252294</v>
      </c>
      <c r="C296" s="6">
        <v>812</v>
      </c>
      <c r="D296" s="1">
        <v>0</v>
      </c>
      <c r="E296" s="1">
        <v>1E-3</v>
      </c>
      <c r="F296" s="1">
        <v>0.98</v>
      </c>
      <c r="G296" s="1">
        <v>1</v>
      </c>
      <c r="H296" s="1">
        <v>0.66</v>
      </c>
      <c r="I296" s="1">
        <v>0.6</v>
      </c>
      <c r="J296" s="1">
        <v>0.1</v>
      </c>
      <c r="K296" s="1">
        <v>0.85</v>
      </c>
      <c r="L296" s="1">
        <v>0.37</v>
      </c>
      <c r="M296" s="1">
        <v>0.94</v>
      </c>
      <c r="N296" s="1">
        <f>(Occurrence!B$3-D296)^2</f>
        <v>0</v>
      </c>
      <c r="O296" s="1">
        <f>(Occurrence!C$3-E296)^2</f>
        <v>9.9999999999999995E-7</v>
      </c>
      <c r="P296" s="1">
        <f>(Occurrence!D$3-F296)^2</f>
        <v>4.0000000000000072E-4</v>
      </c>
      <c r="Q296" s="1">
        <f>(Occurrence!E$3-G296)^2</f>
        <v>0</v>
      </c>
      <c r="R296" s="1">
        <f>(Occurrence!F$3-H296)^2</f>
        <v>0.43560000000000004</v>
      </c>
      <c r="S296" s="1">
        <f>(Occurrence!G$3-I296)^2</f>
        <v>0.36</v>
      </c>
      <c r="T296" s="1">
        <f>(Occurrence!H$3-J296)^2</f>
        <v>0.81</v>
      </c>
      <c r="U296" s="1">
        <f>(Occurrence!I$3-K296)^2</f>
        <v>2.2500000000000006E-2</v>
      </c>
      <c r="V296" s="1">
        <f>(Occurrence!J$3-L296)^2</f>
        <v>0.13689999999999999</v>
      </c>
      <c r="W296" s="1">
        <f>(Occurrence!K$3-M296)^2</f>
        <v>3.6000000000000064E-3</v>
      </c>
      <c r="X296" s="1">
        <f t="shared" si="49"/>
        <v>1.769001</v>
      </c>
      <c r="Z296" s="1">
        <f t="shared" si="50"/>
        <v>0</v>
      </c>
      <c r="AA296" s="1">
        <f t="shared" si="51"/>
        <v>0</v>
      </c>
      <c r="AB296" s="1">
        <f t="shared" si="52"/>
        <v>1</v>
      </c>
      <c r="AC296" s="1">
        <f t="shared" si="53"/>
        <v>1</v>
      </c>
      <c r="AD296" s="1">
        <f t="shared" si="54"/>
        <v>1</v>
      </c>
      <c r="AE296" s="1">
        <f t="shared" si="55"/>
        <v>1</v>
      </c>
      <c r="AF296" s="1">
        <f t="shared" si="56"/>
        <v>0</v>
      </c>
      <c r="AG296" s="1">
        <f t="shared" si="57"/>
        <v>1</v>
      </c>
      <c r="AH296" s="1">
        <f t="shared" si="58"/>
        <v>0</v>
      </c>
      <c r="AI296" s="1">
        <f t="shared" si="59"/>
        <v>1</v>
      </c>
      <c r="AJ296" s="1">
        <f>SUMXMY2(Z296:AI296, Occurrence!B$3:K$3)</f>
        <v>3</v>
      </c>
      <c r="AK296" s="1">
        <f t="shared" si="60"/>
        <v>7</v>
      </c>
    </row>
    <row r="297" spans="1:37">
      <c r="A297" s="1">
        <v>296</v>
      </c>
      <c r="B297" s="1">
        <v>4252295</v>
      </c>
      <c r="C297" s="6">
        <v>812</v>
      </c>
      <c r="D297" s="1">
        <v>0.15</v>
      </c>
      <c r="E297" s="1">
        <v>0.4</v>
      </c>
      <c r="F297" s="1">
        <v>0.5</v>
      </c>
      <c r="G297" s="1">
        <v>0.6</v>
      </c>
      <c r="H297" s="1">
        <v>0.25</v>
      </c>
      <c r="I297" s="1">
        <v>0.5</v>
      </c>
      <c r="J297" s="1">
        <v>0.1</v>
      </c>
      <c r="K297" s="1">
        <v>0.9</v>
      </c>
      <c r="L297" s="1">
        <v>0.8</v>
      </c>
      <c r="M297" s="1">
        <v>0.9</v>
      </c>
      <c r="N297" s="1">
        <f>(Occurrence!B$3-D297)^2</f>
        <v>2.2499999999999999E-2</v>
      </c>
      <c r="O297" s="1">
        <f>(Occurrence!C$3-E297)^2</f>
        <v>0.16000000000000003</v>
      </c>
      <c r="P297" s="1">
        <f>(Occurrence!D$3-F297)^2</f>
        <v>0.25</v>
      </c>
      <c r="Q297" s="1">
        <f>(Occurrence!E$3-G297)^2</f>
        <v>0.16000000000000003</v>
      </c>
      <c r="R297" s="1">
        <f>(Occurrence!F$3-H297)^2</f>
        <v>6.25E-2</v>
      </c>
      <c r="S297" s="1">
        <f>(Occurrence!G$3-I297)^2</f>
        <v>0.25</v>
      </c>
      <c r="T297" s="1">
        <f>(Occurrence!H$3-J297)^2</f>
        <v>0.81</v>
      </c>
      <c r="U297" s="1">
        <f>(Occurrence!I$3-K297)^2</f>
        <v>9.999999999999995E-3</v>
      </c>
      <c r="V297" s="1">
        <f>(Occurrence!J$3-L297)^2</f>
        <v>0.64000000000000012</v>
      </c>
      <c r="W297" s="1">
        <f>(Occurrence!K$3-M297)^2</f>
        <v>9.999999999999995E-3</v>
      </c>
      <c r="X297" s="1">
        <f t="shared" si="49"/>
        <v>2.375</v>
      </c>
      <c r="Z297" s="1">
        <f t="shared" si="50"/>
        <v>0</v>
      </c>
      <c r="AA297" s="1">
        <f t="shared" si="51"/>
        <v>0</v>
      </c>
      <c r="AB297" s="1">
        <f t="shared" si="52"/>
        <v>1</v>
      </c>
      <c r="AC297" s="1">
        <f t="shared" si="53"/>
        <v>1</v>
      </c>
      <c r="AD297" s="1">
        <f t="shared" si="54"/>
        <v>0</v>
      </c>
      <c r="AE297" s="1">
        <f t="shared" si="55"/>
        <v>1</v>
      </c>
      <c r="AF297" s="1">
        <f t="shared" si="56"/>
        <v>0</v>
      </c>
      <c r="AG297" s="1">
        <f t="shared" si="57"/>
        <v>1</v>
      </c>
      <c r="AH297" s="1">
        <f t="shared" si="58"/>
        <v>1</v>
      </c>
      <c r="AI297" s="1">
        <f t="shared" si="59"/>
        <v>1</v>
      </c>
      <c r="AJ297" s="1">
        <f>SUMXMY2(Z297:AI297, Occurrence!B$3:K$3)</f>
        <v>3</v>
      </c>
      <c r="AK297" s="1">
        <f t="shared" si="60"/>
        <v>7</v>
      </c>
    </row>
    <row r="298" spans="1:37">
      <c r="A298" s="1">
        <v>297</v>
      </c>
      <c r="B298" s="1">
        <v>4252296</v>
      </c>
      <c r="C298" s="6">
        <v>812</v>
      </c>
      <c r="D298" s="1">
        <v>0</v>
      </c>
      <c r="E298" s="1">
        <v>0.01</v>
      </c>
      <c r="F298" s="1">
        <v>0.99</v>
      </c>
      <c r="G298" s="1">
        <v>1</v>
      </c>
      <c r="H298" s="1">
        <v>0.66</v>
      </c>
      <c r="I298" s="1">
        <v>0.3</v>
      </c>
      <c r="J298" s="1">
        <v>0.9</v>
      </c>
      <c r="K298" s="1">
        <v>0.8</v>
      </c>
      <c r="L298" s="1">
        <v>0.6</v>
      </c>
      <c r="M298" s="1">
        <v>0.95</v>
      </c>
      <c r="N298" s="1">
        <f>(Occurrence!B$3-D298)^2</f>
        <v>0</v>
      </c>
      <c r="O298" s="1">
        <f>(Occurrence!C$3-E298)^2</f>
        <v>1E-4</v>
      </c>
      <c r="P298" s="1">
        <f>(Occurrence!D$3-F298)^2</f>
        <v>1.0000000000000018E-4</v>
      </c>
      <c r="Q298" s="1">
        <f>(Occurrence!E$3-G298)^2</f>
        <v>0</v>
      </c>
      <c r="R298" s="1">
        <f>(Occurrence!F$3-H298)^2</f>
        <v>0.43560000000000004</v>
      </c>
      <c r="S298" s="1">
        <f>(Occurrence!G$3-I298)^2</f>
        <v>0.09</v>
      </c>
      <c r="T298" s="1">
        <f>(Occurrence!H$3-J298)^2</f>
        <v>9.999999999999995E-3</v>
      </c>
      <c r="U298" s="1">
        <f>(Occurrence!I$3-K298)^2</f>
        <v>3.999999999999998E-2</v>
      </c>
      <c r="V298" s="1">
        <f>(Occurrence!J$3-L298)^2</f>
        <v>0.36</v>
      </c>
      <c r="W298" s="1">
        <f>(Occurrence!K$3-M298)^2</f>
        <v>2.5000000000000044E-3</v>
      </c>
      <c r="X298" s="1">
        <f t="shared" si="49"/>
        <v>0.93830000000000013</v>
      </c>
      <c r="Z298" s="1">
        <f t="shared" si="50"/>
        <v>0</v>
      </c>
      <c r="AA298" s="1">
        <f t="shared" si="51"/>
        <v>0</v>
      </c>
      <c r="AB298" s="1">
        <f t="shared" si="52"/>
        <v>1</v>
      </c>
      <c r="AC298" s="1">
        <f t="shared" si="53"/>
        <v>1</v>
      </c>
      <c r="AD298" s="1">
        <f t="shared" si="54"/>
        <v>1</v>
      </c>
      <c r="AE298" s="1">
        <f t="shared" si="55"/>
        <v>0</v>
      </c>
      <c r="AF298" s="1">
        <f t="shared" si="56"/>
        <v>1</v>
      </c>
      <c r="AG298" s="1">
        <f t="shared" si="57"/>
        <v>1</v>
      </c>
      <c r="AH298" s="1">
        <f t="shared" si="58"/>
        <v>1</v>
      </c>
      <c r="AI298" s="1">
        <f t="shared" si="59"/>
        <v>1</v>
      </c>
      <c r="AJ298" s="1">
        <f>SUMXMY2(Z298:AI298, Occurrence!B$3:K$3)</f>
        <v>2</v>
      </c>
      <c r="AK298" s="1">
        <f t="shared" si="60"/>
        <v>8</v>
      </c>
    </row>
    <row r="299" spans="1:37">
      <c r="A299" s="1">
        <v>298</v>
      </c>
      <c r="B299" s="1">
        <v>4252297</v>
      </c>
      <c r="C299" s="6">
        <v>812</v>
      </c>
      <c r="D299" s="1">
        <v>0</v>
      </c>
      <c r="E299" s="1">
        <v>0.01</v>
      </c>
      <c r="F299" s="1">
        <v>1</v>
      </c>
      <c r="G299" s="1">
        <v>0.99</v>
      </c>
      <c r="H299" s="1">
        <v>0.66</v>
      </c>
      <c r="I299" s="1">
        <v>0.26</v>
      </c>
      <c r="J299" s="1">
        <v>0.8</v>
      </c>
      <c r="K299" s="1">
        <v>0.8</v>
      </c>
      <c r="L299" s="1">
        <v>0.6</v>
      </c>
      <c r="M299" s="1">
        <v>0.9</v>
      </c>
      <c r="N299" s="1">
        <f>(Occurrence!B$3-D299)^2</f>
        <v>0</v>
      </c>
      <c r="O299" s="1">
        <f>(Occurrence!C$3-E299)^2</f>
        <v>1E-4</v>
      </c>
      <c r="P299" s="1">
        <f>(Occurrence!D$3-F299)^2</f>
        <v>0</v>
      </c>
      <c r="Q299" s="1">
        <f>(Occurrence!E$3-G299)^2</f>
        <v>1.0000000000000018E-4</v>
      </c>
      <c r="R299" s="1">
        <f>(Occurrence!F$3-H299)^2</f>
        <v>0.43560000000000004</v>
      </c>
      <c r="S299" s="1">
        <f>(Occurrence!G$3-I299)^2</f>
        <v>6.7600000000000007E-2</v>
      </c>
      <c r="T299" s="1">
        <f>(Occurrence!H$3-J299)^2</f>
        <v>3.999999999999998E-2</v>
      </c>
      <c r="U299" s="1">
        <f>(Occurrence!I$3-K299)^2</f>
        <v>3.999999999999998E-2</v>
      </c>
      <c r="V299" s="1">
        <f>(Occurrence!J$3-L299)^2</f>
        <v>0.36</v>
      </c>
      <c r="W299" s="1">
        <f>(Occurrence!K$3-M299)^2</f>
        <v>9.999999999999995E-3</v>
      </c>
      <c r="X299" s="1">
        <f t="shared" si="49"/>
        <v>0.95340000000000014</v>
      </c>
      <c r="Z299" s="1">
        <f t="shared" si="50"/>
        <v>0</v>
      </c>
      <c r="AA299" s="1">
        <f t="shared" si="51"/>
        <v>0</v>
      </c>
      <c r="AB299" s="1">
        <f t="shared" si="52"/>
        <v>1</v>
      </c>
      <c r="AC299" s="1">
        <f t="shared" si="53"/>
        <v>1</v>
      </c>
      <c r="AD299" s="1">
        <f t="shared" si="54"/>
        <v>1</v>
      </c>
      <c r="AE299" s="1">
        <f t="shared" si="55"/>
        <v>0</v>
      </c>
      <c r="AF299" s="1">
        <f t="shared" si="56"/>
        <v>1</v>
      </c>
      <c r="AG299" s="1">
        <f t="shared" si="57"/>
        <v>1</v>
      </c>
      <c r="AH299" s="1">
        <f t="shared" si="58"/>
        <v>1</v>
      </c>
      <c r="AI299" s="1">
        <f t="shared" si="59"/>
        <v>1</v>
      </c>
      <c r="AJ299" s="1">
        <f>SUMXMY2(Z299:AI299, Occurrence!B$3:K$3)</f>
        <v>2</v>
      </c>
      <c r="AK299" s="1">
        <f t="shared" si="60"/>
        <v>8</v>
      </c>
    </row>
    <row r="300" spans="1:37">
      <c r="A300" s="1">
        <v>299</v>
      </c>
      <c r="B300" s="1">
        <v>4252298</v>
      </c>
      <c r="C300" s="6">
        <v>812</v>
      </c>
      <c r="D300" s="1">
        <v>0</v>
      </c>
      <c r="E300" s="1">
        <v>0</v>
      </c>
      <c r="F300" s="1">
        <v>0.99</v>
      </c>
      <c r="G300" s="1">
        <v>0.99</v>
      </c>
      <c r="H300" s="1">
        <v>0.5</v>
      </c>
      <c r="I300" s="1">
        <v>0.14000000000000001</v>
      </c>
      <c r="J300" s="1">
        <v>1</v>
      </c>
      <c r="K300" s="1">
        <v>0.5</v>
      </c>
      <c r="L300" s="1">
        <v>0.1</v>
      </c>
      <c r="M300" s="1">
        <v>0.99</v>
      </c>
      <c r="N300" s="1">
        <f>(Occurrence!B$3-D300)^2</f>
        <v>0</v>
      </c>
      <c r="O300" s="1">
        <f>(Occurrence!C$3-E300)^2</f>
        <v>0</v>
      </c>
      <c r="P300" s="1">
        <f>(Occurrence!D$3-F300)^2</f>
        <v>1.0000000000000018E-4</v>
      </c>
      <c r="Q300" s="1">
        <f>(Occurrence!E$3-G300)^2</f>
        <v>1.0000000000000018E-4</v>
      </c>
      <c r="R300" s="1">
        <f>(Occurrence!F$3-H300)^2</f>
        <v>0.25</v>
      </c>
      <c r="S300" s="1">
        <f>(Occurrence!G$3-I300)^2</f>
        <v>1.9600000000000003E-2</v>
      </c>
      <c r="T300" s="1">
        <f>(Occurrence!H$3-J300)^2</f>
        <v>0</v>
      </c>
      <c r="U300" s="1">
        <f>(Occurrence!I$3-K300)^2</f>
        <v>0.25</v>
      </c>
      <c r="V300" s="1">
        <f>(Occurrence!J$3-L300)^2</f>
        <v>1.0000000000000002E-2</v>
      </c>
      <c r="W300" s="1">
        <f>(Occurrence!K$3-M300)^2</f>
        <v>1.0000000000000018E-4</v>
      </c>
      <c r="X300" s="1">
        <f t="shared" si="49"/>
        <v>0.52990000000000004</v>
      </c>
      <c r="Z300" s="1">
        <f t="shared" si="50"/>
        <v>0</v>
      </c>
      <c r="AA300" s="1">
        <f t="shared" si="51"/>
        <v>0</v>
      </c>
      <c r="AB300" s="1">
        <f t="shared" si="52"/>
        <v>1</v>
      </c>
      <c r="AC300" s="1">
        <f t="shared" si="53"/>
        <v>1</v>
      </c>
      <c r="AD300" s="1">
        <f t="shared" si="54"/>
        <v>1</v>
      </c>
      <c r="AE300" s="1">
        <f t="shared" si="55"/>
        <v>0</v>
      </c>
      <c r="AF300" s="1">
        <f t="shared" si="56"/>
        <v>1</v>
      </c>
      <c r="AG300" s="1">
        <f t="shared" si="57"/>
        <v>1</v>
      </c>
      <c r="AH300" s="1">
        <f t="shared" si="58"/>
        <v>0</v>
      </c>
      <c r="AI300" s="1">
        <f t="shared" si="59"/>
        <v>1</v>
      </c>
      <c r="AJ300" s="1">
        <f>SUMXMY2(Z300:AI300, Occurrence!B$3:K$3)</f>
        <v>1</v>
      </c>
      <c r="AK300" s="1">
        <f t="shared" si="60"/>
        <v>9</v>
      </c>
    </row>
    <row r="301" spans="1:37">
      <c r="A301" s="1">
        <v>300</v>
      </c>
      <c r="B301" s="1">
        <v>4252299</v>
      </c>
      <c r="C301" s="6">
        <v>812</v>
      </c>
      <c r="D301" s="1">
        <v>0</v>
      </c>
      <c r="E301" s="1">
        <v>0</v>
      </c>
      <c r="F301" s="1">
        <v>0.99</v>
      </c>
      <c r="G301" s="1">
        <v>0.99</v>
      </c>
      <c r="H301" s="1">
        <v>0.5</v>
      </c>
      <c r="I301" s="1">
        <v>0.4</v>
      </c>
      <c r="J301" s="1">
        <v>0.8</v>
      </c>
      <c r="K301" s="1">
        <v>0.2</v>
      </c>
      <c r="L301" s="1">
        <v>0.1</v>
      </c>
      <c r="M301" s="1">
        <v>0.85</v>
      </c>
      <c r="N301" s="1">
        <f>(Occurrence!B$3-D301)^2</f>
        <v>0</v>
      </c>
      <c r="O301" s="1">
        <f>(Occurrence!C$3-E301)^2</f>
        <v>0</v>
      </c>
      <c r="P301" s="1">
        <f>(Occurrence!D$3-F301)^2</f>
        <v>1.0000000000000018E-4</v>
      </c>
      <c r="Q301" s="1">
        <f>(Occurrence!E$3-G301)^2</f>
        <v>1.0000000000000018E-4</v>
      </c>
      <c r="R301" s="1">
        <f>(Occurrence!F$3-H301)^2</f>
        <v>0.25</v>
      </c>
      <c r="S301" s="1">
        <f>(Occurrence!G$3-I301)^2</f>
        <v>0.16000000000000003</v>
      </c>
      <c r="T301" s="1">
        <f>(Occurrence!H$3-J301)^2</f>
        <v>3.999999999999998E-2</v>
      </c>
      <c r="U301" s="1">
        <f>(Occurrence!I$3-K301)^2</f>
        <v>0.64000000000000012</v>
      </c>
      <c r="V301" s="1">
        <f>(Occurrence!J$3-L301)^2</f>
        <v>1.0000000000000002E-2</v>
      </c>
      <c r="W301" s="1">
        <f>(Occurrence!K$3-M301)^2</f>
        <v>2.2500000000000006E-2</v>
      </c>
      <c r="X301" s="1">
        <f t="shared" si="49"/>
        <v>1.1227</v>
      </c>
      <c r="Z301" s="1">
        <f t="shared" si="50"/>
        <v>0</v>
      </c>
      <c r="AA301" s="1">
        <f t="shared" si="51"/>
        <v>0</v>
      </c>
      <c r="AB301" s="1">
        <f t="shared" si="52"/>
        <v>1</v>
      </c>
      <c r="AC301" s="1">
        <f t="shared" si="53"/>
        <v>1</v>
      </c>
      <c r="AD301" s="1">
        <f t="shared" si="54"/>
        <v>1</v>
      </c>
      <c r="AE301" s="1">
        <f t="shared" si="55"/>
        <v>0</v>
      </c>
      <c r="AF301" s="1">
        <f t="shared" si="56"/>
        <v>1</v>
      </c>
      <c r="AG301" s="1">
        <f t="shared" si="57"/>
        <v>0</v>
      </c>
      <c r="AH301" s="1">
        <f t="shared" si="58"/>
        <v>0</v>
      </c>
      <c r="AI301" s="1">
        <f t="shared" si="59"/>
        <v>1</v>
      </c>
      <c r="AJ301" s="1">
        <f>SUMXMY2(Z301:AI301, Occurrence!B$3:K$3)</f>
        <v>2</v>
      </c>
      <c r="AK301" s="1">
        <f t="shared" si="60"/>
        <v>8</v>
      </c>
    </row>
    <row r="302" spans="1:37">
      <c r="A302" s="1">
        <v>301</v>
      </c>
      <c r="B302" s="1">
        <v>4252300</v>
      </c>
      <c r="C302" s="6">
        <v>812</v>
      </c>
      <c r="D302" s="1">
        <v>0.05</v>
      </c>
      <c r="E302" s="1">
        <v>0.2</v>
      </c>
      <c r="F302" s="1">
        <v>0.4</v>
      </c>
      <c r="G302" s="1">
        <v>0.8</v>
      </c>
      <c r="H302" s="1">
        <v>0.7</v>
      </c>
      <c r="I302" s="1">
        <v>0.4</v>
      </c>
      <c r="J302" s="1">
        <v>0.7</v>
      </c>
      <c r="K302" s="1">
        <v>0.4</v>
      </c>
      <c r="L302" s="1">
        <v>0.09</v>
      </c>
      <c r="M302" s="1">
        <v>0.3</v>
      </c>
      <c r="N302" s="1">
        <f>(Occurrence!B$3-D302)^2</f>
        <v>2.5000000000000005E-3</v>
      </c>
      <c r="O302" s="1">
        <f>(Occurrence!C$3-E302)^2</f>
        <v>4.0000000000000008E-2</v>
      </c>
      <c r="P302" s="1">
        <f>(Occurrence!D$3-F302)^2</f>
        <v>0.36</v>
      </c>
      <c r="Q302" s="1">
        <f>(Occurrence!E$3-G302)^2</f>
        <v>3.999999999999998E-2</v>
      </c>
      <c r="R302" s="1">
        <f>(Occurrence!F$3-H302)^2</f>
        <v>0.48999999999999994</v>
      </c>
      <c r="S302" s="1">
        <f>(Occurrence!G$3-I302)^2</f>
        <v>0.16000000000000003</v>
      </c>
      <c r="T302" s="1">
        <f>(Occurrence!H$3-J302)^2</f>
        <v>9.0000000000000024E-2</v>
      </c>
      <c r="U302" s="1">
        <f>(Occurrence!I$3-K302)^2</f>
        <v>0.36</v>
      </c>
      <c r="V302" s="1">
        <f>(Occurrence!J$3-L302)^2</f>
        <v>8.0999999999999996E-3</v>
      </c>
      <c r="W302" s="1">
        <f>(Occurrence!K$3-M302)^2</f>
        <v>0.48999999999999994</v>
      </c>
      <c r="X302" s="1">
        <f t="shared" si="49"/>
        <v>2.0406</v>
      </c>
      <c r="Z302" s="1">
        <f t="shared" si="50"/>
        <v>0</v>
      </c>
      <c r="AA302" s="1">
        <f t="shared" si="51"/>
        <v>0</v>
      </c>
      <c r="AB302" s="1">
        <f t="shared" si="52"/>
        <v>0</v>
      </c>
      <c r="AC302" s="1">
        <f t="shared" si="53"/>
        <v>1</v>
      </c>
      <c r="AD302" s="1">
        <f t="shared" si="54"/>
        <v>1</v>
      </c>
      <c r="AE302" s="1">
        <f t="shared" si="55"/>
        <v>0</v>
      </c>
      <c r="AF302" s="1">
        <f t="shared" si="56"/>
        <v>1</v>
      </c>
      <c r="AG302" s="1">
        <f t="shared" si="57"/>
        <v>0</v>
      </c>
      <c r="AH302" s="1">
        <f t="shared" si="58"/>
        <v>0</v>
      </c>
      <c r="AI302" s="1">
        <f t="shared" si="59"/>
        <v>0</v>
      </c>
      <c r="AJ302" s="1">
        <f>SUMXMY2(Z302:AI302, Occurrence!B$3:K$3)</f>
        <v>4</v>
      </c>
      <c r="AK302" s="1">
        <f t="shared" si="60"/>
        <v>6</v>
      </c>
    </row>
    <row r="303" spans="1:37">
      <c r="A303" s="1">
        <v>302</v>
      </c>
      <c r="B303" s="1">
        <v>4252301</v>
      </c>
      <c r="C303" s="6">
        <v>812</v>
      </c>
      <c r="D303" s="1">
        <v>0.15</v>
      </c>
      <c r="E303" s="1">
        <v>5.8999999999999997E-2</v>
      </c>
      <c r="F303" s="1">
        <v>0.64680000000000004</v>
      </c>
      <c r="G303" s="1">
        <v>0.78169999999999995</v>
      </c>
      <c r="H303" s="1">
        <v>0</v>
      </c>
      <c r="I303" s="1">
        <v>0.4</v>
      </c>
      <c r="J303" s="1">
        <v>0.7</v>
      </c>
      <c r="K303" s="1">
        <v>0.37</v>
      </c>
      <c r="L303" s="1">
        <v>0.86</v>
      </c>
      <c r="M303" s="1">
        <v>0.96</v>
      </c>
      <c r="N303" s="1">
        <f>(Occurrence!B$3-D303)^2</f>
        <v>2.2499999999999999E-2</v>
      </c>
      <c r="O303" s="1">
        <f>(Occurrence!C$3-E303)^2</f>
        <v>3.4809999999999997E-3</v>
      </c>
      <c r="P303" s="1">
        <f>(Occurrence!D$3-F303)^2</f>
        <v>0.12475023999999997</v>
      </c>
      <c r="Q303" s="1">
        <f>(Occurrence!E$3-G303)^2</f>
        <v>4.7654890000000019E-2</v>
      </c>
      <c r="R303" s="1">
        <f>(Occurrence!F$3-H303)^2</f>
        <v>0</v>
      </c>
      <c r="S303" s="1">
        <f>(Occurrence!G$3-I303)^2</f>
        <v>0.16000000000000003</v>
      </c>
      <c r="T303" s="1">
        <f>(Occurrence!H$3-J303)^2</f>
        <v>9.0000000000000024E-2</v>
      </c>
      <c r="U303" s="1">
        <f>(Occurrence!I$3-K303)^2</f>
        <v>0.39690000000000003</v>
      </c>
      <c r="V303" s="1">
        <f>(Occurrence!J$3-L303)^2</f>
        <v>0.73959999999999992</v>
      </c>
      <c r="W303" s="1">
        <f>(Occurrence!K$3-M303)^2</f>
        <v>1.6000000000000029E-3</v>
      </c>
      <c r="X303" s="1">
        <f t="shared" si="49"/>
        <v>1.5864861300000002</v>
      </c>
      <c r="Z303" s="1">
        <f t="shared" si="50"/>
        <v>0</v>
      </c>
      <c r="AA303" s="1">
        <f t="shared" si="51"/>
        <v>0</v>
      </c>
      <c r="AB303" s="1">
        <f t="shared" si="52"/>
        <v>1</v>
      </c>
      <c r="AC303" s="1">
        <f t="shared" si="53"/>
        <v>1</v>
      </c>
      <c r="AD303" s="1">
        <f t="shared" si="54"/>
        <v>0</v>
      </c>
      <c r="AE303" s="1">
        <f t="shared" si="55"/>
        <v>0</v>
      </c>
      <c r="AF303" s="1">
        <f t="shared" si="56"/>
        <v>1</v>
      </c>
      <c r="AG303" s="1">
        <f t="shared" si="57"/>
        <v>0</v>
      </c>
      <c r="AH303" s="1">
        <f t="shared" si="58"/>
        <v>1</v>
      </c>
      <c r="AI303" s="1">
        <f t="shared" si="59"/>
        <v>1</v>
      </c>
      <c r="AJ303" s="1">
        <f>SUMXMY2(Z303:AI303, Occurrence!B$3:K$3)</f>
        <v>2</v>
      </c>
      <c r="AK303" s="1">
        <f t="shared" si="60"/>
        <v>8</v>
      </c>
    </row>
    <row r="304" spans="1:37">
      <c r="A304" s="1">
        <v>303</v>
      </c>
      <c r="B304" s="1">
        <v>4252302</v>
      </c>
      <c r="C304" s="6">
        <v>812</v>
      </c>
      <c r="D304" s="1">
        <v>0.3</v>
      </c>
      <c r="E304" s="1">
        <v>0.4</v>
      </c>
      <c r="F304" s="1">
        <v>0.7</v>
      </c>
      <c r="G304" s="1">
        <v>0.8</v>
      </c>
      <c r="H304" s="1">
        <v>1</v>
      </c>
      <c r="I304" s="1">
        <v>0</v>
      </c>
      <c r="J304" s="1">
        <v>0</v>
      </c>
      <c r="K304" s="1">
        <v>1</v>
      </c>
      <c r="L304" s="1">
        <v>1</v>
      </c>
      <c r="M304" s="1">
        <v>0</v>
      </c>
      <c r="N304" s="1">
        <f>(Occurrence!B$3-D304)^2</f>
        <v>0.09</v>
      </c>
      <c r="O304" s="1">
        <f>(Occurrence!C$3-E304)^2</f>
        <v>0.16000000000000003</v>
      </c>
      <c r="P304" s="1">
        <f>(Occurrence!D$3-F304)^2</f>
        <v>9.0000000000000024E-2</v>
      </c>
      <c r="Q304" s="1">
        <f>(Occurrence!E$3-G304)^2</f>
        <v>3.999999999999998E-2</v>
      </c>
      <c r="R304" s="1">
        <f>(Occurrence!F$3-H304)^2</f>
        <v>1</v>
      </c>
      <c r="S304" s="1">
        <f>(Occurrence!G$3-I304)^2</f>
        <v>0</v>
      </c>
      <c r="T304" s="1">
        <f>(Occurrence!H$3-J304)^2</f>
        <v>1</v>
      </c>
      <c r="U304" s="1">
        <f>(Occurrence!I$3-K304)^2</f>
        <v>0</v>
      </c>
      <c r="V304" s="1">
        <f>(Occurrence!J$3-L304)^2</f>
        <v>1</v>
      </c>
      <c r="W304" s="1">
        <f>(Occurrence!K$3-M304)^2</f>
        <v>1</v>
      </c>
      <c r="X304" s="1">
        <f t="shared" si="49"/>
        <v>4.38</v>
      </c>
      <c r="Z304" s="1">
        <f t="shared" si="50"/>
        <v>0</v>
      </c>
      <c r="AA304" s="1">
        <f t="shared" si="51"/>
        <v>0</v>
      </c>
      <c r="AB304" s="1">
        <f t="shared" si="52"/>
        <v>1</v>
      </c>
      <c r="AC304" s="1">
        <f t="shared" si="53"/>
        <v>1</v>
      </c>
      <c r="AD304" s="1">
        <f t="shared" si="54"/>
        <v>1</v>
      </c>
      <c r="AE304" s="1">
        <f t="shared" si="55"/>
        <v>0</v>
      </c>
      <c r="AF304" s="1">
        <f t="shared" si="56"/>
        <v>0</v>
      </c>
      <c r="AG304" s="1">
        <f t="shared" si="57"/>
        <v>1</v>
      </c>
      <c r="AH304" s="1">
        <f t="shared" si="58"/>
        <v>1</v>
      </c>
      <c r="AI304" s="1">
        <f t="shared" si="59"/>
        <v>0</v>
      </c>
      <c r="AJ304" s="1">
        <f>SUMXMY2(Z304:AI304, Occurrence!B$3:K$3)</f>
        <v>4</v>
      </c>
      <c r="AK304" s="1">
        <f t="shared" si="60"/>
        <v>6</v>
      </c>
    </row>
    <row r="305" spans="1:37">
      <c r="A305" s="1">
        <v>304</v>
      </c>
      <c r="B305" s="1">
        <v>4252303</v>
      </c>
      <c r="C305" s="6">
        <v>812</v>
      </c>
      <c r="D305" s="1">
        <v>0.01</v>
      </c>
      <c r="E305" s="1">
        <v>0.3</v>
      </c>
      <c r="F305" s="1">
        <v>0.8</v>
      </c>
      <c r="G305" s="1">
        <v>0.99</v>
      </c>
      <c r="H305" s="1">
        <v>0.7</v>
      </c>
      <c r="I305" s="1">
        <v>0.2</v>
      </c>
      <c r="J305" s="1">
        <v>0.5</v>
      </c>
      <c r="K305" s="1">
        <v>0.9</v>
      </c>
      <c r="L305" s="1">
        <v>0.2</v>
      </c>
      <c r="M305" s="1">
        <v>0.89</v>
      </c>
      <c r="N305" s="1">
        <f>(Occurrence!B$3-D305)^2</f>
        <v>1E-4</v>
      </c>
      <c r="O305" s="1">
        <f>(Occurrence!C$3-E305)^2</f>
        <v>0.09</v>
      </c>
      <c r="P305" s="1">
        <f>(Occurrence!D$3-F305)^2</f>
        <v>3.999999999999998E-2</v>
      </c>
      <c r="Q305" s="1">
        <f>(Occurrence!E$3-G305)^2</f>
        <v>1.0000000000000018E-4</v>
      </c>
      <c r="R305" s="1">
        <f>(Occurrence!F$3-H305)^2</f>
        <v>0.48999999999999994</v>
      </c>
      <c r="S305" s="1">
        <f>(Occurrence!G$3-I305)^2</f>
        <v>4.0000000000000008E-2</v>
      </c>
      <c r="T305" s="1">
        <f>(Occurrence!H$3-J305)^2</f>
        <v>0.25</v>
      </c>
      <c r="U305" s="1">
        <f>(Occurrence!I$3-K305)^2</f>
        <v>9.999999999999995E-3</v>
      </c>
      <c r="V305" s="1">
        <f>(Occurrence!J$3-L305)^2</f>
        <v>4.0000000000000008E-2</v>
      </c>
      <c r="W305" s="1">
        <f>(Occurrence!K$3-M305)^2</f>
        <v>1.2099999999999998E-2</v>
      </c>
      <c r="X305" s="1">
        <f t="shared" si="49"/>
        <v>0.97229999999999994</v>
      </c>
      <c r="Z305" s="1">
        <f t="shared" si="50"/>
        <v>0</v>
      </c>
      <c r="AA305" s="1">
        <f t="shared" si="51"/>
        <v>0</v>
      </c>
      <c r="AB305" s="1">
        <f t="shared" si="52"/>
        <v>1</v>
      </c>
      <c r="AC305" s="1">
        <f t="shared" si="53"/>
        <v>1</v>
      </c>
      <c r="AD305" s="1">
        <f t="shared" si="54"/>
        <v>1</v>
      </c>
      <c r="AE305" s="1">
        <f t="shared" si="55"/>
        <v>0</v>
      </c>
      <c r="AF305" s="1">
        <f t="shared" si="56"/>
        <v>1</v>
      </c>
      <c r="AG305" s="1">
        <f t="shared" si="57"/>
        <v>1</v>
      </c>
      <c r="AH305" s="1">
        <f t="shared" si="58"/>
        <v>0</v>
      </c>
      <c r="AI305" s="1">
        <f t="shared" si="59"/>
        <v>1</v>
      </c>
      <c r="AJ305" s="1">
        <f>SUMXMY2(Z305:AI305, Occurrence!B$3:K$3)</f>
        <v>1</v>
      </c>
      <c r="AK305" s="1">
        <f t="shared" si="60"/>
        <v>9</v>
      </c>
    </row>
    <row r="306" spans="1:37">
      <c r="A306" s="1">
        <v>305</v>
      </c>
      <c r="B306" s="1">
        <v>4252304</v>
      </c>
      <c r="C306" s="6">
        <v>812</v>
      </c>
      <c r="D306" s="1">
        <v>0.05</v>
      </c>
      <c r="E306" s="1">
        <v>0.02</v>
      </c>
      <c r="F306" s="1">
        <v>0.8</v>
      </c>
      <c r="G306" s="1">
        <v>0.95</v>
      </c>
      <c r="H306" s="1">
        <v>0.75</v>
      </c>
      <c r="I306" s="1">
        <v>0.4</v>
      </c>
      <c r="J306" s="1">
        <v>0.9</v>
      </c>
      <c r="K306" s="1">
        <v>0.47</v>
      </c>
      <c r="L306" s="1">
        <v>0.1</v>
      </c>
      <c r="M306" s="1">
        <v>0.7</v>
      </c>
      <c r="N306" s="1">
        <f>(Occurrence!B$3-D306)^2</f>
        <v>2.5000000000000005E-3</v>
      </c>
      <c r="O306" s="1">
        <f>(Occurrence!C$3-E306)^2</f>
        <v>4.0000000000000002E-4</v>
      </c>
      <c r="P306" s="1">
        <f>(Occurrence!D$3-F306)^2</f>
        <v>3.999999999999998E-2</v>
      </c>
      <c r="Q306" s="1">
        <f>(Occurrence!E$3-G306)^2</f>
        <v>2.5000000000000044E-3</v>
      </c>
      <c r="R306" s="1">
        <f>(Occurrence!F$3-H306)^2</f>
        <v>0.5625</v>
      </c>
      <c r="S306" s="1">
        <f>(Occurrence!G$3-I306)^2</f>
        <v>0.16000000000000003</v>
      </c>
      <c r="T306" s="1">
        <f>(Occurrence!H$3-J306)^2</f>
        <v>9.999999999999995E-3</v>
      </c>
      <c r="U306" s="1">
        <f>(Occurrence!I$3-K306)^2</f>
        <v>0.28090000000000004</v>
      </c>
      <c r="V306" s="1">
        <f>(Occurrence!J$3-L306)^2</f>
        <v>1.0000000000000002E-2</v>
      </c>
      <c r="W306" s="1">
        <f>(Occurrence!K$3-M306)^2</f>
        <v>9.0000000000000024E-2</v>
      </c>
      <c r="X306" s="1">
        <f t="shared" si="49"/>
        <v>1.1588000000000003</v>
      </c>
      <c r="Z306" s="1">
        <f t="shared" si="50"/>
        <v>0</v>
      </c>
      <c r="AA306" s="1">
        <f t="shared" si="51"/>
        <v>0</v>
      </c>
      <c r="AB306" s="1">
        <f t="shared" si="52"/>
        <v>1</v>
      </c>
      <c r="AC306" s="1">
        <f t="shared" si="53"/>
        <v>1</v>
      </c>
      <c r="AD306" s="1">
        <f t="shared" si="54"/>
        <v>1</v>
      </c>
      <c r="AE306" s="1">
        <f t="shared" si="55"/>
        <v>0</v>
      </c>
      <c r="AF306" s="1">
        <f t="shared" si="56"/>
        <v>1</v>
      </c>
      <c r="AG306" s="1">
        <f t="shared" si="57"/>
        <v>0</v>
      </c>
      <c r="AH306" s="1">
        <f t="shared" si="58"/>
        <v>0</v>
      </c>
      <c r="AI306" s="1">
        <f t="shared" si="59"/>
        <v>1</v>
      </c>
      <c r="AJ306" s="1">
        <f>SUMXMY2(Z306:AI306, Occurrence!B$3:K$3)</f>
        <v>2</v>
      </c>
      <c r="AK306" s="1">
        <f t="shared" si="60"/>
        <v>8</v>
      </c>
    </row>
    <row r="307" spans="1:37">
      <c r="A307" s="1">
        <v>306</v>
      </c>
      <c r="B307" s="1">
        <v>4252305</v>
      </c>
      <c r="C307" s="6">
        <v>812</v>
      </c>
      <c r="D307" s="1">
        <v>0.64681</v>
      </c>
      <c r="E307" s="1">
        <v>0.35320000000000001</v>
      </c>
      <c r="F307" s="1">
        <v>0.5</v>
      </c>
      <c r="G307" s="1">
        <v>0.6</v>
      </c>
      <c r="H307" s="1">
        <v>0.6</v>
      </c>
      <c r="I307" s="1">
        <v>0.4</v>
      </c>
      <c r="J307" s="1">
        <v>0.1</v>
      </c>
      <c r="K307" s="1">
        <v>0.7</v>
      </c>
      <c r="L307" s="1">
        <v>0.4</v>
      </c>
      <c r="M307" s="1">
        <v>0.6</v>
      </c>
      <c r="N307" s="1">
        <f>(Occurrence!B$3-D307)^2</f>
        <v>0.41836317610000001</v>
      </c>
      <c r="O307" s="1">
        <f>(Occurrence!C$3-E307)^2</f>
        <v>0.12475024000000001</v>
      </c>
      <c r="P307" s="1">
        <f>(Occurrence!D$3-F307)^2</f>
        <v>0.25</v>
      </c>
      <c r="Q307" s="1">
        <f>(Occurrence!E$3-G307)^2</f>
        <v>0.16000000000000003</v>
      </c>
      <c r="R307" s="1">
        <f>(Occurrence!F$3-H307)^2</f>
        <v>0.36</v>
      </c>
      <c r="S307" s="1">
        <f>(Occurrence!G$3-I307)^2</f>
        <v>0.16000000000000003</v>
      </c>
      <c r="T307" s="1">
        <f>(Occurrence!H$3-J307)^2</f>
        <v>0.81</v>
      </c>
      <c r="U307" s="1">
        <f>(Occurrence!I$3-K307)^2</f>
        <v>9.0000000000000024E-2</v>
      </c>
      <c r="V307" s="1">
        <f>(Occurrence!J$3-L307)^2</f>
        <v>0.16000000000000003</v>
      </c>
      <c r="W307" s="1">
        <f>(Occurrence!K$3-M307)^2</f>
        <v>0.16000000000000003</v>
      </c>
      <c r="X307" s="1">
        <f t="shared" si="49"/>
        <v>2.6931134161000001</v>
      </c>
      <c r="Z307" s="1">
        <f t="shared" si="50"/>
        <v>1</v>
      </c>
      <c r="AA307" s="1">
        <f t="shared" si="51"/>
        <v>0</v>
      </c>
      <c r="AB307" s="1">
        <f t="shared" si="52"/>
        <v>1</v>
      </c>
      <c r="AC307" s="1">
        <f t="shared" si="53"/>
        <v>1</v>
      </c>
      <c r="AD307" s="1">
        <f t="shared" si="54"/>
        <v>1</v>
      </c>
      <c r="AE307" s="1">
        <f t="shared" si="55"/>
        <v>0</v>
      </c>
      <c r="AF307" s="1">
        <f t="shared" si="56"/>
        <v>0</v>
      </c>
      <c r="AG307" s="1">
        <f t="shared" si="57"/>
        <v>1</v>
      </c>
      <c r="AH307" s="1">
        <f t="shared" si="58"/>
        <v>0</v>
      </c>
      <c r="AI307" s="1">
        <f t="shared" si="59"/>
        <v>1</v>
      </c>
      <c r="AJ307" s="1">
        <f>SUMXMY2(Z307:AI307, Occurrence!B$3:K$3)</f>
        <v>3</v>
      </c>
      <c r="AK307" s="1">
        <f t="shared" si="60"/>
        <v>7</v>
      </c>
    </row>
    <row r="308" spans="1:37">
      <c r="A308" s="1">
        <v>307</v>
      </c>
      <c r="B308" s="1">
        <v>4252306</v>
      </c>
      <c r="C308" s="6">
        <v>812</v>
      </c>
      <c r="D308" s="1">
        <v>9.4000000000000004E-3</v>
      </c>
      <c r="E308" s="1">
        <v>7.0800000000000002E-2</v>
      </c>
      <c r="F308" s="1">
        <v>0.76890000000000003</v>
      </c>
      <c r="G308" s="1">
        <v>0.59770000000000001</v>
      </c>
      <c r="H308" s="1">
        <v>0.77829999999999999</v>
      </c>
      <c r="I308" s="1">
        <v>0.4</v>
      </c>
      <c r="J308" s="1">
        <v>0.33</v>
      </c>
      <c r="K308" s="1">
        <v>0.86</v>
      </c>
      <c r="L308" s="1">
        <v>0.35</v>
      </c>
      <c r="M308" s="1">
        <v>0.8</v>
      </c>
      <c r="N308" s="1">
        <f>(Occurrence!B$3-D308)^2</f>
        <v>8.8360000000000001E-5</v>
      </c>
      <c r="O308" s="1">
        <f>(Occurrence!C$3-E308)^2</f>
        <v>5.0126400000000005E-3</v>
      </c>
      <c r="P308" s="1">
        <f>(Occurrence!D$3-F308)^2</f>
        <v>5.340720999999999E-2</v>
      </c>
      <c r="Q308" s="1">
        <f>(Occurrence!E$3-G308)^2</f>
        <v>0.16184529</v>
      </c>
      <c r="R308" s="1">
        <f>(Occurrence!F$3-H308)^2</f>
        <v>0.60575089000000004</v>
      </c>
      <c r="S308" s="1">
        <f>(Occurrence!G$3-I308)^2</f>
        <v>0.16000000000000003</v>
      </c>
      <c r="T308" s="1">
        <f>(Occurrence!H$3-J308)^2</f>
        <v>0.44889999999999991</v>
      </c>
      <c r="U308" s="1">
        <f>(Occurrence!I$3-K308)^2</f>
        <v>1.9600000000000003E-2</v>
      </c>
      <c r="V308" s="1">
        <f>(Occurrence!J$3-L308)^2</f>
        <v>0.12249999999999998</v>
      </c>
      <c r="W308" s="1">
        <f>(Occurrence!K$3-M308)^2</f>
        <v>3.999999999999998E-2</v>
      </c>
      <c r="X308" s="1">
        <f t="shared" si="49"/>
        <v>1.6171043900000002</v>
      </c>
      <c r="Z308" s="1">
        <f t="shared" si="50"/>
        <v>0</v>
      </c>
      <c r="AA308" s="1">
        <f t="shared" si="51"/>
        <v>0</v>
      </c>
      <c r="AB308" s="1">
        <f t="shared" si="52"/>
        <v>1</v>
      </c>
      <c r="AC308" s="1">
        <f t="shared" si="53"/>
        <v>1</v>
      </c>
      <c r="AD308" s="1">
        <f t="shared" si="54"/>
        <v>1</v>
      </c>
      <c r="AE308" s="1">
        <f t="shared" si="55"/>
        <v>0</v>
      </c>
      <c r="AF308" s="1">
        <f t="shared" si="56"/>
        <v>0</v>
      </c>
      <c r="AG308" s="1">
        <f t="shared" si="57"/>
        <v>1</v>
      </c>
      <c r="AH308" s="1">
        <f t="shared" si="58"/>
        <v>0</v>
      </c>
      <c r="AI308" s="1">
        <f t="shared" si="59"/>
        <v>1</v>
      </c>
      <c r="AJ308" s="1">
        <f>SUMXMY2(Z308:AI308, Occurrence!B$3:K$3)</f>
        <v>2</v>
      </c>
      <c r="AK308" s="1">
        <f t="shared" si="60"/>
        <v>8</v>
      </c>
    </row>
    <row r="309" spans="1:37">
      <c r="A309" s="1">
        <v>308</v>
      </c>
      <c r="B309" s="1">
        <v>4252307</v>
      </c>
      <c r="C309" s="6">
        <v>812</v>
      </c>
      <c r="D309" s="1">
        <v>0</v>
      </c>
      <c r="E309" s="1">
        <v>1E-3</v>
      </c>
      <c r="F309" s="1">
        <v>0.7</v>
      </c>
      <c r="G309" s="1">
        <v>0.8</v>
      </c>
      <c r="H309" s="1">
        <v>1</v>
      </c>
      <c r="I309" s="1">
        <v>0</v>
      </c>
      <c r="J309" s="1">
        <v>1</v>
      </c>
      <c r="K309" s="1">
        <v>1</v>
      </c>
      <c r="L309" s="1">
        <v>0</v>
      </c>
      <c r="M309" s="1">
        <v>0.95</v>
      </c>
      <c r="N309" s="1">
        <f>(Occurrence!B$3-D309)^2</f>
        <v>0</v>
      </c>
      <c r="O309" s="1">
        <f>(Occurrence!C$3-E309)^2</f>
        <v>9.9999999999999995E-7</v>
      </c>
      <c r="P309" s="1">
        <f>(Occurrence!D$3-F309)^2</f>
        <v>9.0000000000000024E-2</v>
      </c>
      <c r="Q309" s="1">
        <f>(Occurrence!E$3-G309)^2</f>
        <v>3.999999999999998E-2</v>
      </c>
      <c r="R309" s="1">
        <f>(Occurrence!F$3-H309)^2</f>
        <v>1</v>
      </c>
      <c r="S309" s="1">
        <f>(Occurrence!G$3-I309)^2</f>
        <v>0</v>
      </c>
      <c r="T309" s="1">
        <f>(Occurrence!H$3-J309)^2</f>
        <v>0</v>
      </c>
      <c r="U309" s="1">
        <f>(Occurrence!I$3-K309)^2</f>
        <v>0</v>
      </c>
      <c r="V309" s="1">
        <f>(Occurrence!J$3-L309)^2</f>
        <v>0</v>
      </c>
      <c r="W309" s="1">
        <f>(Occurrence!K$3-M309)^2</f>
        <v>2.5000000000000044E-3</v>
      </c>
      <c r="X309" s="1">
        <f t="shared" si="49"/>
        <v>1.132501</v>
      </c>
      <c r="Z309" s="1">
        <f t="shared" si="50"/>
        <v>0</v>
      </c>
      <c r="AA309" s="1">
        <f t="shared" si="51"/>
        <v>0</v>
      </c>
      <c r="AB309" s="1">
        <f t="shared" si="52"/>
        <v>1</v>
      </c>
      <c r="AC309" s="1">
        <f t="shared" si="53"/>
        <v>1</v>
      </c>
      <c r="AD309" s="1">
        <f t="shared" si="54"/>
        <v>1</v>
      </c>
      <c r="AE309" s="1">
        <f t="shared" si="55"/>
        <v>0</v>
      </c>
      <c r="AF309" s="1">
        <f t="shared" si="56"/>
        <v>1</v>
      </c>
      <c r="AG309" s="1">
        <f t="shared" si="57"/>
        <v>1</v>
      </c>
      <c r="AH309" s="1">
        <f t="shared" si="58"/>
        <v>0</v>
      </c>
      <c r="AI309" s="1">
        <f t="shared" si="59"/>
        <v>1</v>
      </c>
      <c r="AJ309" s="1">
        <f>SUMXMY2(Z309:AI309, Occurrence!B$3:K$3)</f>
        <v>1</v>
      </c>
      <c r="AK309" s="1">
        <f t="shared" si="60"/>
        <v>9</v>
      </c>
    </row>
    <row r="310" spans="1:37">
      <c r="A310" s="1">
        <v>309</v>
      </c>
      <c r="B310" s="1">
        <v>4252308</v>
      </c>
      <c r="C310" s="6">
        <v>812</v>
      </c>
      <c r="D310" s="1">
        <v>0</v>
      </c>
      <c r="E310" s="1">
        <v>1E-3</v>
      </c>
      <c r="F310" s="1">
        <v>0.7</v>
      </c>
      <c r="G310" s="1">
        <v>0.8</v>
      </c>
      <c r="H310" s="1">
        <v>1</v>
      </c>
      <c r="I310" s="1">
        <v>0</v>
      </c>
      <c r="J310" s="1">
        <v>1</v>
      </c>
      <c r="K310" s="1">
        <v>1</v>
      </c>
      <c r="L310" s="1">
        <v>0</v>
      </c>
      <c r="M310" s="1">
        <v>0.95</v>
      </c>
      <c r="N310" s="1">
        <f>(Occurrence!B$3-D310)^2</f>
        <v>0</v>
      </c>
      <c r="O310" s="1">
        <f>(Occurrence!C$3-E310)^2</f>
        <v>9.9999999999999995E-7</v>
      </c>
      <c r="P310" s="1">
        <f>(Occurrence!D$3-F310)^2</f>
        <v>9.0000000000000024E-2</v>
      </c>
      <c r="Q310" s="1">
        <f>(Occurrence!E$3-G310)^2</f>
        <v>3.999999999999998E-2</v>
      </c>
      <c r="R310" s="1">
        <f>(Occurrence!F$3-H310)^2</f>
        <v>1</v>
      </c>
      <c r="S310" s="1">
        <f>(Occurrence!G$3-I310)^2</f>
        <v>0</v>
      </c>
      <c r="T310" s="1">
        <f>(Occurrence!H$3-J310)^2</f>
        <v>0</v>
      </c>
      <c r="U310" s="1">
        <f>(Occurrence!I$3-K310)^2</f>
        <v>0</v>
      </c>
      <c r="V310" s="1">
        <f>(Occurrence!J$3-L310)^2</f>
        <v>0</v>
      </c>
      <c r="W310" s="1">
        <f>(Occurrence!K$3-M310)^2</f>
        <v>2.5000000000000044E-3</v>
      </c>
      <c r="X310" s="1">
        <f t="shared" si="49"/>
        <v>1.132501</v>
      </c>
      <c r="Z310" s="1">
        <f t="shared" si="50"/>
        <v>0</v>
      </c>
      <c r="AA310" s="1">
        <f t="shared" si="51"/>
        <v>0</v>
      </c>
      <c r="AB310" s="1">
        <f t="shared" si="52"/>
        <v>1</v>
      </c>
      <c r="AC310" s="1">
        <f t="shared" si="53"/>
        <v>1</v>
      </c>
      <c r="AD310" s="1">
        <f t="shared" si="54"/>
        <v>1</v>
      </c>
      <c r="AE310" s="1">
        <f t="shared" si="55"/>
        <v>0</v>
      </c>
      <c r="AF310" s="1">
        <f t="shared" si="56"/>
        <v>1</v>
      </c>
      <c r="AG310" s="1">
        <f t="shared" si="57"/>
        <v>1</v>
      </c>
      <c r="AH310" s="1">
        <f t="shared" si="58"/>
        <v>0</v>
      </c>
      <c r="AI310" s="1">
        <f t="shared" si="59"/>
        <v>1</v>
      </c>
      <c r="AJ310" s="1">
        <f>SUMXMY2(Z310:AI310, Occurrence!B$3:K$3)</f>
        <v>1</v>
      </c>
      <c r="AK310" s="1">
        <f t="shared" si="60"/>
        <v>9</v>
      </c>
    </row>
    <row r="311" spans="1:37">
      <c r="A311" s="1">
        <v>310</v>
      </c>
      <c r="B311" s="1">
        <v>4252309</v>
      </c>
      <c r="C311" s="6">
        <v>812</v>
      </c>
      <c r="D311" s="1">
        <v>1E-3</v>
      </c>
      <c r="E311" s="1">
        <v>0.01</v>
      </c>
      <c r="F311" s="1">
        <v>0.2</v>
      </c>
      <c r="G311" s="1">
        <v>0.5</v>
      </c>
      <c r="H311" s="1">
        <v>0.7</v>
      </c>
      <c r="I311" s="1">
        <v>5.0000000000000001E-3</v>
      </c>
      <c r="J311" s="1">
        <v>0</v>
      </c>
      <c r="K311" s="1">
        <v>0.8</v>
      </c>
      <c r="L311" s="1">
        <v>0.99</v>
      </c>
      <c r="M311" s="1">
        <v>0.5</v>
      </c>
      <c r="N311" s="1">
        <f>(Occurrence!B$3-D311)^2</f>
        <v>9.9999999999999995E-7</v>
      </c>
      <c r="O311" s="1">
        <f>(Occurrence!C$3-E311)^2</f>
        <v>1E-4</v>
      </c>
      <c r="P311" s="1">
        <f>(Occurrence!D$3-F311)^2</f>
        <v>0.64000000000000012</v>
      </c>
      <c r="Q311" s="1">
        <f>(Occurrence!E$3-G311)^2</f>
        <v>0.25</v>
      </c>
      <c r="R311" s="1">
        <f>(Occurrence!F$3-H311)^2</f>
        <v>0.48999999999999994</v>
      </c>
      <c r="S311" s="1">
        <f>(Occurrence!G$3-I311)^2</f>
        <v>2.5000000000000001E-5</v>
      </c>
      <c r="T311" s="1">
        <f>(Occurrence!H$3-J311)^2</f>
        <v>1</v>
      </c>
      <c r="U311" s="1">
        <f>(Occurrence!I$3-K311)^2</f>
        <v>3.999999999999998E-2</v>
      </c>
      <c r="V311" s="1">
        <f>(Occurrence!J$3-L311)^2</f>
        <v>0.98009999999999997</v>
      </c>
      <c r="W311" s="1">
        <f>(Occurrence!K$3-M311)^2</f>
        <v>0.25</v>
      </c>
      <c r="X311" s="1">
        <f t="shared" si="49"/>
        <v>3.650226</v>
      </c>
      <c r="Z311" s="1">
        <f t="shared" si="50"/>
        <v>0</v>
      </c>
      <c r="AA311" s="1">
        <f t="shared" si="51"/>
        <v>0</v>
      </c>
      <c r="AB311" s="1">
        <f t="shared" si="52"/>
        <v>0</v>
      </c>
      <c r="AC311" s="1">
        <f t="shared" si="53"/>
        <v>1</v>
      </c>
      <c r="AD311" s="1">
        <f t="shared" si="54"/>
        <v>1</v>
      </c>
      <c r="AE311" s="1">
        <f t="shared" si="55"/>
        <v>0</v>
      </c>
      <c r="AF311" s="1">
        <f t="shared" si="56"/>
        <v>0</v>
      </c>
      <c r="AG311" s="1">
        <f t="shared" si="57"/>
        <v>1</v>
      </c>
      <c r="AH311" s="1">
        <f t="shared" si="58"/>
        <v>1</v>
      </c>
      <c r="AI311" s="1">
        <f t="shared" si="59"/>
        <v>1</v>
      </c>
      <c r="AJ311" s="1">
        <f>SUMXMY2(Z311:AI311, Occurrence!B$3:K$3)</f>
        <v>4</v>
      </c>
      <c r="AK311" s="1">
        <f t="shared" si="60"/>
        <v>6</v>
      </c>
    </row>
    <row r="312" spans="1:37">
      <c r="A312" s="1">
        <v>311</v>
      </c>
      <c r="B312" s="1">
        <v>4252310</v>
      </c>
      <c r="C312" s="6">
        <v>812</v>
      </c>
      <c r="D312" s="1">
        <v>0.05</v>
      </c>
      <c r="E312" s="1">
        <v>0.09</v>
      </c>
      <c r="F312" s="1">
        <v>0.23499999999999999</v>
      </c>
      <c r="G312" s="1">
        <v>4.7E-2</v>
      </c>
      <c r="H312" s="1">
        <v>0.05</v>
      </c>
      <c r="I312" s="1">
        <v>0</v>
      </c>
      <c r="J312" s="1">
        <v>0.999</v>
      </c>
      <c r="K312" s="1">
        <v>0.05</v>
      </c>
      <c r="L312" s="1">
        <v>1E-3</v>
      </c>
      <c r="M312" s="1">
        <v>0.09</v>
      </c>
      <c r="N312" s="1">
        <f>(Occurrence!B$3-D312)^2</f>
        <v>2.5000000000000005E-3</v>
      </c>
      <c r="O312" s="1">
        <f>(Occurrence!C$3-E312)^2</f>
        <v>8.0999999999999996E-3</v>
      </c>
      <c r="P312" s="1">
        <f>(Occurrence!D$3-F312)^2</f>
        <v>0.585225</v>
      </c>
      <c r="Q312" s="1">
        <f>(Occurrence!E$3-G312)^2</f>
        <v>0.90820899999999993</v>
      </c>
      <c r="R312" s="1">
        <f>(Occurrence!F$3-H312)^2</f>
        <v>2.5000000000000005E-3</v>
      </c>
      <c r="S312" s="1">
        <f>(Occurrence!G$3-I312)^2</f>
        <v>0</v>
      </c>
      <c r="T312" s="1">
        <f>(Occurrence!H$3-J312)^2</f>
        <v>1.0000000000000019E-6</v>
      </c>
      <c r="U312" s="1">
        <f>(Occurrence!I$3-K312)^2</f>
        <v>0.90249999999999997</v>
      </c>
      <c r="V312" s="1">
        <f>(Occurrence!J$3-L312)^2</f>
        <v>9.9999999999999995E-7</v>
      </c>
      <c r="W312" s="1">
        <f>(Occurrence!K$3-M312)^2</f>
        <v>0.82810000000000006</v>
      </c>
      <c r="X312" s="1">
        <f t="shared" si="49"/>
        <v>3.237136</v>
      </c>
      <c r="Z312" s="1">
        <f t="shared" si="50"/>
        <v>0</v>
      </c>
      <c r="AA312" s="1">
        <f t="shared" si="51"/>
        <v>0</v>
      </c>
      <c r="AB312" s="1">
        <f t="shared" si="52"/>
        <v>0</v>
      </c>
      <c r="AC312" s="1">
        <f t="shared" si="53"/>
        <v>0</v>
      </c>
      <c r="AD312" s="1">
        <f t="shared" si="54"/>
        <v>0</v>
      </c>
      <c r="AE312" s="1">
        <f t="shared" si="55"/>
        <v>0</v>
      </c>
      <c r="AF312" s="1">
        <f t="shared" si="56"/>
        <v>1</v>
      </c>
      <c r="AG312" s="1">
        <f t="shared" si="57"/>
        <v>0</v>
      </c>
      <c r="AH312" s="1">
        <f t="shared" si="58"/>
        <v>0</v>
      </c>
      <c r="AI312" s="1">
        <f t="shared" si="59"/>
        <v>0</v>
      </c>
      <c r="AJ312" s="1">
        <f>SUMXMY2(Z312:AI312, Occurrence!B$3:K$3)</f>
        <v>4</v>
      </c>
      <c r="AK312" s="1">
        <f t="shared" si="60"/>
        <v>6</v>
      </c>
    </row>
    <row r="313" spans="1:37">
      <c r="A313" s="1">
        <v>312</v>
      </c>
      <c r="B313" s="1">
        <v>4252311</v>
      </c>
      <c r="C313" s="6">
        <v>812</v>
      </c>
      <c r="D313" s="1">
        <v>0.01</v>
      </c>
      <c r="E313" s="1">
        <v>1E-3</v>
      </c>
      <c r="F313" s="1">
        <v>0.9</v>
      </c>
      <c r="G313" s="1">
        <v>0.99990000000000001</v>
      </c>
      <c r="H313" s="1">
        <v>0.2</v>
      </c>
      <c r="I313" s="1">
        <v>0.1</v>
      </c>
      <c r="J313" s="1">
        <v>0.04</v>
      </c>
      <c r="K313" s="1">
        <v>0.15</v>
      </c>
      <c r="L313" s="1">
        <v>0.75</v>
      </c>
      <c r="M313" s="1">
        <v>0.55000000000000004</v>
      </c>
      <c r="N313" s="1">
        <f>(Occurrence!B$3-D313)^2</f>
        <v>1E-4</v>
      </c>
      <c r="O313" s="1">
        <f>(Occurrence!C$3-E313)^2</f>
        <v>9.9999999999999995E-7</v>
      </c>
      <c r="P313" s="1">
        <f>(Occurrence!D$3-F313)^2</f>
        <v>9.999999999999995E-3</v>
      </c>
      <c r="Q313" s="1">
        <f>(Occurrence!E$3-G313)^2</f>
        <v>9.9999999999977966E-9</v>
      </c>
      <c r="R313" s="1">
        <f>(Occurrence!F$3-H313)^2</f>
        <v>4.0000000000000008E-2</v>
      </c>
      <c r="S313" s="1">
        <f>(Occurrence!G$3-I313)^2</f>
        <v>1.0000000000000002E-2</v>
      </c>
      <c r="T313" s="1">
        <f>(Occurrence!H$3-J313)^2</f>
        <v>0.92159999999999997</v>
      </c>
      <c r="U313" s="1">
        <f>(Occurrence!I$3-K313)^2</f>
        <v>0.72249999999999992</v>
      </c>
      <c r="V313" s="1">
        <f>(Occurrence!J$3-L313)^2</f>
        <v>0.5625</v>
      </c>
      <c r="W313" s="1">
        <f>(Occurrence!K$3-M313)^2</f>
        <v>0.20249999999999996</v>
      </c>
      <c r="X313" s="1">
        <f t="shared" si="49"/>
        <v>2.4692010099999999</v>
      </c>
      <c r="Z313" s="1">
        <f t="shared" si="50"/>
        <v>0</v>
      </c>
      <c r="AA313" s="1">
        <f t="shared" si="51"/>
        <v>0</v>
      </c>
      <c r="AB313" s="1">
        <f t="shared" si="52"/>
        <v>1</v>
      </c>
      <c r="AC313" s="1">
        <f t="shared" si="53"/>
        <v>1</v>
      </c>
      <c r="AD313" s="1">
        <f t="shared" si="54"/>
        <v>0</v>
      </c>
      <c r="AE313" s="1">
        <f t="shared" si="55"/>
        <v>0</v>
      </c>
      <c r="AF313" s="1">
        <f t="shared" si="56"/>
        <v>0</v>
      </c>
      <c r="AG313" s="1">
        <f t="shared" si="57"/>
        <v>0</v>
      </c>
      <c r="AH313" s="1">
        <f t="shared" si="58"/>
        <v>1</v>
      </c>
      <c r="AI313" s="1">
        <f t="shared" si="59"/>
        <v>1</v>
      </c>
      <c r="AJ313" s="1">
        <f>SUMXMY2(Z313:AI313, Occurrence!B$3:K$3)</f>
        <v>3</v>
      </c>
      <c r="AK313" s="1">
        <f t="shared" si="60"/>
        <v>7</v>
      </c>
    </row>
    <row r="314" spans="1:37">
      <c r="A314" s="1">
        <v>313</v>
      </c>
      <c r="B314" s="1">
        <v>4252312</v>
      </c>
      <c r="C314" s="6" t="s">
        <v>34</v>
      </c>
      <c r="D314" s="1">
        <v>0.02</v>
      </c>
      <c r="E314" s="1">
        <v>0.05</v>
      </c>
      <c r="F314" s="1">
        <v>0.8</v>
      </c>
      <c r="G314" s="1">
        <v>0.9</v>
      </c>
      <c r="H314" s="1">
        <v>0.18</v>
      </c>
      <c r="I314" s="1">
        <v>0.13</v>
      </c>
      <c r="J314" s="1">
        <v>0.12</v>
      </c>
      <c r="K314" s="1">
        <v>0.75</v>
      </c>
      <c r="L314" s="1">
        <v>0.03</v>
      </c>
      <c r="M314" s="1">
        <v>0.78</v>
      </c>
      <c r="N314" s="1">
        <f>(Occurrence!B$3-D314)^2</f>
        <v>4.0000000000000002E-4</v>
      </c>
      <c r="O314" s="1">
        <f>(Occurrence!C$3-E314)^2</f>
        <v>2.5000000000000005E-3</v>
      </c>
      <c r="P314" s="1">
        <f>(Occurrence!D$3-F314)^2</f>
        <v>3.999999999999998E-2</v>
      </c>
      <c r="Q314" s="1">
        <f>(Occurrence!E$3-G314)^2</f>
        <v>9.999999999999995E-3</v>
      </c>
      <c r="R314" s="1">
        <f>(Occurrence!F$3-H314)^2</f>
        <v>3.2399999999999998E-2</v>
      </c>
      <c r="S314" s="1">
        <f>(Occurrence!G$3-I314)^2</f>
        <v>1.6900000000000002E-2</v>
      </c>
      <c r="T314" s="1">
        <f>(Occurrence!H$3-J314)^2</f>
        <v>0.77439999999999998</v>
      </c>
      <c r="U314" s="1">
        <f>(Occurrence!I$3-K314)^2</f>
        <v>6.25E-2</v>
      </c>
      <c r="V314" s="1">
        <f>(Occurrence!J$3-L314)^2</f>
        <v>8.9999999999999998E-4</v>
      </c>
      <c r="W314" s="1">
        <f>(Occurrence!K$3-M314)^2</f>
        <v>4.8399999999999992E-2</v>
      </c>
      <c r="X314" s="1">
        <f t="shared" si="49"/>
        <v>0.98839999999999995</v>
      </c>
      <c r="Z314" s="1">
        <f t="shared" si="50"/>
        <v>0</v>
      </c>
      <c r="AA314" s="1">
        <f t="shared" si="51"/>
        <v>0</v>
      </c>
      <c r="AB314" s="1">
        <f t="shared" si="52"/>
        <v>1</v>
      </c>
      <c r="AC314" s="1">
        <f t="shared" si="53"/>
        <v>1</v>
      </c>
      <c r="AD314" s="1">
        <f t="shared" si="54"/>
        <v>0</v>
      </c>
      <c r="AE314" s="1">
        <f t="shared" si="55"/>
        <v>0</v>
      </c>
      <c r="AF314" s="1">
        <f t="shared" si="56"/>
        <v>0</v>
      </c>
      <c r="AG314" s="1">
        <f t="shared" si="57"/>
        <v>1</v>
      </c>
      <c r="AH314" s="1">
        <f t="shared" si="58"/>
        <v>0</v>
      </c>
      <c r="AI314" s="1">
        <f t="shared" si="59"/>
        <v>1</v>
      </c>
      <c r="AJ314" s="1">
        <f>SUMXMY2(Z314:AI314, Occurrence!B$3:K$3)</f>
        <v>1</v>
      </c>
      <c r="AK314" s="1">
        <f t="shared" si="60"/>
        <v>9</v>
      </c>
    </row>
    <row r="315" spans="1:37">
      <c r="A315" s="1">
        <v>314</v>
      </c>
      <c r="B315" s="1">
        <v>4252313</v>
      </c>
      <c r="C315" s="6" t="s">
        <v>34</v>
      </c>
      <c r="D315" s="1">
        <v>1.2600000000000001E-3</v>
      </c>
      <c r="E315" s="1">
        <v>5.45E-3</v>
      </c>
      <c r="F315" s="1">
        <v>0.99873999999999996</v>
      </c>
      <c r="G315" s="1">
        <v>0.99399999999999999</v>
      </c>
      <c r="H315" s="1">
        <v>5.5000000000000003E-4</v>
      </c>
      <c r="I315" s="1">
        <v>0.56540000000000001</v>
      </c>
      <c r="J315" s="1">
        <v>0.78620000000000001</v>
      </c>
      <c r="K315" s="1">
        <v>0.85429999999999995</v>
      </c>
      <c r="L315" s="1">
        <v>0.60719999999999996</v>
      </c>
      <c r="M315" s="1">
        <v>0.47649999999999998</v>
      </c>
      <c r="N315" s="1">
        <f>(Occurrence!B$3-D315)^2</f>
        <v>1.5876000000000001E-6</v>
      </c>
      <c r="O315" s="1">
        <f>(Occurrence!C$3-E315)^2</f>
        <v>2.9702499999999999E-5</v>
      </c>
      <c r="P315" s="1">
        <f>(Occurrence!D$3-F315)^2</f>
        <v>1.5876000000000979E-6</v>
      </c>
      <c r="Q315" s="1">
        <f>(Occurrence!E$3-G315)^2</f>
        <v>3.6000000000000062E-5</v>
      </c>
      <c r="R315" s="1">
        <f>(Occurrence!F$3-H315)^2</f>
        <v>3.0250000000000002E-7</v>
      </c>
      <c r="S315" s="1">
        <f>(Occurrence!G$3-I315)^2</f>
        <v>0.31967716000000002</v>
      </c>
      <c r="T315" s="1">
        <f>(Occurrence!H$3-J315)^2</f>
        <v>4.5710439999999998E-2</v>
      </c>
      <c r="U315" s="1">
        <f>(Occurrence!I$3-K315)^2</f>
        <v>2.1228490000000017E-2</v>
      </c>
      <c r="V315" s="1">
        <f>(Occurrence!J$3-L315)^2</f>
        <v>0.36869183999999994</v>
      </c>
      <c r="W315" s="1">
        <f>(Occurrence!K$3-M315)^2</f>
        <v>0.27405225000000005</v>
      </c>
      <c r="X315" s="1">
        <f t="shared" si="49"/>
        <v>1.0294293602</v>
      </c>
      <c r="Z315" s="1">
        <f t="shared" si="50"/>
        <v>0</v>
      </c>
      <c r="AA315" s="1">
        <f t="shared" si="51"/>
        <v>0</v>
      </c>
      <c r="AB315" s="1">
        <f t="shared" si="52"/>
        <v>1</v>
      </c>
      <c r="AC315" s="1">
        <f t="shared" si="53"/>
        <v>1</v>
      </c>
      <c r="AD315" s="1">
        <f t="shared" si="54"/>
        <v>0</v>
      </c>
      <c r="AE315" s="1">
        <f t="shared" si="55"/>
        <v>1</v>
      </c>
      <c r="AF315" s="1">
        <f t="shared" si="56"/>
        <v>1</v>
      </c>
      <c r="AG315" s="1">
        <f t="shared" si="57"/>
        <v>1</v>
      </c>
      <c r="AH315" s="1">
        <f t="shared" si="58"/>
        <v>1</v>
      </c>
      <c r="AI315" s="1">
        <f t="shared" si="59"/>
        <v>0</v>
      </c>
      <c r="AJ315" s="1">
        <f>SUMXMY2(Z315:AI315, Occurrence!B$3:K$3)</f>
        <v>3</v>
      </c>
      <c r="AK315" s="1">
        <f t="shared" si="60"/>
        <v>7</v>
      </c>
    </row>
    <row r="316" spans="1:37">
      <c r="A316" s="1">
        <v>315</v>
      </c>
      <c r="B316" s="1">
        <v>4252314</v>
      </c>
      <c r="C316" s="6" t="s">
        <v>34</v>
      </c>
      <c r="D316" s="1">
        <v>0.1</v>
      </c>
      <c r="E316" s="1">
        <v>0.3</v>
      </c>
      <c r="F316" s="1">
        <v>0.6</v>
      </c>
      <c r="G316" s="1">
        <v>0.8</v>
      </c>
      <c r="H316" s="1">
        <v>0.3</v>
      </c>
      <c r="I316" s="1">
        <v>0.6</v>
      </c>
      <c r="J316" s="1">
        <v>0.9</v>
      </c>
      <c r="K316" s="1">
        <v>0.7</v>
      </c>
      <c r="L316" s="1">
        <v>0.2</v>
      </c>
      <c r="M316" s="1">
        <v>0.8</v>
      </c>
      <c r="N316" s="1">
        <f>(Occurrence!B$3-D316)^2</f>
        <v>1.0000000000000002E-2</v>
      </c>
      <c r="O316" s="1">
        <f>(Occurrence!C$3-E316)^2</f>
        <v>0.09</v>
      </c>
      <c r="P316" s="1">
        <f>(Occurrence!D$3-F316)^2</f>
        <v>0.16000000000000003</v>
      </c>
      <c r="Q316" s="1">
        <f>(Occurrence!E$3-G316)^2</f>
        <v>3.999999999999998E-2</v>
      </c>
      <c r="R316" s="1">
        <f>(Occurrence!F$3-H316)^2</f>
        <v>0.09</v>
      </c>
      <c r="S316" s="1">
        <f>(Occurrence!G$3-I316)^2</f>
        <v>0.36</v>
      </c>
      <c r="T316" s="1">
        <f>(Occurrence!H$3-J316)^2</f>
        <v>9.999999999999995E-3</v>
      </c>
      <c r="U316" s="1">
        <f>(Occurrence!I$3-K316)^2</f>
        <v>9.0000000000000024E-2</v>
      </c>
      <c r="V316" s="1">
        <f>(Occurrence!J$3-L316)^2</f>
        <v>4.0000000000000008E-2</v>
      </c>
      <c r="W316" s="1">
        <f>(Occurrence!K$3-M316)^2</f>
        <v>3.999999999999998E-2</v>
      </c>
      <c r="X316" s="1">
        <f t="shared" si="49"/>
        <v>0.93000000000000016</v>
      </c>
      <c r="Z316" s="1">
        <f t="shared" si="50"/>
        <v>0</v>
      </c>
      <c r="AA316" s="1">
        <f t="shared" si="51"/>
        <v>0</v>
      </c>
      <c r="AB316" s="1">
        <f t="shared" si="52"/>
        <v>1</v>
      </c>
      <c r="AC316" s="1">
        <f t="shared" si="53"/>
        <v>1</v>
      </c>
      <c r="AD316" s="1">
        <f t="shared" si="54"/>
        <v>0</v>
      </c>
      <c r="AE316" s="1">
        <f t="shared" si="55"/>
        <v>1</v>
      </c>
      <c r="AF316" s="1">
        <f t="shared" si="56"/>
        <v>1</v>
      </c>
      <c r="AG316" s="1">
        <f t="shared" si="57"/>
        <v>1</v>
      </c>
      <c r="AH316" s="1">
        <f t="shared" si="58"/>
        <v>0</v>
      </c>
      <c r="AI316" s="1">
        <f t="shared" si="59"/>
        <v>1</v>
      </c>
      <c r="AJ316" s="1">
        <f>SUMXMY2(Z316:AI316, Occurrence!B$3:K$3)</f>
        <v>1</v>
      </c>
      <c r="AK316" s="1">
        <f t="shared" si="60"/>
        <v>9</v>
      </c>
    </row>
    <row r="317" spans="1:37">
      <c r="A317" s="1">
        <v>316</v>
      </c>
      <c r="B317" s="1">
        <v>4252315</v>
      </c>
      <c r="C317" s="6" t="s">
        <v>34</v>
      </c>
      <c r="D317" s="1">
        <v>0.25</v>
      </c>
      <c r="E317" s="1">
        <v>0.4</v>
      </c>
      <c r="F317" s="1">
        <v>0.25</v>
      </c>
      <c r="G317" s="1">
        <v>0.4</v>
      </c>
      <c r="H317" s="1">
        <v>0.5</v>
      </c>
      <c r="I317" s="1">
        <v>0.6</v>
      </c>
      <c r="J317" s="1">
        <v>0.9</v>
      </c>
      <c r="K317" s="1">
        <v>0.15</v>
      </c>
      <c r="L317" s="1">
        <v>0.27</v>
      </c>
      <c r="M317" s="1">
        <v>0.64</v>
      </c>
      <c r="N317" s="1">
        <f>(Occurrence!B$3-D317)^2</f>
        <v>6.25E-2</v>
      </c>
      <c r="O317" s="1">
        <f>(Occurrence!C$3-E317)^2</f>
        <v>0.16000000000000003</v>
      </c>
      <c r="P317" s="1">
        <f>(Occurrence!D$3-F317)^2</f>
        <v>0.5625</v>
      </c>
      <c r="Q317" s="1">
        <f>(Occurrence!E$3-G317)^2</f>
        <v>0.36</v>
      </c>
      <c r="R317" s="1">
        <f>(Occurrence!F$3-H317)^2</f>
        <v>0.25</v>
      </c>
      <c r="S317" s="1">
        <f>(Occurrence!G$3-I317)^2</f>
        <v>0.36</v>
      </c>
      <c r="T317" s="1">
        <f>(Occurrence!H$3-J317)^2</f>
        <v>9.999999999999995E-3</v>
      </c>
      <c r="U317" s="1">
        <f>(Occurrence!I$3-K317)^2</f>
        <v>0.72249999999999992</v>
      </c>
      <c r="V317" s="1">
        <f>(Occurrence!J$3-L317)^2</f>
        <v>7.2900000000000006E-2</v>
      </c>
      <c r="W317" s="1">
        <f>(Occurrence!K$3-M317)^2</f>
        <v>0.12959999999999999</v>
      </c>
      <c r="X317" s="1">
        <f t="shared" si="49"/>
        <v>2.69</v>
      </c>
      <c r="Z317" s="1">
        <f t="shared" si="50"/>
        <v>0</v>
      </c>
      <c r="AA317" s="1">
        <f t="shared" si="51"/>
        <v>0</v>
      </c>
      <c r="AB317" s="1">
        <f t="shared" si="52"/>
        <v>0</v>
      </c>
      <c r="AC317" s="1">
        <f t="shared" si="53"/>
        <v>0</v>
      </c>
      <c r="AD317" s="1">
        <f t="shared" si="54"/>
        <v>1</v>
      </c>
      <c r="AE317" s="1">
        <f t="shared" si="55"/>
        <v>1</v>
      </c>
      <c r="AF317" s="1">
        <f t="shared" si="56"/>
        <v>1</v>
      </c>
      <c r="AG317" s="1">
        <f t="shared" si="57"/>
        <v>0</v>
      </c>
      <c r="AH317" s="1">
        <f t="shared" si="58"/>
        <v>0</v>
      </c>
      <c r="AI317" s="1">
        <f t="shared" si="59"/>
        <v>1</v>
      </c>
      <c r="AJ317" s="1">
        <f>SUMXMY2(Z317:AI317, Occurrence!B$3:K$3)</f>
        <v>5</v>
      </c>
      <c r="AK317" s="1">
        <f t="shared" si="60"/>
        <v>5</v>
      </c>
    </row>
    <row r="318" spans="1:37">
      <c r="A318" s="1">
        <v>317</v>
      </c>
      <c r="B318" s="1">
        <v>4252316</v>
      </c>
      <c r="C318" s="6" t="s">
        <v>34</v>
      </c>
      <c r="D318" s="1">
        <v>0</v>
      </c>
      <c r="E318" s="1">
        <v>0</v>
      </c>
      <c r="F318" s="1">
        <v>0.8</v>
      </c>
      <c r="G318" s="1">
        <v>0.9</v>
      </c>
      <c r="H318" s="1">
        <v>0.3</v>
      </c>
      <c r="I318" s="1">
        <v>0.5</v>
      </c>
      <c r="J318" s="1">
        <v>1</v>
      </c>
      <c r="K318" s="1">
        <v>0.1</v>
      </c>
      <c r="L318" s="1">
        <v>0.1</v>
      </c>
      <c r="M318" s="1">
        <v>0.6</v>
      </c>
      <c r="N318" s="1">
        <f>(Occurrence!B$3-D318)^2</f>
        <v>0</v>
      </c>
      <c r="O318" s="1">
        <f>(Occurrence!C$3-E318)^2</f>
        <v>0</v>
      </c>
      <c r="P318" s="1">
        <f>(Occurrence!D$3-F318)^2</f>
        <v>3.999999999999998E-2</v>
      </c>
      <c r="Q318" s="1">
        <f>(Occurrence!E$3-G318)^2</f>
        <v>9.999999999999995E-3</v>
      </c>
      <c r="R318" s="1">
        <f>(Occurrence!F$3-H318)^2</f>
        <v>0.09</v>
      </c>
      <c r="S318" s="1">
        <f>(Occurrence!G$3-I318)^2</f>
        <v>0.25</v>
      </c>
      <c r="T318" s="1">
        <f>(Occurrence!H$3-J318)^2</f>
        <v>0</v>
      </c>
      <c r="U318" s="1">
        <f>(Occurrence!I$3-K318)^2</f>
        <v>0.81</v>
      </c>
      <c r="V318" s="1">
        <f>(Occurrence!J$3-L318)^2</f>
        <v>1.0000000000000002E-2</v>
      </c>
      <c r="W318" s="1">
        <f>(Occurrence!K$3-M318)^2</f>
        <v>0.16000000000000003</v>
      </c>
      <c r="X318" s="1">
        <f t="shared" si="49"/>
        <v>1.37</v>
      </c>
      <c r="Z318" s="1">
        <f t="shared" si="50"/>
        <v>0</v>
      </c>
      <c r="AA318" s="1">
        <f t="shared" si="51"/>
        <v>0</v>
      </c>
      <c r="AB318" s="1">
        <f t="shared" si="52"/>
        <v>1</v>
      </c>
      <c r="AC318" s="1">
        <f t="shared" si="53"/>
        <v>1</v>
      </c>
      <c r="AD318" s="1">
        <f t="shared" si="54"/>
        <v>0</v>
      </c>
      <c r="AE318" s="1">
        <f t="shared" si="55"/>
        <v>1</v>
      </c>
      <c r="AF318" s="1">
        <f t="shared" si="56"/>
        <v>1</v>
      </c>
      <c r="AG318" s="1">
        <f t="shared" si="57"/>
        <v>0</v>
      </c>
      <c r="AH318" s="1">
        <f t="shared" si="58"/>
        <v>0</v>
      </c>
      <c r="AI318" s="1">
        <f t="shared" si="59"/>
        <v>1</v>
      </c>
      <c r="AJ318" s="1">
        <f>SUMXMY2(Z318:AI318, Occurrence!B$3:K$3)</f>
        <v>2</v>
      </c>
      <c r="AK318" s="1">
        <f t="shared" si="60"/>
        <v>8</v>
      </c>
    </row>
    <row r="319" spans="1:37">
      <c r="A319" s="1">
        <v>318</v>
      </c>
      <c r="B319" s="1">
        <v>4252317</v>
      </c>
      <c r="C319" s="6" t="s">
        <v>34</v>
      </c>
      <c r="D319" s="1">
        <v>0.2</v>
      </c>
      <c r="E319" s="1">
        <v>0.2</v>
      </c>
      <c r="F319" s="1">
        <v>0.8</v>
      </c>
      <c r="G319" s="1">
        <v>0.8</v>
      </c>
      <c r="H319" s="1">
        <v>0.5</v>
      </c>
      <c r="I319" s="1">
        <v>0.5</v>
      </c>
      <c r="J319" s="1">
        <v>1</v>
      </c>
      <c r="K319" s="1">
        <v>0.1</v>
      </c>
      <c r="L319" s="1">
        <v>0.1</v>
      </c>
      <c r="M319" s="1">
        <v>0.6</v>
      </c>
      <c r="N319" s="1">
        <f>(Occurrence!B$3-D319)^2</f>
        <v>4.0000000000000008E-2</v>
      </c>
      <c r="O319" s="1">
        <f>(Occurrence!C$3-E319)^2</f>
        <v>4.0000000000000008E-2</v>
      </c>
      <c r="P319" s="1">
        <f>(Occurrence!D$3-F319)^2</f>
        <v>3.999999999999998E-2</v>
      </c>
      <c r="Q319" s="1">
        <f>(Occurrence!E$3-G319)^2</f>
        <v>3.999999999999998E-2</v>
      </c>
      <c r="R319" s="1">
        <f>(Occurrence!F$3-H319)^2</f>
        <v>0.25</v>
      </c>
      <c r="S319" s="1">
        <f>(Occurrence!G$3-I319)^2</f>
        <v>0.25</v>
      </c>
      <c r="T319" s="1">
        <f>(Occurrence!H$3-J319)^2</f>
        <v>0</v>
      </c>
      <c r="U319" s="1">
        <f>(Occurrence!I$3-K319)^2</f>
        <v>0.81</v>
      </c>
      <c r="V319" s="1">
        <f>(Occurrence!J$3-L319)^2</f>
        <v>1.0000000000000002E-2</v>
      </c>
      <c r="W319" s="1">
        <f>(Occurrence!K$3-M319)^2</f>
        <v>0.16000000000000003</v>
      </c>
      <c r="X319" s="1">
        <f t="shared" si="49"/>
        <v>1.6400000000000001</v>
      </c>
      <c r="Z319" s="1">
        <f t="shared" si="50"/>
        <v>0</v>
      </c>
      <c r="AA319" s="1">
        <f t="shared" si="51"/>
        <v>0</v>
      </c>
      <c r="AB319" s="1">
        <f t="shared" si="52"/>
        <v>1</v>
      </c>
      <c r="AC319" s="1">
        <f t="shared" si="53"/>
        <v>1</v>
      </c>
      <c r="AD319" s="1">
        <f t="shared" si="54"/>
        <v>1</v>
      </c>
      <c r="AE319" s="1">
        <f t="shared" si="55"/>
        <v>1</v>
      </c>
      <c r="AF319" s="1">
        <f t="shared" si="56"/>
        <v>1</v>
      </c>
      <c r="AG319" s="1">
        <f t="shared" si="57"/>
        <v>0</v>
      </c>
      <c r="AH319" s="1">
        <f t="shared" si="58"/>
        <v>0</v>
      </c>
      <c r="AI319" s="1">
        <f t="shared" si="59"/>
        <v>1</v>
      </c>
      <c r="AJ319" s="1">
        <f>SUMXMY2(Z319:AI319, Occurrence!B$3:K$3)</f>
        <v>3</v>
      </c>
      <c r="AK319" s="1">
        <f t="shared" si="60"/>
        <v>7</v>
      </c>
    </row>
    <row r="320" spans="1:37">
      <c r="A320" s="1">
        <v>319</v>
      </c>
      <c r="B320" s="1">
        <v>4252318</v>
      </c>
      <c r="C320" s="6" t="s">
        <v>34</v>
      </c>
      <c r="D320" s="1">
        <v>0.1</v>
      </c>
      <c r="E320" s="1">
        <v>0.1</v>
      </c>
      <c r="F320" s="1">
        <v>0.4</v>
      </c>
      <c r="G320" s="1">
        <v>0.8</v>
      </c>
      <c r="H320" s="1">
        <v>0.5</v>
      </c>
      <c r="I320" s="1">
        <v>0.5</v>
      </c>
      <c r="J320" s="1">
        <v>1</v>
      </c>
      <c r="K320" s="1">
        <v>0.1</v>
      </c>
      <c r="L320" s="1">
        <v>0.1</v>
      </c>
      <c r="M320" s="1">
        <v>0.6</v>
      </c>
      <c r="N320" s="1">
        <f>(Occurrence!B$3-D320)^2</f>
        <v>1.0000000000000002E-2</v>
      </c>
      <c r="O320" s="1">
        <f>(Occurrence!C$3-E320)^2</f>
        <v>1.0000000000000002E-2</v>
      </c>
      <c r="P320" s="1">
        <f>(Occurrence!D$3-F320)^2</f>
        <v>0.36</v>
      </c>
      <c r="Q320" s="1">
        <f>(Occurrence!E$3-G320)^2</f>
        <v>3.999999999999998E-2</v>
      </c>
      <c r="R320" s="1">
        <f>(Occurrence!F$3-H320)^2</f>
        <v>0.25</v>
      </c>
      <c r="S320" s="1">
        <f>(Occurrence!G$3-I320)^2</f>
        <v>0.25</v>
      </c>
      <c r="T320" s="1">
        <f>(Occurrence!H$3-J320)^2</f>
        <v>0</v>
      </c>
      <c r="U320" s="1">
        <f>(Occurrence!I$3-K320)^2</f>
        <v>0.81</v>
      </c>
      <c r="V320" s="1">
        <f>(Occurrence!J$3-L320)^2</f>
        <v>1.0000000000000002E-2</v>
      </c>
      <c r="W320" s="1">
        <f>(Occurrence!K$3-M320)^2</f>
        <v>0.16000000000000003</v>
      </c>
      <c r="X320" s="1">
        <f t="shared" si="49"/>
        <v>1.9</v>
      </c>
      <c r="Z320" s="1">
        <f t="shared" si="50"/>
        <v>0</v>
      </c>
      <c r="AA320" s="1">
        <f t="shared" si="51"/>
        <v>0</v>
      </c>
      <c r="AB320" s="1">
        <f t="shared" si="52"/>
        <v>0</v>
      </c>
      <c r="AC320" s="1">
        <f t="shared" si="53"/>
        <v>1</v>
      </c>
      <c r="AD320" s="1">
        <f t="shared" si="54"/>
        <v>1</v>
      </c>
      <c r="AE320" s="1">
        <f t="shared" si="55"/>
        <v>1</v>
      </c>
      <c r="AF320" s="1">
        <f t="shared" si="56"/>
        <v>1</v>
      </c>
      <c r="AG320" s="1">
        <f t="shared" si="57"/>
        <v>0</v>
      </c>
      <c r="AH320" s="1">
        <f t="shared" si="58"/>
        <v>0</v>
      </c>
      <c r="AI320" s="1">
        <f t="shared" si="59"/>
        <v>1</v>
      </c>
      <c r="AJ320" s="1">
        <f>SUMXMY2(Z320:AI320, Occurrence!B$3:K$3)</f>
        <v>4</v>
      </c>
      <c r="AK320" s="1">
        <f t="shared" si="60"/>
        <v>6</v>
      </c>
    </row>
    <row r="321" spans="1:37">
      <c r="A321" s="1">
        <v>320</v>
      </c>
      <c r="B321" s="1">
        <v>4252319</v>
      </c>
      <c r="C321" s="6" t="s">
        <v>34</v>
      </c>
      <c r="D321" s="1">
        <v>0.2</v>
      </c>
      <c r="E321" s="1">
        <v>0.4</v>
      </c>
      <c r="F321" s="1">
        <v>0.3</v>
      </c>
      <c r="G321" s="1">
        <v>0.4</v>
      </c>
      <c r="H321" s="1">
        <v>0.2</v>
      </c>
      <c r="I321" s="1">
        <v>0.1</v>
      </c>
      <c r="J321" s="1">
        <v>0.9</v>
      </c>
      <c r="K321" s="1">
        <v>0.9</v>
      </c>
      <c r="L321" s="1">
        <v>0.1</v>
      </c>
      <c r="M321" s="1">
        <v>0.7</v>
      </c>
      <c r="N321" s="1">
        <f>(Occurrence!B$3-D321)^2</f>
        <v>4.0000000000000008E-2</v>
      </c>
      <c r="O321" s="1">
        <f>(Occurrence!C$3-E321)^2</f>
        <v>0.16000000000000003</v>
      </c>
      <c r="P321" s="1">
        <f>(Occurrence!D$3-F321)^2</f>
        <v>0.48999999999999994</v>
      </c>
      <c r="Q321" s="1">
        <f>(Occurrence!E$3-G321)^2</f>
        <v>0.36</v>
      </c>
      <c r="R321" s="1">
        <f>(Occurrence!F$3-H321)^2</f>
        <v>4.0000000000000008E-2</v>
      </c>
      <c r="S321" s="1">
        <f>(Occurrence!G$3-I321)^2</f>
        <v>1.0000000000000002E-2</v>
      </c>
      <c r="T321" s="1">
        <f>(Occurrence!H$3-J321)^2</f>
        <v>9.999999999999995E-3</v>
      </c>
      <c r="U321" s="1">
        <f>(Occurrence!I$3-K321)^2</f>
        <v>9.999999999999995E-3</v>
      </c>
      <c r="V321" s="1">
        <f>(Occurrence!J$3-L321)^2</f>
        <v>1.0000000000000002E-2</v>
      </c>
      <c r="W321" s="1">
        <f>(Occurrence!K$3-M321)^2</f>
        <v>9.0000000000000024E-2</v>
      </c>
      <c r="X321" s="1">
        <f t="shared" si="49"/>
        <v>1.22</v>
      </c>
      <c r="Z321" s="1">
        <f t="shared" si="50"/>
        <v>0</v>
      </c>
      <c r="AA321" s="1">
        <f t="shared" si="51"/>
        <v>0</v>
      </c>
      <c r="AB321" s="1">
        <f t="shared" si="52"/>
        <v>0</v>
      </c>
      <c r="AC321" s="1">
        <f t="shared" si="53"/>
        <v>0</v>
      </c>
      <c r="AD321" s="1">
        <f t="shared" si="54"/>
        <v>0</v>
      </c>
      <c r="AE321" s="1">
        <f t="shared" si="55"/>
        <v>0</v>
      </c>
      <c r="AF321" s="1">
        <f t="shared" si="56"/>
        <v>1</v>
      </c>
      <c r="AG321" s="1">
        <f t="shared" si="57"/>
        <v>1</v>
      </c>
      <c r="AH321" s="1">
        <f t="shared" si="58"/>
        <v>0</v>
      </c>
      <c r="AI321" s="1">
        <f t="shared" si="59"/>
        <v>1</v>
      </c>
      <c r="AJ321" s="1">
        <f>SUMXMY2(Z321:AI321, Occurrence!B$3:K$3)</f>
        <v>2</v>
      </c>
      <c r="AK321" s="1">
        <f t="shared" si="60"/>
        <v>8</v>
      </c>
    </row>
    <row r="322" spans="1:37">
      <c r="A322" s="1">
        <v>321</v>
      </c>
      <c r="B322" s="1">
        <v>4252320</v>
      </c>
      <c r="C322" s="6" t="s">
        <v>34</v>
      </c>
      <c r="D322" s="1">
        <v>0.1</v>
      </c>
      <c r="E322" s="1">
        <v>0.05</v>
      </c>
      <c r="F322" s="1">
        <v>0.85</v>
      </c>
      <c r="G322" s="1">
        <v>0.87</v>
      </c>
      <c r="H322" s="1">
        <v>0.2</v>
      </c>
      <c r="I322" s="1">
        <v>0.63</v>
      </c>
      <c r="J322" s="1">
        <v>0.9</v>
      </c>
      <c r="K322" s="1">
        <v>0.9</v>
      </c>
      <c r="L322" s="1">
        <v>0.4</v>
      </c>
      <c r="M322" s="1">
        <v>0.7</v>
      </c>
      <c r="N322" s="1">
        <f>(Occurrence!B$3-D322)^2</f>
        <v>1.0000000000000002E-2</v>
      </c>
      <c r="O322" s="1">
        <f>(Occurrence!C$3-E322)^2</f>
        <v>2.5000000000000005E-3</v>
      </c>
      <c r="P322" s="1">
        <f>(Occurrence!D$3-F322)^2</f>
        <v>2.2500000000000006E-2</v>
      </c>
      <c r="Q322" s="1">
        <f>(Occurrence!E$3-G322)^2</f>
        <v>1.6900000000000002E-2</v>
      </c>
      <c r="R322" s="1">
        <f>(Occurrence!F$3-H322)^2</f>
        <v>4.0000000000000008E-2</v>
      </c>
      <c r="S322" s="1">
        <f>(Occurrence!G$3-I322)^2</f>
        <v>0.39690000000000003</v>
      </c>
      <c r="T322" s="1">
        <f>(Occurrence!H$3-J322)^2</f>
        <v>9.999999999999995E-3</v>
      </c>
      <c r="U322" s="1">
        <f>(Occurrence!I$3-K322)^2</f>
        <v>9.999999999999995E-3</v>
      </c>
      <c r="V322" s="1">
        <f>(Occurrence!J$3-L322)^2</f>
        <v>0.16000000000000003</v>
      </c>
      <c r="W322" s="1">
        <f>(Occurrence!K$3-M322)^2</f>
        <v>9.0000000000000024E-2</v>
      </c>
      <c r="X322" s="1">
        <f t="shared" si="49"/>
        <v>0.75880000000000014</v>
      </c>
      <c r="Z322" s="1">
        <f t="shared" si="50"/>
        <v>0</v>
      </c>
      <c r="AA322" s="1">
        <f t="shared" si="51"/>
        <v>0</v>
      </c>
      <c r="AB322" s="1">
        <f t="shared" si="52"/>
        <v>1</v>
      </c>
      <c r="AC322" s="1">
        <f t="shared" si="53"/>
        <v>1</v>
      </c>
      <c r="AD322" s="1">
        <f t="shared" si="54"/>
        <v>0</v>
      </c>
      <c r="AE322" s="1">
        <f t="shared" si="55"/>
        <v>1</v>
      </c>
      <c r="AF322" s="1">
        <f t="shared" si="56"/>
        <v>1</v>
      </c>
      <c r="AG322" s="1">
        <f t="shared" si="57"/>
        <v>1</v>
      </c>
      <c r="AH322" s="1">
        <f t="shared" si="58"/>
        <v>0</v>
      </c>
      <c r="AI322" s="1">
        <f t="shared" si="59"/>
        <v>1</v>
      </c>
      <c r="AJ322" s="1">
        <f>SUMXMY2(Z322:AI322, Occurrence!B$3:K$3)</f>
        <v>1</v>
      </c>
      <c r="AK322" s="1">
        <f t="shared" si="60"/>
        <v>9</v>
      </c>
    </row>
    <row r="323" spans="1:37">
      <c r="A323" s="1">
        <v>322</v>
      </c>
      <c r="B323" s="1">
        <v>4252321</v>
      </c>
      <c r="C323" s="6" t="s">
        <v>34</v>
      </c>
      <c r="D323" s="1">
        <v>0.2</v>
      </c>
      <c r="E323" s="1">
        <v>0.4</v>
      </c>
      <c r="F323" s="1">
        <v>0.3</v>
      </c>
      <c r="G323" s="1">
        <v>0.4</v>
      </c>
      <c r="H323" s="1">
        <v>0.2</v>
      </c>
      <c r="I323" s="1">
        <v>0.1</v>
      </c>
      <c r="J323" s="1">
        <v>0.9</v>
      </c>
      <c r="K323" s="1">
        <v>0.9</v>
      </c>
      <c r="L323" s="1">
        <v>0.1</v>
      </c>
      <c r="M323" s="1">
        <v>0.7</v>
      </c>
      <c r="N323" s="1">
        <f>(Occurrence!B$3-D323)^2</f>
        <v>4.0000000000000008E-2</v>
      </c>
      <c r="O323" s="1">
        <f>(Occurrence!C$3-E323)^2</f>
        <v>0.16000000000000003</v>
      </c>
      <c r="P323" s="1">
        <f>(Occurrence!D$3-F323)^2</f>
        <v>0.48999999999999994</v>
      </c>
      <c r="Q323" s="1">
        <f>(Occurrence!E$3-G323)^2</f>
        <v>0.36</v>
      </c>
      <c r="R323" s="1">
        <f>(Occurrence!F$3-H323)^2</f>
        <v>4.0000000000000008E-2</v>
      </c>
      <c r="S323" s="1">
        <f>(Occurrence!G$3-I323)^2</f>
        <v>1.0000000000000002E-2</v>
      </c>
      <c r="T323" s="1">
        <f>(Occurrence!H$3-J323)^2</f>
        <v>9.999999999999995E-3</v>
      </c>
      <c r="U323" s="1">
        <f>(Occurrence!I$3-K323)^2</f>
        <v>9.999999999999995E-3</v>
      </c>
      <c r="V323" s="1">
        <f>(Occurrence!J$3-L323)^2</f>
        <v>1.0000000000000002E-2</v>
      </c>
      <c r="W323" s="1">
        <f>(Occurrence!K$3-M323)^2</f>
        <v>9.0000000000000024E-2</v>
      </c>
      <c r="X323" s="1">
        <f t="shared" ref="X323:X386" si="61">SUM(N323:W323)</f>
        <v>1.22</v>
      </c>
      <c r="Z323" s="1">
        <f t="shared" ref="Z323:Z386" si="62">ROUND(D323, 0)</f>
        <v>0</v>
      </c>
      <c r="AA323" s="1">
        <f t="shared" ref="AA323:AA386" si="63">ROUND(E323, 0)</f>
        <v>0</v>
      </c>
      <c r="AB323" s="1">
        <f t="shared" ref="AB323:AB386" si="64">ROUND(F323, 0)</f>
        <v>0</v>
      </c>
      <c r="AC323" s="1">
        <f t="shared" ref="AC323:AC386" si="65">ROUND(G323, 0)</f>
        <v>0</v>
      </c>
      <c r="AD323" s="1">
        <f t="shared" ref="AD323:AD386" si="66">ROUND(H323, 0)</f>
        <v>0</v>
      </c>
      <c r="AE323" s="1">
        <f t="shared" ref="AE323:AE386" si="67">ROUND(I323, 0)</f>
        <v>0</v>
      </c>
      <c r="AF323" s="1">
        <f t="shared" ref="AF323:AF386" si="68">ROUND(J323, 0)</f>
        <v>1</v>
      </c>
      <c r="AG323" s="1">
        <f t="shared" ref="AG323:AG386" si="69">ROUND(K323, 0)</f>
        <v>1</v>
      </c>
      <c r="AH323" s="1">
        <f t="shared" ref="AH323:AH386" si="70">ROUND(L323, 0)</f>
        <v>0</v>
      </c>
      <c r="AI323" s="1">
        <f t="shared" ref="AI323:AI386" si="71">ROUND(M323, 0)</f>
        <v>1</v>
      </c>
      <c r="AJ323" s="1">
        <f>SUMXMY2(Z323:AI323, Occurrence!B$3:K$3)</f>
        <v>2</v>
      </c>
      <c r="AK323" s="1">
        <f t="shared" ref="AK323:AK386" si="72">10-AJ323</f>
        <v>8</v>
      </c>
    </row>
    <row r="324" spans="1:37">
      <c r="A324" s="1">
        <v>323</v>
      </c>
      <c r="B324" s="1">
        <v>4252322</v>
      </c>
      <c r="C324" s="6" t="s">
        <v>34</v>
      </c>
      <c r="D324" s="1">
        <v>0.2</v>
      </c>
      <c r="E324" s="1">
        <v>0.4</v>
      </c>
      <c r="F324" s="1">
        <v>0.2</v>
      </c>
      <c r="G324" s="1">
        <v>0.4</v>
      </c>
      <c r="H324" s="1">
        <v>0.4</v>
      </c>
      <c r="I324" s="1">
        <v>0.1</v>
      </c>
      <c r="J324" s="1">
        <v>0.9</v>
      </c>
      <c r="K324" s="1">
        <v>1</v>
      </c>
      <c r="L324" s="1">
        <v>0.25</v>
      </c>
      <c r="M324" s="1">
        <v>0.8</v>
      </c>
      <c r="N324" s="1">
        <f>(Occurrence!B$3-D324)^2</f>
        <v>4.0000000000000008E-2</v>
      </c>
      <c r="O324" s="1">
        <f>(Occurrence!C$3-E324)^2</f>
        <v>0.16000000000000003</v>
      </c>
      <c r="P324" s="1">
        <f>(Occurrence!D$3-F324)^2</f>
        <v>0.64000000000000012</v>
      </c>
      <c r="Q324" s="1">
        <f>(Occurrence!E$3-G324)^2</f>
        <v>0.36</v>
      </c>
      <c r="R324" s="1">
        <f>(Occurrence!F$3-H324)^2</f>
        <v>0.16000000000000003</v>
      </c>
      <c r="S324" s="1">
        <f>(Occurrence!G$3-I324)^2</f>
        <v>1.0000000000000002E-2</v>
      </c>
      <c r="T324" s="1">
        <f>(Occurrence!H$3-J324)^2</f>
        <v>9.999999999999995E-3</v>
      </c>
      <c r="U324" s="1">
        <f>(Occurrence!I$3-K324)^2</f>
        <v>0</v>
      </c>
      <c r="V324" s="1">
        <f>(Occurrence!J$3-L324)^2</f>
        <v>6.25E-2</v>
      </c>
      <c r="W324" s="1">
        <f>(Occurrence!K$3-M324)^2</f>
        <v>3.999999999999998E-2</v>
      </c>
      <c r="X324" s="1">
        <f t="shared" si="61"/>
        <v>1.4825000000000004</v>
      </c>
      <c r="Z324" s="1">
        <f t="shared" si="62"/>
        <v>0</v>
      </c>
      <c r="AA324" s="1">
        <f t="shared" si="63"/>
        <v>0</v>
      </c>
      <c r="AB324" s="1">
        <f t="shared" si="64"/>
        <v>0</v>
      </c>
      <c r="AC324" s="1">
        <f t="shared" si="65"/>
        <v>0</v>
      </c>
      <c r="AD324" s="1">
        <f t="shared" si="66"/>
        <v>0</v>
      </c>
      <c r="AE324" s="1">
        <f t="shared" si="67"/>
        <v>0</v>
      </c>
      <c r="AF324" s="1">
        <f t="shared" si="68"/>
        <v>1</v>
      </c>
      <c r="AG324" s="1">
        <f t="shared" si="69"/>
        <v>1</v>
      </c>
      <c r="AH324" s="1">
        <f t="shared" si="70"/>
        <v>0</v>
      </c>
      <c r="AI324" s="1">
        <f t="shared" si="71"/>
        <v>1</v>
      </c>
      <c r="AJ324" s="1">
        <f>SUMXMY2(Z324:AI324, Occurrence!B$3:K$3)</f>
        <v>2</v>
      </c>
      <c r="AK324" s="1">
        <f t="shared" si="72"/>
        <v>8</v>
      </c>
    </row>
    <row r="325" spans="1:37">
      <c r="A325" s="1">
        <v>324</v>
      </c>
      <c r="B325" s="1">
        <v>4252323</v>
      </c>
      <c r="C325" s="6" t="s">
        <v>34</v>
      </c>
      <c r="D325" s="1">
        <v>0.1</v>
      </c>
      <c r="E325" s="1">
        <v>0.2</v>
      </c>
      <c r="F325" s="1">
        <v>0.8</v>
      </c>
      <c r="G325" s="1">
        <v>0.9</v>
      </c>
      <c r="H325" s="1">
        <v>0.1</v>
      </c>
      <c r="I325" s="1">
        <v>0.4</v>
      </c>
      <c r="J325" s="1">
        <v>0.1</v>
      </c>
      <c r="K325" s="1">
        <v>0.2</v>
      </c>
      <c r="L325" s="1">
        <v>0.1</v>
      </c>
      <c r="M325" s="1">
        <v>0.9</v>
      </c>
      <c r="N325" s="1">
        <f>(Occurrence!B$3-D325)^2</f>
        <v>1.0000000000000002E-2</v>
      </c>
      <c r="O325" s="1">
        <f>(Occurrence!C$3-E325)^2</f>
        <v>4.0000000000000008E-2</v>
      </c>
      <c r="P325" s="1">
        <f>(Occurrence!D$3-F325)^2</f>
        <v>3.999999999999998E-2</v>
      </c>
      <c r="Q325" s="1">
        <f>(Occurrence!E$3-G325)^2</f>
        <v>9.999999999999995E-3</v>
      </c>
      <c r="R325" s="1">
        <f>(Occurrence!F$3-H325)^2</f>
        <v>1.0000000000000002E-2</v>
      </c>
      <c r="S325" s="1">
        <f>(Occurrence!G$3-I325)^2</f>
        <v>0.16000000000000003</v>
      </c>
      <c r="T325" s="1">
        <f>(Occurrence!H$3-J325)^2</f>
        <v>0.81</v>
      </c>
      <c r="U325" s="1">
        <f>(Occurrence!I$3-K325)^2</f>
        <v>0.64000000000000012</v>
      </c>
      <c r="V325" s="1">
        <f>(Occurrence!J$3-L325)^2</f>
        <v>1.0000000000000002E-2</v>
      </c>
      <c r="W325" s="1">
        <f>(Occurrence!K$3-M325)^2</f>
        <v>9.999999999999995E-3</v>
      </c>
      <c r="X325" s="1">
        <f t="shared" si="61"/>
        <v>1.7400000000000002</v>
      </c>
      <c r="Z325" s="1">
        <f t="shared" si="62"/>
        <v>0</v>
      </c>
      <c r="AA325" s="1">
        <f t="shared" si="63"/>
        <v>0</v>
      </c>
      <c r="AB325" s="1">
        <f t="shared" si="64"/>
        <v>1</v>
      </c>
      <c r="AC325" s="1">
        <f t="shared" si="65"/>
        <v>1</v>
      </c>
      <c r="AD325" s="1">
        <f t="shared" si="66"/>
        <v>0</v>
      </c>
      <c r="AE325" s="1">
        <f t="shared" si="67"/>
        <v>0</v>
      </c>
      <c r="AF325" s="1">
        <f t="shared" si="68"/>
        <v>0</v>
      </c>
      <c r="AG325" s="1">
        <f t="shared" si="69"/>
        <v>0</v>
      </c>
      <c r="AH325" s="1">
        <f t="shared" si="70"/>
        <v>0</v>
      </c>
      <c r="AI325" s="1">
        <f t="shared" si="71"/>
        <v>1</v>
      </c>
      <c r="AJ325" s="1">
        <f>SUMXMY2(Z325:AI325, Occurrence!B$3:K$3)</f>
        <v>2</v>
      </c>
      <c r="AK325" s="1">
        <f t="shared" si="72"/>
        <v>8</v>
      </c>
    </row>
    <row r="326" spans="1:37">
      <c r="A326" s="1">
        <v>325</v>
      </c>
      <c r="B326" s="1">
        <v>4252324</v>
      </c>
      <c r="C326" s="6" t="s">
        <v>34</v>
      </c>
      <c r="D326" s="1">
        <v>0.1</v>
      </c>
      <c r="E326" s="1">
        <v>0.2</v>
      </c>
      <c r="F326" s="1">
        <v>0.8</v>
      </c>
      <c r="G326" s="1">
        <v>0.9</v>
      </c>
      <c r="H326" s="1">
        <v>0.1</v>
      </c>
      <c r="I326" s="1">
        <v>0.4</v>
      </c>
      <c r="J326" s="1">
        <v>0.1</v>
      </c>
      <c r="K326" s="1">
        <v>0.2</v>
      </c>
      <c r="L326" s="1">
        <v>0.1</v>
      </c>
      <c r="M326" s="1">
        <v>0.9</v>
      </c>
      <c r="N326" s="1">
        <f>(Occurrence!B$3-D326)^2</f>
        <v>1.0000000000000002E-2</v>
      </c>
      <c r="O326" s="1">
        <f>(Occurrence!C$3-E326)^2</f>
        <v>4.0000000000000008E-2</v>
      </c>
      <c r="P326" s="1">
        <f>(Occurrence!D$3-F326)^2</f>
        <v>3.999999999999998E-2</v>
      </c>
      <c r="Q326" s="1">
        <f>(Occurrence!E$3-G326)^2</f>
        <v>9.999999999999995E-3</v>
      </c>
      <c r="R326" s="1">
        <f>(Occurrence!F$3-H326)^2</f>
        <v>1.0000000000000002E-2</v>
      </c>
      <c r="S326" s="1">
        <f>(Occurrence!G$3-I326)^2</f>
        <v>0.16000000000000003</v>
      </c>
      <c r="T326" s="1">
        <f>(Occurrence!H$3-J326)^2</f>
        <v>0.81</v>
      </c>
      <c r="U326" s="1">
        <f>(Occurrence!I$3-K326)^2</f>
        <v>0.64000000000000012</v>
      </c>
      <c r="V326" s="1">
        <f>(Occurrence!J$3-L326)^2</f>
        <v>1.0000000000000002E-2</v>
      </c>
      <c r="W326" s="1">
        <f>(Occurrence!K$3-M326)^2</f>
        <v>9.999999999999995E-3</v>
      </c>
      <c r="X326" s="1">
        <f t="shared" si="61"/>
        <v>1.7400000000000002</v>
      </c>
      <c r="Z326" s="1">
        <f t="shared" si="62"/>
        <v>0</v>
      </c>
      <c r="AA326" s="1">
        <f t="shared" si="63"/>
        <v>0</v>
      </c>
      <c r="AB326" s="1">
        <f t="shared" si="64"/>
        <v>1</v>
      </c>
      <c r="AC326" s="1">
        <f t="shared" si="65"/>
        <v>1</v>
      </c>
      <c r="AD326" s="1">
        <f t="shared" si="66"/>
        <v>0</v>
      </c>
      <c r="AE326" s="1">
        <f t="shared" si="67"/>
        <v>0</v>
      </c>
      <c r="AF326" s="1">
        <f t="shared" si="68"/>
        <v>0</v>
      </c>
      <c r="AG326" s="1">
        <f t="shared" si="69"/>
        <v>0</v>
      </c>
      <c r="AH326" s="1">
        <f t="shared" si="70"/>
        <v>0</v>
      </c>
      <c r="AI326" s="1">
        <f t="shared" si="71"/>
        <v>1</v>
      </c>
      <c r="AJ326" s="1">
        <f>SUMXMY2(Z326:AI326, Occurrence!B$3:K$3)</f>
        <v>2</v>
      </c>
      <c r="AK326" s="1">
        <f t="shared" si="72"/>
        <v>8</v>
      </c>
    </row>
    <row r="327" spans="1:37">
      <c r="A327" s="1">
        <v>326</v>
      </c>
      <c r="B327" s="1">
        <v>4252325</v>
      </c>
      <c r="C327" s="6" t="s">
        <v>34</v>
      </c>
      <c r="D327" s="1">
        <v>0.1</v>
      </c>
      <c r="E327" s="1">
        <v>0.2</v>
      </c>
      <c r="F327" s="1">
        <v>0.8</v>
      </c>
      <c r="G327" s="1">
        <v>0.9</v>
      </c>
      <c r="H327" s="1">
        <v>0.1</v>
      </c>
      <c r="I327" s="1">
        <v>0.4</v>
      </c>
      <c r="J327" s="1">
        <v>0.1</v>
      </c>
      <c r="K327" s="1">
        <v>0.2</v>
      </c>
      <c r="L327" s="1">
        <v>0.1</v>
      </c>
      <c r="M327" s="1">
        <v>0.9</v>
      </c>
      <c r="N327" s="1">
        <f>(Occurrence!B$3-D327)^2</f>
        <v>1.0000000000000002E-2</v>
      </c>
      <c r="O327" s="1">
        <f>(Occurrence!C$3-E327)^2</f>
        <v>4.0000000000000008E-2</v>
      </c>
      <c r="P327" s="1">
        <f>(Occurrence!D$3-F327)^2</f>
        <v>3.999999999999998E-2</v>
      </c>
      <c r="Q327" s="1">
        <f>(Occurrence!E$3-G327)^2</f>
        <v>9.999999999999995E-3</v>
      </c>
      <c r="R327" s="1">
        <f>(Occurrence!F$3-H327)^2</f>
        <v>1.0000000000000002E-2</v>
      </c>
      <c r="S327" s="1">
        <f>(Occurrence!G$3-I327)^2</f>
        <v>0.16000000000000003</v>
      </c>
      <c r="T327" s="1">
        <f>(Occurrence!H$3-J327)^2</f>
        <v>0.81</v>
      </c>
      <c r="U327" s="1">
        <f>(Occurrence!I$3-K327)^2</f>
        <v>0.64000000000000012</v>
      </c>
      <c r="V327" s="1">
        <f>(Occurrence!J$3-L327)^2</f>
        <v>1.0000000000000002E-2</v>
      </c>
      <c r="W327" s="1">
        <f>(Occurrence!K$3-M327)^2</f>
        <v>9.999999999999995E-3</v>
      </c>
      <c r="X327" s="1">
        <f t="shared" si="61"/>
        <v>1.7400000000000002</v>
      </c>
      <c r="Z327" s="1">
        <f t="shared" si="62"/>
        <v>0</v>
      </c>
      <c r="AA327" s="1">
        <f t="shared" si="63"/>
        <v>0</v>
      </c>
      <c r="AB327" s="1">
        <f t="shared" si="64"/>
        <v>1</v>
      </c>
      <c r="AC327" s="1">
        <f t="shared" si="65"/>
        <v>1</v>
      </c>
      <c r="AD327" s="1">
        <f t="shared" si="66"/>
        <v>0</v>
      </c>
      <c r="AE327" s="1">
        <f t="shared" si="67"/>
        <v>0</v>
      </c>
      <c r="AF327" s="1">
        <f t="shared" si="68"/>
        <v>0</v>
      </c>
      <c r="AG327" s="1">
        <f t="shared" si="69"/>
        <v>0</v>
      </c>
      <c r="AH327" s="1">
        <f t="shared" si="70"/>
        <v>0</v>
      </c>
      <c r="AI327" s="1">
        <f t="shared" si="71"/>
        <v>1</v>
      </c>
      <c r="AJ327" s="1">
        <f>SUMXMY2(Z327:AI327, Occurrence!B$3:K$3)</f>
        <v>2</v>
      </c>
      <c r="AK327" s="1">
        <f t="shared" si="72"/>
        <v>8</v>
      </c>
    </row>
    <row r="328" spans="1:37">
      <c r="A328" s="1">
        <v>327</v>
      </c>
      <c r="B328" s="1">
        <v>4252326</v>
      </c>
      <c r="C328" s="6" t="s">
        <v>34</v>
      </c>
      <c r="D328" s="1">
        <v>0.1</v>
      </c>
      <c r="E328" s="1">
        <v>0.2</v>
      </c>
      <c r="F328" s="1">
        <v>0.8</v>
      </c>
      <c r="G328" s="1">
        <v>0.9</v>
      </c>
      <c r="H328" s="1">
        <v>0.1</v>
      </c>
      <c r="I328" s="1">
        <v>0.4</v>
      </c>
      <c r="J328" s="1">
        <v>0.1</v>
      </c>
      <c r="K328" s="1">
        <v>0.2</v>
      </c>
      <c r="L328" s="1">
        <v>0.2</v>
      </c>
      <c r="M328" s="1">
        <v>0.9</v>
      </c>
      <c r="N328" s="1">
        <f>(Occurrence!B$3-D328)^2</f>
        <v>1.0000000000000002E-2</v>
      </c>
      <c r="O328" s="1">
        <f>(Occurrence!C$3-E328)^2</f>
        <v>4.0000000000000008E-2</v>
      </c>
      <c r="P328" s="1">
        <f>(Occurrence!D$3-F328)^2</f>
        <v>3.999999999999998E-2</v>
      </c>
      <c r="Q328" s="1">
        <f>(Occurrence!E$3-G328)^2</f>
        <v>9.999999999999995E-3</v>
      </c>
      <c r="R328" s="1">
        <f>(Occurrence!F$3-H328)^2</f>
        <v>1.0000000000000002E-2</v>
      </c>
      <c r="S328" s="1">
        <f>(Occurrence!G$3-I328)^2</f>
        <v>0.16000000000000003</v>
      </c>
      <c r="T328" s="1">
        <f>(Occurrence!H$3-J328)^2</f>
        <v>0.81</v>
      </c>
      <c r="U328" s="1">
        <f>(Occurrence!I$3-K328)^2</f>
        <v>0.64000000000000012</v>
      </c>
      <c r="V328" s="1">
        <f>(Occurrence!J$3-L328)^2</f>
        <v>4.0000000000000008E-2</v>
      </c>
      <c r="W328" s="1">
        <f>(Occurrence!K$3-M328)^2</f>
        <v>9.999999999999995E-3</v>
      </c>
      <c r="X328" s="1">
        <f t="shared" si="61"/>
        <v>1.7700000000000002</v>
      </c>
      <c r="Z328" s="1">
        <f t="shared" si="62"/>
        <v>0</v>
      </c>
      <c r="AA328" s="1">
        <f t="shared" si="63"/>
        <v>0</v>
      </c>
      <c r="AB328" s="1">
        <f t="shared" si="64"/>
        <v>1</v>
      </c>
      <c r="AC328" s="1">
        <f t="shared" si="65"/>
        <v>1</v>
      </c>
      <c r="AD328" s="1">
        <f t="shared" si="66"/>
        <v>0</v>
      </c>
      <c r="AE328" s="1">
        <f t="shared" si="67"/>
        <v>0</v>
      </c>
      <c r="AF328" s="1">
        <f t="shared" si="68"/>
        <v>0</v>
      </c>
      <c r="AG328" s="1">
        <f t="shared" si="69"/>
        <v>0</v>
      </c>
      <c r="AH328" s="1">
        <f t="shared" si="70"/>
        <v>0</v>
      </c>
      <c r="AI328" s="1">
        <f t="shared" si="71"/>
        <v>1</v>
      </c>
      <c r="AJ328" s="1">
        <f>SUMXMY2(Z328:AI328, Occurrence!B$3:K$3)</f>
        <v>2</v>
      </c>
      <c r="AK328" s="1">
        <f t="shared" si="72"/>
        <v>8</v>
      </c>
    </row>
    <row r="329" spans="1:37">
      <c r="A329" s="1">
        <v>328</v>
      </c>
      <c r="B329" s="1">
        <v>4252327</v>
      </c>
      <c r="C329" s="6" t="s">
        <v>34</v>
      </c>
      <c r="D329" s="1">
        <v>0.15</v>
      </c>
      <c r="E329" s="1">
        <v>0.2</v>
      </c>
      <c r="F329" s="1">
        <v>0.4</v>
      </c>
      <c r="G329" s="1">
        <v>0.6</v>
      </c>
      <c r="H329" s="1">
        <v>0.8</v>
      </c>
      <c r="I329" s="1">
        <v>0.25</v>
      </c>
      <c r="J329" s="1">
        <v>1</v>
      </c>
      <c r="K329" s="1">
        <v>1</v>
      </c>
      <c r="L329" s="1">
        <v>0.6</v>
      </c>
      <c r="M329" s="1">
        <v>1</v>
      </c>
      <c r="N329" s="1">
        <f>(Occurrence!B$3-D329)^2</f>
        <v>2.2499999999999999E-2</v>
      </c>
      <c r="O329" s="1">
        <f>(Occurrence!C$3-E329)^2</f>
        <v>4.0000000000000008E-2</v>
      </c>
      <c r="P329" s="1">
        <f>(Occurrence!D$3-F329)^2</f>
        <v>0.36</v>
      </c>
      <c r="Q329" s="1">
        <f>(Occurrence!E$3-G329)^2</f>
        <v>0.16000000000000003</v>
      </c>
      <c r="R329" s="1">
        <f>(Occurrence!F$3-H329)^2</f>
        <v>0.64000000000000012</v>
      </c>
      <c r="S329" s="1">
        <f>(Occurrence!G$3-I329)^2</f>
        <v>6.25E-2</v>
      </c>
      <c r="T329" s="1">
        <f>(Occurrence!H$3-J329)^2</f>
        <v>0</v>
      </c>
      <c r="U329" s="1">
        <f>(Occurrence!I$3-K329)^2</f>
        <v>0</v>
      </c>
      <c r="V329" s="1">
        <f>(Occurrence!J$3-L329)^2</f>
        <v>0.36</v>
      </c>
      <c r="W329" s="1">
        <f>(Occurrence!K$3-M329)^2</f>
        <v>0</v>
      </c>
      <c r="X329" s="1">
        <f t="shared" si="61"/>
        <v>1.645</v>
      </c>
      <c r="Z329" s="1">
        <f t="shared" si="62"/>
        <v>0</v>
      </c>
      <c r="AA329" s="1">
        <f t="shared" si="63"/>
        <v>0</v>
      </c>
      <c r="AB329" s="1">
        <f t="shared" si="64"/>
        <v>0</v>
      </c>
      <c r="AC329" s="1">
        <f t="shared" si="65"/>
        <v>1</v>
      </c>
      <c r="AD329" s="1">
        <f t="shared" si="66"/>
        <v>1</v>
      </c>
      <c r="AE329" s="1">
        <f t="shared" si="67"/>
        <v>0</v>
      </c>
      <c r="AF329" s="1">
        <f t="shared" si="68"/>
        <v>1</v>
      </c>
      <c r="AG329" s="1">
        <f t="shared" si="69"/>
        <v>1</v>
      </c>
      <c r="AH329" s="1">
        <f t="shared" si="70"/>
        <v>1</v>
      </c>
      <c r="AI329" s="1">
        <f t="shared" si="71"/>
        <v>1</v>
      </c>
      <c r="AJ329" s="1">
        <f>SUMXMY2(Z329:AI329, Occurrence!B$3:K$3)</f>
        <v>3</v>
      </c>
      <c r="AK329" s="1">
        <f t="shared" si="72"/>
        <v>7</v>
      </c>
    </row>
    <row r="330" spans="1:37">
      <c r="A330" s="1">
        <v>329</v>
      </c>
      <c r="B330" s="1">
        <v>4252328</v>
      </c>
      <c r="C330" s="6" t="s">
        <v>34</v>
      </c>
      <c r="D330" s="1">
        <v>0.1</v>
      </c>
      <c r="E330" s="1">
        <v>0.2</v>
      </c>
      <c r="F330" s="1">
        <v>0.8</v>
      </c>
      <c r="G330" s="1">
        <v>0.9</v>
      </c>
      <c r="H330" s="1">
        <v>0.75</v>
      </c>
      <c r="I330" s="1">
        <v>0.25</v>
      </c>
      <c r="J330" s="1">
        <v>0.3</v>
      </c>
      <c r="K330" s="1">
        <v>0.75</v>
      </c>
      <c r="L330" s="1">
        <v>0.2</v>
      </c>
      <c r="M330" s="1">
        <v>0.8</v>
      </c>
      <c r="N330" s="1">
        <f>(Occurrence!B$3-D330)^2</f>
        <v>1.0000000000000002E-2</v>
      </c>
      <c r="O330" s="1">
        <f>(Occurrence!C$3-E330)^2</f>
        <v>4.0000000000000008E-2</v>
      </c>
      <c r="P330" s="1">
        <f>(Occurrence!D$3-F330)^2</f>
        <v>3.999999999999998E-2</v>
      </c>
      <c r="Q330" s="1">
        <f>(Occurrence!E$3-G330)^2</f>
        <v>9.999999999999995E-3</v>
      </c>
      <c r="R330" s="1">
        <f>(Occurrence!F$3-H330)^2</f>
        <v>0.5625</v>
      </c>
      <c r="S330" s="1">
        <f>(Occurrence!G$3-I330)^2</f>
        <v>6.25E-2</v>
      </c>
      <c r="T330" s="1">
        <f>(Occurrence!H$3-J330)^2</f>
        <v>0.48999999999999994</v>
      </c>
      <c r="U330" s="1">
        <f>(Occurrence!I$3-K330)^2</f>
        <v>6.25E-2</v>
      </c>
      <c r="V330" s="1">
        <f>(Occurrence!J$3-L330)^2</f>
        <v>4.0000000000000008E-2</v>
      </c>
      <c r="W330" s="1">
        <f>(Occurrence!K$3-M330)^2</f>
        <v>3.999999999999998E-2</v>
      </c>
      <c r="X330" s="1">
        <f t="shared" si="61"/>
        <v>1.3574999999999999</v>
      </c>
      <c r="Z330" s="1">
        <f t="shared" si="62"/>
        <v>0</v>
      </c>
      <c r="AA330" s="1">
        <f t="shared" si="63"/>
        <v>0</v>
      </c>
      <c r="AB330" s="1">
        <f t="shared" si="64"/>
        <v>1</v>
      </c>
      <c r="AC330" s="1">
        <f t="shared" si="65"/>
        <v>1</v>
      </c>
      <c r="AD330" s="1">
        <f t="shared" si="66"/>
        <v>1</v>
      </c>
      <c r="AE330" s="1">
        <f t="shared" si="67"/>
        <v>0</v>
      </c>
      <c r="AF330" s="1">
        <f t="shared" si="68"/>
        <v>0</v>
      </c>
      <c r="AG330" s="1">
        <f t="shared" si="69"/>
        <v>1</v>
      </c>
      <c r="AH330" s="1">
        <f t="shared" si="70"/>
        <v>0</v>
      </c>
      <c r="AI330" s="1">
        <f t="shared" si="71"/>
        <v>1</v>
      </c>
      <c r="AJ330" s="1">
        <f>SUMXMY2(Z330:AI330, Occurrence!B$3:K$3)</f>
        <v>2</v>
      </c>
      <c r="AK330" s="1">
        <f t="shared" si="72"/>
        <v>8</v>
      </c>
    </row>
    <row r="331" spans="1:37">
      <c r="A331" s="1">
        <v>330</v>
      </c>
      <c r="B331" s="1">
        <v>4252329</v>
      </c>
      <c r="C331" s="6" t="s">
        <v>34</v>
      </c>
      <c r="D331" s="1">
        <v>0.1</v>
      </c>
      <c r="E331" s="1">
        <v>0.2</v>
      </c>
      <c r="F331" s="1">
        <v>0.4</v>
      </c>
      <c r="G331" s="1">
        <v>0.5</v>
      </c>
      <c r="H331" s="1">
        <v>0.5</v>
      </c>
      <c r="I331" s="1">
        <v>0.1</v>
      </c>
      <c r="J331" s="1">
        <v>0.9</v>
      </c>
      <c r="K331" s="1">
        <v>0.7</v>
      </c>
      <c r="L331" s="1">
        <v>0.2</v>
      </c>
      <c r="M331" s="1">
        <v>0.6</v>
      </c>
      <c r="N331" s="1">
        <f>(Occurrence!B$3-D331)^2</f>
        <v>1.0000000000000002E-2</v>
      </c>
      <c r="O331" s="1">
        <f>(Occurrence!C$3-E331)^2</f>
        <v>4.0000000000000008E-2</v>
      </c>
      <c r="P331" s="1">
        <f>(Occurrence!D$3-F331)^2</f>
        <v>0.36</v>
      </c>
      <c r="Q331" s="1">
        <f>(Occurrence!E$3-G331)^2</f>
        <v>0.25</v>
      </c>
      <c r="R331" s="1">
        <f>(Occurrence!F$3-H331)^2</f>
        <v>0.25</v>
      </c>
      <c r="S331" s="1">
        <f>(Occurrence!G$3-I331)^2</f>
        <v>1.0000000000000002E-2</v>
      </c>
      <c r="T331" s="1">
        <f>(Occurrence!H$3-J331)^2</f>
        <v>9.999999999999995E-3</v>
      </c>
      <c r="U331" s="1">
        <f>(Occurrence!I$3-K331)^2</f>
        <v>9.0000000000000024E-2</v>
      </c>
      <c r="V331" s="1">
        <f>(Occurrence!J$3-L331)^2</f>
        <v>4.0000000000000008E-2</v>
      </c>
      <c r="W331" s="1">
        <f>(Occurrence!K$3-M331)^2</f>
        <v>0.16000000000000003</v>
      </c>
      <c r="X331" s="1">
        <f t="shared" si="61"/>
        <v>1.2200000000000002</v>
      </c>
      <c r="Z331" s="1">
        <f t="shared" si="62"/>
        <v>0</v>
      </c>
      <c r="AA331" s="1">
        <f t="shared" si="63"/>
        <v>0</v>
      </c>
      <c r="AB331" s="1">
        <f t="shared" si="64"/>
        <v>0</v>
      </c>
      <c r="AC331" s="1">
        <f t="shared" si="65"/>
        <v>1</v>
      </c>
      <c r="AD331" s="1">
        <f t="shared" si="66"/>
        <v>1</v>
      </c>
      <c r="AE331" s="1">
        <f t="shared" si="67"/>
        <v>0</v>
      </c>
      <c r="AF331" s="1">
        <f t="shared" si="68"/>
        <v>1</v>
      </c>
      <c r="AG331" s="1">
        <f t="shared" si="69"/>
        <v>1</v>
      </c>
      <c r="AH331" s="1">
        <f t="shared" si="70"/>
        <v>0</v>
      </c>
      <c r="AI331" s="1">
        <f t="shared" si="71"/>
        <v>1</v>
      </c>
      <c r="AJ331" s="1">
        <f>SUMXMY2(Z331:AI331, Occurrence!B$3:K$3)</f>
        <v>2</v>
      </c>
      <c r="AK331" s="1">
        <f t="shared" si="72"/>
        <v>8</v>
      </c>
    </row>
    <row r="332" spans="1:37">
      <c r="A332" s="1">
        <v>331</v>
      </c>
      <c r="B332" s="1">
        <v>4252330</v>
      </c>
      <c r="C332" s="6" t="s">
        <v>34</v>
      </c>
      <c r="D332" s="1">
        <v>0.1</v>
      </c>
      <c r="E332" s="1">
        <v>0.15</v>
      </c>
      <c r="F332" s="1">
        <v>0.7</v>
      </c>
      <c r="G332" s="1">
        <v>0.9</v>
      </c>
      <c r="H332" s="1">
        <v>0.7</v>
      </c>
      <c r="I332" s="1">
        <v>0.35</v>
      </c>
      <c r="J332" s="1">
        <v>0.95</v>
      </c>
      <c r="K332" s="1">
        <v>0.96</v>
      </c>
      <c r="L332" s="1">
        <v>0.2</v>
      </c>
      <c r="M332" s="1">
        <v>0.65</v>
      </c>
      <c r="N332" s="1">
        <f>(Occurrence!B$3-D332)^2</f>
        <v>1.0000000000000002E-2</v>
      </c>
      <c r="O332" s="1">
        <f>(Occurrence!C$3-E332)^2</f>
        <v>2.2499999999999999E-2</v>
      </c>
      <c r="P332" s="1">
        <f>(Occurrence!D$3-F332)^2</f>
        <v>9.0000000000000024E-2</v>
      </c>
      <c r="Q332" s="1">
        <f>(Occurrence!E$3-G332)^2</f>
        <v>9.999999999999995E-3</v>
      </c>
      <c r="R332" s="1">
        <f>(Occurrence!F$3-H332)^2</f>
        <v>0.48999999999999994</v>
      </c>
      <c r="S332" s="1">
        <f>(Occurrence!G$3-I332)^2</f>
        <v>0.12249999999999998</v>
      </c>
      <c r="T332" s="1">
        <f>(Occurrence!H$3-J332)^2</f>
        <v>2.5000000000000044E-3</v>
      </c>
      <c r="U332" s="1">
        <f>(Occurrence!I$3-K332)^2</f>
        <v>1.6000000000000029E-3</v>
      </c>
      <c r="V332" s="1">
        <f>(Occurrence!J$3-L332)^2</f>
        <v>4.0000000000000008E-2</v>
      </c>
      <c r="W332" s="1">
        <f>(Occurrence!K$3-M332)^2</f>
        <v>0.12249999999999998</v>
      </c>
      <c r="X332" s="1">
        <f t="shared" si="61"/>
        <v>0.91159999999999997</v>
      </c>
      <c r="Z332" s="1">
        <f t="shared" si="62"/>
        <v>0</v>
      </c>
      <c r="AA332" s="1">
        <f t="shared" si="63"/>
        <v>0</v>
      </c>
      <c r="AB332" s="1">
        <f t="shared" si="64"/>
        <v>1</v>
      </c>
      <c r="AC332" s="1">
        <f t="shared" si="65"/>
        <v>1</v>
      </c>
      <c r="AD332" s="1">
        <f t="shared" si="66"/>
        <v>1</v>
      </c>
      <c r="AE332" s="1">
        <f t="shared" si="67"/>
        <v>0</v>
      </c>
      <c r="AF332" s="1">
        <f t="shared" si="68"/>
        <v>1</v>
      </c>
      <c r="AG332" s="1">
        <f t="shared" si="69"/>
        <v>1</v>
      </c>
      <c r="AH332" s="1">
        <f t="shared" si="70"/>
        <v>0</v>
      </c>
      <c r="AI332" s="1">
        <f t="shared" si="71"/>
        <v>1</v>
      </c>
      <c r="AJ332" s="1">
        <f>SUMXMY2(Z332:AI332, Occurrence!B$3:K$3)</f>
        <v>1</v>
      </c>
      <c r="AK332" s="1">
        <f t="shared" si="72"/>
        <v>9</v>
      </c>
    </row>
    <row r="333" spans="1:37">
      <c r="A333" s="1">
        <v>332</v>
      </c>
      <c r="B333" s="1">
        <v>4252331</v>
      </c>
      <c r="C333" s="6" t="s">
        <v>34</v>
      </c>
      <c r="D333" s="1">
        <v>0.1</v>
      </c>
      <c r="E333" s="1">
        <v>0.15</v>
      </c>
      <c r="F333" s="1">
        <v>0.7</v>
      </c>
      <c r="G333" s="1">
        <v>0.9</v>
      </c>
      <c r="H333" s="1">
        <v>0.6</v>
      </c>
      <c r="I333" s="1">
        <v>0.35</v>
      </c>
      <c r="J333" s="1">
        <v>0.9</v>
      </c>
      <c r="K333" s="1">
        <v>0.9</v>
      </c>
      <c r="L333" s="1">
        <v>0.2</v>
      </c>
      <c r="M333" s="1">
        <v>0.5</v>
      </c>
      <c r="N333" s="1">
        <f>(Occurrence!B$3-D333)^2</f>
        <v>1.0000000000000002E-2</v>
      </c>
      <c r="O333" s="1">
        <f>(Occurrence!C$3-E333)^2</f>
        <v>2.2499999999999999E-2</v>
      </c>
      <c r="P333" s="1">
        <f>(Occurrence!D$3-F333)^2</f>
        <v>9.0000000000000024E-2</v>
      </c>
      <c r="Q333" s="1">
        <f>(Occurrence!E$3-G333)^2</f>
        <v>9.999999999999995E-3</v>
      </c>
      <c r="R333" s="1">
        <f>(Occurrence!F$3-H333)^2</f>
        <v>0.36</v>
      </c>
      <c r="S333" s="1">
        <f>(Occurrence!G$3-I333)^2</f>
        <v>0.12249999999999998</v>
      </c>
      <c r="T333" s="1">
        <f>(Occurrence!H$3-J333)^2</f>
        <v>9.999999999999995E-3</v>
      </c>
      <c r="U333" s="1">
        <f>(Occurrence!I$3-K333)^2</f>
        <v>9.999999999999995E-3</v>
      </c>
      <c r="V333" s="1">
        <f>(Occurrence!J$3-L333)^2</f>
        <v>4.0000000000000008E-2</v>
      </c>
      <c r="W333" s="1">
        <f>(Occurrence!K$3-M333)^2</f>
        <v>0.25</v>
      </c>
      <c r="X333" s="1">
        <f t="shared" si="61"/>
        <v>0.92500000000000004</v>
      </c>
      <c r="Z333" s="1">
        <f t="shared" si="62"/>
        <v>0</v>
      </c>
      <c r="AA333" s="1">
        <f t="shared" si="63"/>
        <v>0</v>
      </c>
      <c r="AB333" s="1">
        <f t="shared" si="64"/>
        <v>1</v>
      </c>
      <c r="AC333" s="1">
        <f t="shared" si="65"/>
        <v>1</v>
      </c>
      <c r="AD333" s="1">
        <f t="shared" si="66"/>
        <v>1</v>
      </c>
      <c r="AE333" s="1">
        <f t="shared" si="67"/>
        <v>0</v>
      </c>
      <c r="AF333" s="1">
        <f t="shared" si="68"/>
        <v>1</v>
      </c>
      <c r="AG333" s="1">
        <f t="shared" si="69"/>
        <v>1</v>
      </c>
      <c r="AH333" s="1">
        <f t="shared" si="70"/>
        <v>0</v>
      </c>
      <c r="AI333" s="1">
        <f t="shared" si="71"/>
        <v>1</v>
      </c>
      <c r="AJ333" s="1">
        <f>SUMXMY2(Z333:AI333, Occurrence!B$3:K$3)</f>
        <v>1</v>
      </c>
      <c r="AK333" s="1">
        <f t="shared" si="72"/>
        <v>9</v>
      </c>
    </row>
    <row r="334" spans="1:37">
      <c r="A334" s="1">
        <v>333</v>
      </c>
      <c r="B334" s="1">
        <v>4252332</v>
      </c>
      <c r="C334" s="6" t="s">
        <v>34</v>
      </c>
      <c r="D334" s="1">
        <v>5.6000000000000001E-2</v>
      </c>
      <c r="E334" s="1">
        <v>8.8999999999999996E-2</v>
      </c>
      <c r="F334" s="1">
        <v>2.5999999999999999E-2</v>
      </c>
      <c r="G334" s="1">
        <v>4.2000000000000003E-2</v>
      </c>
      <c r="H334" s="1">
        <v>3.1E-2</v>
      </c>
      <c r="I334" s="1">
        <v>0.43</v>
      </c>
      <c r="J334" s="1">
        <v>8.1000000000000003E-2</v>
      </c>
      <c r="K334" s="1">
        <v>7.1999999999999995E-2</v>
      </c>
      <c r="L334" s="1">
        <v>6.8000000000000005E-2</v>
      </c>
      <c r="M334" s="1">
        <v>8.6999999999999994E-3</v>
      </c>
      <c r="N334" s="1">
        <f>(Occurrence!B$3-D334)^2</f>
        <v>3.1360000000000003E-3</v>
      </c>
      <c r="O334" s="1">
        <f>(Occurrence!C$3-E334)^2</f>
        <v>7.9209999999999992E-3</v>
      </c>
      <c r="P334" s="1">
        <f>(Occurrence!D$3-F334)^2</f>
        <v>0.94867599999999996</v>
      </c>
      <c r="Q334" s="1">
        <f>(Occurrence!E$3-G334)^2</f>
        <v>0.91776399999999991</v>
      </c>
      <c r="R334" s="1">
        <f>(Occurrence!F$3-H334)^2</f>
        <v>9.6099999999999994E-4</v>
      </c>
      <c r="S334" s="1">
        <f>(Occurrence!G$3-I334)^2</f>
        <v>0.18489999999999998</v>
      </c>
      <c r="T334" s="1">
        <f>(Occurrence!H$3-J334)^2</f>
        <v>0.84456100000000012</v>
      </c>
      <c r="U334" s="1">
        <f>(Occurrence!I$3-K334)^2</f>
        <v>0.86118400000000006</v>
      </c>
      <c r="V334" s="1">
        <f>(Occurrence!J$3-L334)^2</f>
        <v>4.6240000000000005E-3</v>
      </c>
      <c r="W334" s="1">
        <f>(Occurrence!K$3-M334)^2</f>
        <v>0.98267568999999988</v>
      </c>
      <c r="X334" s="1">
        <f t="shared" si="61"/>
        <v>4.7564026900000007</v>
      </c>
      <c r="Z334" s="1">
        <f t="shared" si="62"/>
        <v>0</v>
      </c>
      <c r="AA334" s="1">
        <f t="shared" si="63"/>
        <v>0</v>
      </c>
      <c r="AB334" s="1">
        <f t="shared" si="64"/>
        <v>0</v>
      </c>
      <c r="AC334" s="1">
        <f t="shared" si="65"/>
        <v>0</v>
      </c>
      <c r="AD334" s="1">
        <f t="shared" si="66"/>
        <v>0</v>
      </c>
      <c r="AE334" s="1">
        <f t="shared" si="67"/>
        <v>0</v>
      </c>
      <c r="AF334" s="1">
        <f t="shared" si="68"/>
        <v>0</v>
      </c>
      <c r="AG334" s="1">
        <f t="shared" si="69"/>
        <v>0</v>
      </c>
      <c r="AH334" s="1">
        <f t="shared" si="70"/>
        <v>0</v>
      </c>
      <c r="AI334" s="1">
        <f t="shared" si="71"/>
        <v>0</v>
      </c>
      <c r="AJ334" s="1">
        <f>SUMXMY2(Z334:AI334, Occurrence!B$3:K$3)</f>
        <v>5</v>
      </c>
      <c r="AK334" s="1">
        <f t="shared" si="72"/>
        <v>5</v>
      </c>
    </row>
    <row r="335" spans="1:37">
      <c r="A335" s="1">
        <v>334</v>
      </c>
      <c r="B335" s="1">
        <v>4252333</v>
      </c>
      <c r="C335" s="6" t="s">
        <v>34</v>
      </c>
      <c r="D335" s="1">
        <v>0.05</v>
      </c>
      <c r="E335" s="1">
        <v>0.1</v>
      </c>
      <c r="F335" s="1">
        <v>0.85</v>
      </c>
      <c r="G335" s="1">
        <v>0.9</v>
      </c>
      <c r="H335" s="1">
        <v>0</v>
      </c>
      <c r="I335" s="1">
        <v>0.2</v>
      </c>
      <c r="J335" s="1">
        <v>0.98</v>
      </c>
      <c r="K335" s="1">
        <v>0.7</v>
      </c>
      <c r="L335" s="1">
        <v>0.51</v>
      </c>
      <c r="M335" s="1">
        <v>0.65</v>
      </c>
      <c r="N335" s="1">
        <f>(Occurrence!B$3-D335)^2</f>
        <v>2.5000000000000005E-3</v>
      </c>
      <c r="O335" s="1">
        <f>(Occurrence!C$3-E335)^2</f>
        <v>1.0000000000000002E-2</v>
      </c>
      <c r="P335" s="1">
        <f>(Occurrence!D$3-F335)^2</f>
        <v>2.2500000000000006E-2</v>
      </c>
      <c r="Q335" s="1">
        <f>(Occurrence!E$3-G335)^2</f>
        <v>9.999999999999995E-3</v>
      </c>
      <c r="R335" s="1">
        <f>(Occurrence!F$3-H335)^2</f>
        <v>0</v>
      </c>
      <c r="S335" s="1">
        <f>(Occurrence!G$3-I335)^2</f>
        <v>4.0000000000000008E-2</v>
      </c>
      <c r="T335" s="1">
        <f>(Occurrence!H$3-J335)^2</f>
        <v>4.0000000000000072E-4</v>
      </c>
      <c r="U335" s="1">
        <f>(Occurrence!I$3-K335)^2</f>
        <v>9.0000000000000024E-2</v>
      </c>
      <c r="V335" s="1">
        <f>(Occurrence!J$3-L335)^2</f>
        <v>0.2601</v>
      </c>
      <c r="W335" s="1">
        <f>(Occurrence!K$3-M335)^2</f>
        <v>0.12249999999999998</v>
      </c>
      <c r="X335" s="1">
        <f t="shared" si="61"/>
        <v>0.55800000000000005</v>
      </c>
      <c r="Z335" s="1">
        <f t="shared" si="62"/>
        <v>0</v>
      </c>
      <c r="AA335" s="1">
        <f t="shared" si="63"/>
        <v>0</v>
      </c>
      <c r="AB335" s="1">
        <f t="shared" si="64"/>
        <v>1</v>
      </c>
      <c r="AC335" s="1">
        <f t="shared" si="65"/>
        <v>1</v>
      </c>
      <c r="AD335" s="1">
        <f t="shared" si="66"/>
        <v>0</v>
      </c>
      <c r="AE335" s="1">
        <f t="shared" si="67"/>
        <v>0</v>
      </c>
      <c r="AF335" s="1">
        <f t="shared" si="68"/>
        <v>1</v>
      </c>
      <c r="AG335" s="1">
        <f t="shared" si="69"/>
        <v>1</v>
      </c>
      <c r="AH335" s="1">
        <f t="shared" si="70"/>
        <v>1</v>
      </c>
      <c r="AI335" s="1">
        <f t="shared" si="71"/>
        <v>1</v>
      </c>
      <c r="AJ335" s="1">
        <f>SUMXMY2(Z335:AI335, Occurrence!B$3:K$3)</f>
        <v>1</v>
      </c>
      <c r="AK335" s="1">
        <f t="shared" si="72"/>
        <v>9</v>
      </c>
    </row>
    <row r="336" spans="1:37">
      <c r="A336" s="1">
        <v>335</v>
      </c>
      <c r="B336" s="1">
        <v>4252334</v>
      </c>
      <c r="C336" s="6" t="s">
        <v>34</v>
      </c>
      <c r="D336" s="1">
        <v>0.13</v>
      </c>
      <c r="E336" s="1">
        <v>0.05</v>
      </c>
      <c r="F336" s="1">
        <v>0.75</v>
      </c>
      <c r="G336" s="1">
        <v>0.8</v>
      </c>
      <c r="H336" s="1">
        <v>0.9</v>
      </c>
      <c r="I336" s="1">
        <v>0.25</v>
      </c>
      <c r="J336" s="1">
        <v>0.99</v>
      </c>
      <c r="K336" s="1">
        <v>1</v>
      </c>
      <c r="L336" s="1">
        <v>0.1</v>
      </c>
      <c r="M336" s="1">
        <v>0.8</v>
      </c>
      <c r="N336" s="1">
        <f>(Occurrence!B$3-D336)^2</f>
        <v>1.6900000000000002E-2</v>
      </c>
      <c r="O336" s="1">
        <f>(Occurrence!C$3-E336)^2</f>
        <v>2.5000000000000005E-3</v>
      </c>
      <c r="P336" s="1">
        <f>(Occurrence!D$3-F336)^2</f>
        <v>6.25E-2</v>
      </c>
      <c r="Q336" s="1">
        <f>(Occurrence!E$3-G336)^2</f>
        <v>3.999999999999998E-2</v>
      </c>
      <c r="R336" s="1">
        <f>(Occurrence!F$3-H336)^2</f>
        <v>0.81</v>
      </c>
      <c r="S336" s="1">
        <f>(Occurrence!G$3-I336)^2</f>
        <v>6.25E-2</v>
      </c>
      <c r="T336" s="1">
        <f>(Occurrence!H$3-J336)^2</f>
        <v>1.0000000000000018E-4</v>
      </c>
      <c r="U336" s="1">
        <f>(Occurrence!I$3-K336)^2</f>
        <v>0</v>
      </c>
      <c r="V336" s="1">
        <f>(Occurrence!J$3-L336)^2</f>
        <v>1.0000000000000002E-2</v>
      </c>
      <c r="W336" s="1">
        <f>(Occurrence!K$3-M336)^2</f>
        <v>3.999999999999998E-2</v>
      </c>
      <c r="X336" s="1">
        <f t="shared" si="61"/>
        <v>1.0445</v>
      </c>
      <c r="Z336" s="1">
        <f t="shared" si="62"/>
        <v>0</v>
      </c>
      <c r="AA336" s="1">
        <f t="shared" si="63"/>
        <v>0</v>
      </c>
      <c r="AB336" s="1">
        <f t="shared" si="64"/>
        <v>1</v>
      </c>
      <c r="AC336" s="1">
        <f t="shared" si="65"/>
        <v>1</v>
      </c>
      <c r="AD336" s="1">
        <f t="shared" si="66"/>
        <v>1</v>
      </c>
      <c r="AE336" s="1">
        <f t="shared" si="67"/>
        <v>0</v>
      </c>
      <c r="AF336" s="1">
        <f t="shared" si="68"/>
        <v>1</v>
      </c>
      <c r="AG336" s="1">
        <f t="shared" si="69"/>
        <v>1</v>
      </c>
      <c r="AH336" s="1">
        <f t="shared" si="70"/>
        <v>0</v>
      </c>
      <c r="AI336" s="1">
        <f t="shared" si="71"/>
        <v>1</v>
      </c>
      <c r="AJ336" s="1">
        <f>SUMXMY2(Z336:AI336, Occurrence!B$3:K$3)</f>
        <v>1</v>
      </c>
      <c r="AK336" s="1">
        <f t="shared" si="72"/>
        <v>9</v>
      </c>
    </row>
    <row r="337" spans="1:37">
      <c r="A337" s="1">
        <v>336</v>
      </c>
      <c r="B337" s="1">
        <v>4252335</v>
      </c>
      <c r="C337" s="6" t="s">
        <v>34</v>
      </c>
      <c r="D337" s="1">
        <v>1E-3</v>
      </c>
      <c r="E337" s="1">
        <v>4.0000000000000002E-4</v>
      </c>
      <c r="F337" s="1">
        <v>0.9</v>
      </c>
      <c r="G337" s="1">
        <v>0.95</v>
      </c>
      <c r="H337" s="1">
        <v>0.6</v>
      </c>
      <c r="I337" s="1">
        <v>0.2</v>
      </c>
      <c r="J337" s="1">
        <v>0.4</v>
      </c>
      <c r="K337" s="1">
        <v>0.2</v>
      </c>
      <c r="L337" s="1">
        <v>0.3</v>
      </c>
      <c r="M337" s="1">
        <v>0.8</v>
      </c>
      <c r="N337" s="1">
        <f>(Occurrence!B$3-D337)^2</f>
        <v>9.9999999999999995E-7</v>
      </c>
      <c r="O337" s="1">
        <f>(Occurrence!C$3-E337)^2</f>
        <v>1.6E-7</v>
      </c>
      <c r="P337" s="1">
        <f>(Occurrence!D$3-F337)^2</f>
        <v>9.999999999999995E-3</v>
      </c>
      <c r="Q337" s="1">
        <f>(Occurrence!E$3-G337)^2</f>
        <v>2.5000000000000044E-3</v>
      </c>
      <c r="R337" s="1">
        <f>(Occurrence!F$3-H337)^2</f>
        <v>0.36</v>
      </c>
      <c r="S337" s="1">
        <f>(Occurrence!G$3-I337)^2</f>
        <v>4.0000000000000008E-2</v>
      </c>
      <c r="T337" s="1">
        <f>(Occurrence!H$3-J337)^2</f>
        <v>0.36</v>
      </c>
      <c r="U337" s="1">
        <f>(Occurrence!I$3-K337)^2</f>
        <v>0.64000000000000012</v>
      </c>
      <c r="V337" s="1">
        <f>(Occurrence!J$3-L337)^2</f>
        <v>0.09</v>
      </c>
      <c r="W337" s="1">
        <f>(Occurrence!K$3-M337)^2</f>
        <v>3.999999999999998E-2</v>
      </c>
      <c r="X337" s="1">
        <f t="shared" si="61"/>
        <v>1.5425011600000003</v>
      </c>
      <c r="Z337" s="1">
        <f t="shared" si="62"/>
        <v>0</v>
      </c>
      <c r="AA337" s="1">
        <f t="shared" si="63"/>
        <v>0</v>
      </c>
      <c r="AB337" s="1">
        <f t="shared" si="64"/>
        <v>1</v>
      </c>
      <c r="AC337" s="1">
        <f t="shared" si="65"/>
        <v>1</v>
      </c>
      <c r="AD337" s="1">
        <f t="shared" si="66"/>
        <v>1</v>
      </c>
      <c r="AE337" s="1">
        <f t="shared" si="67"/>
        <v>0</v>
      </c>
      <c r="AF337" s="1">
        <f t="shared" si="68"/>
        <v>0</v>
      </c>
      <c r="AG337" s="1">
        <f t="shared" si="69"/>
        <v>0</v>
      </c>
      <c r="AH337" s="1">
        <f t="shared" si="70"/>
        <v>0</v>
      </c>
      <c r="AI337" s="1">
        <f t="shared" si="71"/>
        <v>1</v>
      </c>
      <c r="AJ337" s="1">
        <f>SUMXMY2(Z337:AI337, Occurrence!B$3:K$3)</f>
        <v>3</v>
      </c>
      <c r="AK337" s="1">
        <f t="shared" si="72"/>
        <v>7</v>
      </c>
    </row>
    <row r="338" spans="1:37">
      <c r="A338" s="1">
        <v>337</v>
      </c>
      <c r="B338" s="1">
        <v>4252336</v>
      </c>
      <c r="C338" s="6" t="s">
        <v>34</v>
      </c>
      <c r="D338" s="1">
        <v>0.35</v>
      </c>
      <c r="E338" s="1">
        <v>0.1</v>
      </c>
      <c r="F338" s="1">
        <v>0.2</v>
      </c>
      <c r="G338" s="1">
        <v>0.25</v>
      </c>
      <c r="H338" s="1">
        <v>1</v>
      </c>
      <c r="I338" s="1">
        <v>1</v>
      </c>
      <c r="J338" s="1">
        <v>1</v>
      </c>
      <c r="K338" s="1">
        <v>0.95</v>
      </c>
      <c r="L338" s="1">
        <v>0</v>
      </c>
      <c r="M338" s="1">
        <v>0.8</v>
      </c>
      <c r="N338" s="1">
        <f>(Occurrence!B$3-D338)^2</f>
        <v>0.12249999999999998</v>
      </c>
      <c r="O338" s="1">
        <f>(Occurrence!C$3-E338)^2</f>
        <v>1.0000000000000002E-2</v>
      </c>
      <c r="P338" s="1">
        <f>(Occurrence!D$3-F338)^2</f>
        <v>0.64000000000000012</v>
      </c>
      <c r="Q338" s="1">
        <f>(Occurrence!E$3-G338)^2</f>
        <v>0.5625</v>
      </c>
      <c r="R338" s="1">
        <f>(Occurrence!F$3-H338)^2</f>
        <v>1</v>
      </c>
      <c r="S338" s="1">
        <f>(Occurrence!G$3-I338)^2</f>
        <v>1</v>
      </c>
      <c r="T338" s="1">
        <f>(Occurrence!H$3-J338)^2</f>
        <v>0</v>
      </c>
      <c r="U338" s="1">
        <f>(Occurrence!I$3-K338)^2</f>
        <v>2.5000000000000044E-3</v>
      </c>
      <c r="V338" s="1">
        <f>(Occurrence!J$3-L338)^2</f>
        <v>0</v>
      </c>
      <c r="W338" s="1">
        <f>(Occurrence!K$3-M338)^2</f>
        <v>3.999999999999998E-2</v>
      </c>
      <c r="X338" s="1">
        <f t="shared" si="61"/>
        <v>3.3774999999999999</v>
      </c>
      <c r="Z338" s="1">
        <f t="shared" si="62"/>
        <v>0</v>
      </c>
      <c r="AA338" s="1">
        <f t="shared" si="63"/>
        <v>0</v>
      </c>
      <c r="AB338" s="1">
        <f t="shared" si="64"/>
        <v>0</v>
      </c>
      <c r="AC338" s="1">
        <f t="shared" si="65"/>
        <v>0</v>
      </c>
      <c r="AD338" s="1">
        <f t="shared" si="66"/>
        <v>1</v>
      </c>
      <c r="AE338" s="1">
        <f t="shared" si="67"/>
        <v>1</v>
      </c>
      <c r="AF338" s="1">
        <f t="shared" si="68"/>
        <v>1</v>
      </c>
      <c r="AG338" s="1">
        <f t="shared" si="69"/>
        <v>1</v>
      </c>
      <c r="AH338" s="1">
        <f t="shared" si="70"/>
        <v>0</v>
      </c>
      <c r="AI338" s="1">
        <f t="shared" si="71"/>
        <v>1</v>
      </c>
      <c r="AJ338" s="1">
        <f>SUMXMY2(Z338:AI338, Occurrence!B$3:K$3)</f>
        <v>4</v>
      </c>
      <c r="AK338" s="1">
        <f t="shared" si="72"/>
        <v>6</v>
      </c>
    </row>
    <row r="339" spans="1:37">
      <c r="A339" s="1">
        <v>338</v>
      </c>
      <c r="B339" s="1">
        <v>4252337</v>
      </c>
      <c r="C339" s="6" t="s">
        <v>34</v>
      </c>
      <c r="D339" s="1">
        <v>0.1</v>
      </c>
      <c r="E339" s="1">
        <v>0.12</v>
      </c>
      <c r="F339" s="1">
        <v>0.7</v>
      </c>
      <c r="G339" s="1">
        <v>0.9</v>
      </c>
      <c r="H339" s="1">
        <v>0.7</v>
      </c>
      <c r="I339" s="1">
        <v>0.35</v>
      </c>
      <c r="J339" s="1">
        <v>0.8</v>
      </c>
      <c r="K339" s="1">
        <v>0.9</v>
      </c>
      <c r="L339" s="1">
        <v>0.3</v>
      </c>
      <c r="M339" s="1">
        <v>0.9</v>
      </c>
      <c r="N339" s="1">
        <f>(Occurrence!B$3-D339)^2</f>
        <v>1.0000000000000002E-2</v>
      </c>
      <c r="O339" s="1">
        <f>(Occurrence!C$3-E339)^2</f>
        <v>1.44E-2</v>
      </c>
      <c r="P339" s="1">
        <f>(Occurrence!D$3-F339)^2</f>
        <v>9.0000000000000024E-2</v>
      </c>
      <c r="Q339" s="1">
        <f>(Occurrence!E$3-G339)^2</f>
        <v>9.999999999999995E-3</v>
      </c>
      <c r="R339" s="1">
        <f>(Occurrence!F$3-H339)^2</f>
        <v>0.48999999999999994</v>
      </c>
      <c r="S339" s="1">
        <f>(Occurrence!G$3-I339)^2</f>
        <v>0.12249999999999998</v>
      </c>
      <c r="T339" s="1">
        <f>(Occurrence!H$3-J339)^2</f>
        <v>3.999999999999998E-2</v>
      </c>
      <c r="U339" s="1">
        <f>(Occurrence!I$3-K339)^2</f>
        <v>9.999999999999995E-3</v>
      </c>
      <c r="V339" s="1">
        <f>(Occurrence!J$3-L339)^2</f>
        <v>0.09</v>
      </c>
      <c r="W339" s="1">
        <f>(Occurrence!K$3-M339)^2</f>
        <v>9.999999999999995E-3</v>
      </c>
      <c r="X339" s="1">
        <f t="shared" si="61"/>
        <v>0.88689999999999991</v>
      </c>
      <c r="Z339" s="1">
        <f t="shared" si="62"/>
        <v>0</v>
      </c>
      <c r="AA339" s="1">
        <f t="shared" si="63"/>
        <v>0</v>
      </c>
      <c r="AB339" s="1">
        <f t="shared" si="64"/>
        <v>1</v>
      </c>
      <c r="AC339" s="1">
        <f t="shared" si="65"/>
        <v>1</v>
      </c>
      <c r="AD339" s="1">
        <f t="shared" si="66"/>
        <v>1</v>
      </c>
      <c r="AE339" s="1">
        <f t="shared" si="67"/>
        <v>0</v>
      </c>
      <c r="AF339" s="1">
        <f t="shared" si="68"/>
        <v>1</v>
      </c>
      <c r="AG339" s="1">
        <f t="shared" si="69"/>
        <v>1</v>
      </c>
      <c r="AH339" s="1">
        <f t="shared" si="70"/>
        <v>0</v>
      </c>
      <c r="AI339" s="1">
        <f t="shared" si="71"/>
        <v>1</v>
      </c>
      <c r="AJ339" s="1">
        <f>SUMXMY2(Z339:AI339, Occurrence!B$3:K$3)</f>
        <v>1</v>
      </c>
      <c r="AK339" s="1">
        <f t="shared" si="72"/>
        <v>9</v>
      </c>
    </row>
    <row r="340" spans="1:37">
      <c r="A340" s="1">
        <v>339</v>
      </c>
      <c r="B340" s="1">
        <v>4252338</v>
      </c>
      <c r="C340" s="6" t="s">
        <v>34</v>
      </c>
      <c r="D340" s="1">
        <v>0.1</v>
      </c>
      <c r="E340" s="1">
        <v>0.12</v>
      </c>
      <c r="F340" s="1">
        <v>0.7</v>
      </c>
      <c r="G340" s="1">
        <v>0.9</v>
      </c>
      <c r="H340" s="1">
        <v>0.7</v>
      </c>
      <c r="I340" s="1">
        <v>0.42</v>
      </c>
      <c r="J340" s="1">
        <v>0.8</v>
      </c>
      <c r="K340" s="1">
        <v>0.9</v>
      </c>
      <c r="L340" s="1">
        <v>0.25</v>
      </c>
      <c r="M340" s="1">
        <v>0.9</v>
      </c>
      <c r="N340" s="1">
        <f>(Occurrence!B$3-D340)^2</f>
        <v>1.0000000000000002E-2</v>
      </c>
      <c r="O340" s="1">
        <f>(Occurrence!C$3-E340)^2</f>
        <v>1.44E-2</v>
      </c>
      <c r="P340" s="1">
        <f>(Occurrence!D$3-F340)^2</f>
        <v>9.0000000000000024E-2</v>
      </c>
      <c r="Q340" s="1">
        <f>(Occurrence!E$3-G340)^2</f>
        <v>9.999999999999995E-3</v>
      </c>
      <c r="R340" s="1">
        <f>(Occurrence!F$3-H340)^2</f>
        <v>0.48999999999999994</v>
      </c>
      <c r="S340" s="1">
        <f>(Occurrence!G$3-I340)^2</f>
        <v>0.17639999999999997</v>
      </c>
      <c r="T340" s="1">
        <f>(Occurrence!H$3-J340)^2</f>
        <v>3.999999999999998E-2</v>
      </c>
      <c r="U340" s="1">
        <f>(Occurrence!I$3-K340)^2</f>
        <v>9.999999999999995E-3</v>
      </c>
      <c r="V340" s="1">
        <f>(Occurrence!J$3-L340)^2</f>
        <v>6.25E-2</v>
      </c>
      <c r="W340" s="1">
        <f>(Occurrence!K$3-M340)^2</f>
        <v>9.999999999999995E-3</v>
      </c>
      <c r="X340" s="1">
        <f t="shared" si="61"/>
        <v>0.9133</v>
      </c>
      <c r="Z340" s="1">
        <f t="shared" si="62"/>
        <v>0</v>
      </c>
      <c r="AA340" s="1">
        <f t="shared" si="63"/>
        <v>0</v>
      </c>
      <c r="AB340" s="1">
        <f t="shared" si="64"/>
        <v>1</v>
      </c>
      <c r="AC340" s="1">
        <f t="shared" si="65"/>
        <v>1</v>
      </c>
      <c r="AD340" s="1">
        <f t="shared" si="66"/>
        <v>1</v>
      </c>
      <c r="AE340" s="1">
        <f t="shared" si="67"/>
        <v>0</v>
      </c>
      <c r="AF340" s="1">
        <f t="shared" si="68"/>
        <v>1</v>
      </c>
      <c r="AG340" s="1">
        <f t="shared" si="69"/>
        <v>1</v>
      </c>
      <c r="AH340" s="1">
        <f t="shared" si="70"/>
        <v>0</v>
      </c>
      <c r="AI340" s="1">
        <f t="shared" si="71"/>
        <v>1</v>
      </c>
      <c r="AJ340" s="1">
        <f>SUMXMY2(Z340:AI340, Occurrence!B$3:K$3)</f>
        <v>1</v>
      </c>
      <c r="AK340" s="1">
        <f t="shared" si="72"/>
        <v>9</v>
      </c>
    </row>
    <row r="341" spans="1:37">
      <c r="A341" s="1">
        <v>340</v>
      </c>
      <c r="B341" s="1">
        <v>4252339</v>
      </c>
      <c r="C341" s="6" t="s">
        <v>34</v>
      </c>
      <c r="D341" s="1">
        <v>0.4</v>
      </c>
      <c r="E341" s="1">
        <v>0.5</v>
      </c>
      <c r="F341" s="1">
        <v>0.5</v>
      </c>
      <c r="G341" s="1">
        <v>0.4</v>
      </c>
      <c r="H341" s="1">
        <v>0.4</v>
      </c>
      <c r="I341" s="1">
        <v>0.9</v>
      </c>
      <c r="J341" s="1">
        <v>0.5</v>
      </c>
      <c r="K341" s="1">
        <v>0.2</v>
      </c>
      <c r="L341" s="1">
        <v>0.4</v>
      </c>
      <c r="M341" s="1">
        <v>0.4</v>
      </c>
      <c r="N341" s="1">
        <f>(Occurrence!B$3-D341)^2</f>
        <v>0.16000000000000003</v>
      </c>
      <c r="O341" s="1">
        <f>(Occurrence!C$3-E341)^2</f>
        <v>0.25</v>
      </c>
      <c r="P341" s="1">
        <f>(Occurrence!D$3-F341)^2</f>
        <v>0.25</v>
      </c>
      <c r="Q341" s="1">
        <f>(Occurrence!E$3-G341)^2</f>
        <v>0.36</v>
      </c>
      <c r="R341" s="1">
        <f>(Occurrence!F$3-H341)^2</f>
        <v>0.16000000000000003</v>
      </c>
      <c r="S341" s="1">
        <f>(Occurrence!G$3-I341)^2</f>
        <v>0.81</v>
      </c>
      <c r="T341" s="1">
        <f>(Occurrence!H$3-J341)^2</f>
        <v>0.25</v>
      </c>
      <c r="U341" s="1">
        <f>(Occurrence!I$3-K341)^2</f>
        <v>0.64000000000000012</v>
      </c>
      <c r="V341" s="1">
        <f>(Occurrence!J$3-L341)^2</f>
        <v>0.16000000000000003</v>
      </c>
      <c r="W341" s="1">
        <f>(Occurrence!K$3-M341)^2</f>
        <v>0.36</v>
      </c>
      <c r="X341" s="1">
        <f t="shared" si="61"/>
        <v>3.4000000000000004</v>
      </c>
      <c r="Z341" s="1">
        <f t="shared" si="62"/>
        <v>0</v>
      </c>
      <c r="AA341" s="1">
        <f t="shared" si="63"/>
        <v>1</v>
      </c>
      <c r="AB341" s="1">
        <f t="shared" si="64"/>
        <v>1</v>
      </c>
      <c r="AC341" s="1">
        <f t="shared" si="65"/>
        <v>0</v>
      </c>
      <c r="AD341" s="1">
        <f t="shared" si="66"/>
        <v>0</v>
      </c>
      <c r="AE341" s="1">
        <f t="shared" si="67"/>
        <v>1</v>
      </c>
      <c r="AF341" s="1">
        <f t="shared" si="68"/>
        <v>1</v>
      </c>
      <c r="AG341" s="1">
        <f t="shared" si="69"/>
        <v>0</v>
      </c>
      <c r="AH341" s="1">
        <f t="shared" si="70"/>
        <v>0</v>
      </c>
      <c r="AI341" s="1">
        <f t="shared" si="71"/>
        <v>0</v>
      </c>
      <c r="AJ341" s="1">
        <f>SUMXMY2(Z341:AI341, Occurrence!B$3:K$3)</f>
        <v>5</v>
      </c>
      <c r="AK341" s="1">
        <f t="shared" si="72"/>
        <v>5</v>
      </c>
    </row>
    <row r="342" spans="1:37">
      <c r="A342" s="1">
        <v>341</v>
      </c>
      <c r="B342" s="1">
        <v>4252340</v>
      </c>
      <c r="C342" s="6" t="s">
        <v>34</v>
      </c>
      <c r="D342" s="1">
        <v>0.2</v>
      </c>
      <c r="E342" s="1">
        <v>0.1</v>
      </c>
      <c r="F342" s="1">
        <v>0.7</v>
      </c>
      <c r="G342" s="1">
        <v>0.8</v>
      </c>
      <c r="H342" s="1">
        <v>0.7</v>
      </c>
      <c r="I342" s="1">
        <v>0.7</v>
      </c>
      <c r="J342" s="1">
        <v>0.99</v>
      </c>
      <c r="K342" s="1">
        <v>0.9</v>
      </c>
      <c r="L342" s="1">
        <v>0.2</v>
      </c>
      <c r="M342" s="1">
        <v>0.9</v>
      </c>
      <c r="N342" s="1">
        <f>(Occurrence!B$3-D342)^2</f>
        <v>4.0000000000000008E-2</v>
      </c>
      <c r="O342" s="1">
        <f>(Occurrence!C$3-E342)^2</f>
        <v>1.0000000000000002E-2</v>
      </c>
      <c r="P342" s="1">
        <f>(Occurrence!D$3-F342)^2</f>
        <v>9.0000000000000024E-2</v>
      </c>
      <c r="Q342" s="1">
        <f>(Occurrence!E$3-G342)^2</f>
        <v>3.999999999999998E-2</v>
      </c>
      <c r="R342" s="1">
        <f>(Occurrence!F$3-H342)^2</f>
        <v>0.48999999999999994</v>
      </c>
      <c r="S342" s="1">
        <f>(Occurrence!G$3-I342)^2</f>
        <v>0.48999999999999994</v>
      </c>
      <c r="T342" s="1">
        <f>(Occurrence!H$3-J342)^2</f>
        <v>1.0000000000000018E-4</v>
      </c>
      <c r="U342" s="1">
        <f>(Occurrence!I$3-K342)^2</f>
        <v>9.999999999999995E-3</v>
      </c>
      <c r="V342" s="1">
        <f>(Occurrence!J$3-L342)^2</f>
        <v>4.0000000000000008E-2</v>
      </c>
      <c r="W342" s="1">
        <f>(Occurrence!K$3-M342)^2</f>
        <v>9.999999999999995E-3</v>
      </c>
      <c r="X342" s="1">
        <f t="shared" si="61"/>
        <v>1.2201</v>
      </c>
      <c r="Z342" s="1">
        <f t="shared" si="62"/>
        <v>0</v>
      </c>
      <c r="AA342" s="1">
        <f t="shared" si="63"/>
        <v>0</v>
      </c>
      <c r="AB342" s="1">
        <f t="shared" si="64"/>
        <v>1</v>
      </c>
      <c r="AC342" s="1">
        <f t="shared" si="65"/>
        <v>1</v>
      </c>
      <c r="AD342" s="1">
        <f t="shared" si="66"/>
        <v>1</v>
      </c>
      <c r="AE342" s="1">
        <f t="shared" si="67"/>
        <v>1</v>
      </c>
      <c r="AF342" s="1">
        <f t="shared" si="68"/>
        <v>1</v>
      </c>
      <c r="AG342" s="1">
        <f t="shared" si="69"/>
        <v>1</v>
      </c>
      <c r="AH342" s="1">
        <f t="shared" si="70"/>
        <v>0</v>
      </c>
      <c r="AI342" s="1">
        <f t="shared" si="71"/>
        <v>1</v>
      </c>
      <c r="AJ342" s="1">
        <f>SUMXMY2(Z342:AI342, Occurrence!B$3:K$3)</f>
        <v>2</v>
      </c>
      <c r="AK342" s="1">
        <f t="shared" si="72"/>
        <v>8</v>
      </c>
    </row>
    <row r="343" spans="1:37">
      <c r="A343" s="1">
        <v>342</v>
      </c>
      <c r="B343" s="1">
        <v>4252341</v>
      </c>
      <c r="C343" s="6" t="s">
        <v>34</v>
      </c>
      <c r="D343" s="1">
        <v>0.55000000000000004</v>
      </c>
      <c r="E343" s="1">
        <v>0.85</v>
      </c>
      <c r="F343" s="1">
        <v>0.7</v>
      </c>
      <c r="G343" s="1">
        <v>0.96699999999999997</v>
      </c>
      <c r="H343" s="1">
        <v>0.1</v>
      </c>
      <c r="I343" s="1">
        <v>0.78</v>
      </c>
      <c r="J343" s="1">
        <v>0.47</v>
      </c>
      <c r="K343" s="1">
        <v>0.55000000000000004</v>
      </c>
      <c r="L343" s="1">
        <v>0.95</v>
      </c>
      <c r="M343" s="1">
        <v>0.38</v>
      </c>
      <c r="N343" s="1">
        <f>(Occurrence!B$3-D343)^2</f>
        <v>0.30250000000000005</v>
      </c>
      <c r="O343" s="1">
        <f>(Occurrence!C$3-E343)^2</f>
        <v>0.72249999999999992</v>
      </c>
      <c r="P343" s="1">
        <f>(Occurrence!D$3-F343)^2</f>
        <v>9.0000000000000024E-2</v>
      </c>
      <c r="Q343" s="1">
        <f>(Occurrence!E$3-G343)^2</f>
        <v>1.0890000000000019E-3</v>
      </c>
      <c r="R343" s="1">
        <f>(Occurrence!F$3-H343)^2</f>
        <v>1.0000000000000002E-2</v>
      </c>
      <c r="S343" s="1">
        <f>(Occurrence!G$3-I343)^2</f>
        <v>0.60840000000000005</v>
      </c>
      <c r="T343" s="1">
        <f>(Occurrence!H$3-J343)^2</f>
        <v>0.28090000000000004</v>
      </c>
      <c r="U343" s="1">
        <f>(Occurrence!I$3-K343)^2</f>
        <v>0.20249999999999996</v>
      </c>
      <c r="V343" s="1">
        <f>(Occurrence!J$3-L343)^2</f>
        <v>0.90249999999999997</v>
      </c>
      <c r="W343" s="1">
        <f>(Occurrence!K$3-M343)^2</f>
        <v>0.38440000000000002</v>
      </c>
      <c r="X343" s="1">
        <f t="shared" si="61"/>
        <v>3.5047889999999997</v>
      </c>
      <c r="Z343" s="1">
        <f t="shared" si="62"/>
        <v>1</v>
      </c>
      <c r="AA343" s="1">
        <f t="shared" si="63"/>
        <v>1</v>
      </c>
      <c r="AB343" s="1">
        <f t="shared" si="64"/>
        <v>1</v>
      </c>
      <c r="AC343" s="1">
        <f t="shared" si="65"/>
        <v>1</v>
      </c>
      <c r="AD343" s="1">
        <f t="shared" si="66"/>
        <v>0</v>
      </c>
      <c r="AE343" s="1">
        <f t="shared" si="67"/>
        <v>1</v>
      </c>
      <c r="AF343" s="1">
        <f t="shared" si="68"/>
        <v>0</v>
      </c>
      <c r="AG343" s="1">
        <f t="shared" si="69"/>
        <v>1</v>
      </c>
      <c r="AH343" s="1">
        <f t="shared" si="70"/>
        <v>1</v>
      </c>
      <c r="AI343" s="1">
        <f t="shared" si="71"/>
        <v>0</v>
      </c>
      <c r="AJ343" s="1">
        <f>SUMXMY2(Z343:AI343, Occurrence!B$3:K$3)</f>
        <v>6</v>
      </c>
      <c r="AK343" s="1">
        <f t="shared" si="72"/>
        <v>4</v>
      </c>
    </row>
    <row r="344" spans="1:37">
      <c r="A344" s="1">
        <v>343</v>
      </c>
      <c r="B344" s="1">
        <v>4252342</v>
      </c>
      <c r="C344" s="6" t="s">
        <v>35</v>
      </c>
      <c r="D344" s="1">
        <v>0.99</v>
      </c>
      <c r="E344" s="1">
        <v>0.25</v>
      </c>
      <c r="F344" s="1">
        <v>0.5</v>
      </c>
      <c r="G344" s="1">
        <v>0</v>
      </c>
      <c r="H344" s="1">
        <v>0.85</v>
      </c>
      <c r="I344" s="1">
        <v>0.75</v>
      </c>
      <c r="J344" s="1">
        <v>0.99</v>
      </c>
      <c r="K344" s="1">
        <v>0.89</v>
      </c>
      <c r="L344" s="1">
        <v>0.85</v>
      </c>
      <c r="M344" s="1">
        <v>0.77</v>
      </c>
      <c r="N344" s="1">
        <f>(Occurrence!B$3-D344)^2</f>
        <v>0.98009999999999997</v>
      </c>
      <c r="O344" s="1">
        <f>(Occurrence!C$3-E344)^2</f>
        <v>6.25E-2</v>
      </c>
      <c r="P344" s="1">
        <f>(Occurrence!D$3-F344)^2</f>
        <v>0.25</v>
      </c>
      <c r="Q344" s="1">
        <f>(Occurrence!E$3-G344)^2</f>
        <v>1</v>
      </c>
      <c r="R344" s="1">
        <f>(Occurrence!F$3-H344)^2</f>
        <v>0.72249999999999992</v>
      </c>
      <c r="S344" s="1">
        <f>(Occurrence!G$3-I344)^2</f>
        <v>0.5625</v>
      </c>
      <c r="T344" s="1">
        <f>(Occurrence!H$3-J344)^2</f>
        <v>1.0000000000000018E-4</v>
      </c>
      <c r="U344" s="1">
        <f>(Occurrence!I$3-K344)^2</f>
        <v>1.2099999999999998E-2</v>
      </c>
      <c r="V344" s="1">
        <f>(Occurrence!J$3-L344)^2</f>
        <v>0.72249999999999992</v>
      </c>
      <c r="W344" s="1">
        <f>(Occurrence!K$3-M344)^2</f>
        <v>5.2899999999999989E-2</v>
      </c>
      <c r="X344" s="1">
        <f t="shared" si="61"/>
        <v>4.3652000000000006</v>
      </c>
      <c r="Z344" s="1">
        <f t="shared" si="62"/>
        <v>1</v>
      </c>
      <c r="AA344" s="1">
        <f t="shared" si="63"/>
        <v>0</v>
      </c>
      <c r="AB344" s="1">
        <f t="shared" si="64"/>
        <v>1</v>
      </c>
      <c r="AC344" s="1">
        <f t="shared" si="65"/>
        <v>0</v>
      </c>
      <c r="AD344" s="1">
        <f t="shared" si="66"/>
        <v>1</v>
      </c>
      <c r="AE344" s="1">
        <f t="shared" si="67"/>
        <v>1</v>
      </c>
      <c r="AF344" s="1">
        <f t="shared" si="68"/>
        <v>1</v>
      </c>
      <c r="AG344" s="1">
        <f t="shared" si="69"/>
        <v>1</v>
      </c>
      <c r="AH344" s="1">
        <f t="shared" si="70"/>
        <v>1</v>
      </c>
      <c r="AI344" s="1">
        <f t="shared" si="71"/>
        <v>1</v>
      </c>
      <c r="AJ344" s="1">
        <f>SUMXMY2(Z344:AI344, Occurrence!B$3:K$3)</f>
        <v>5</v>
      </c>
      <c r="AK344" s="1">
        <f t="shared" si="72"/>
        <v>5</v>
      </c>
    </row>
    <row r="345" spans="1:37">
      <c r="A345" s="1">
        <v>344</v>
      </c>
      <c r="B345" s="1">
        <v>4252343</v>
      </c>
      <c r="C345" s="6" t="s">
        <v>35</v>
      </c>
      <c r="D345" s="1">
        <v>0.02</v>
      </c>
      <c r="E345" s="1">
        <v>0.1</v>
      </c>
      <c r="F345" s="1">
        <v>0.25</v>
      </c>
      <c r="G345" s="1">
        <v>0.45</v>
      </c>
      <c r="H345" s="1">
        <v>0.85</v>
      </c>
      <c r="I345" s="1">
        <v>0.5</v>
      </c>
      <c r="J345" s="1">
        <v>0.9</v>
      </c>
      <c r="K345" s="1">
        <v>0.9</v>
      </c>
      <c r="L345" s="1">
        <v>0.2</v>
      </c>
      <c r="M345" s="1">
        <v>0.5</v>
      </c>
      <c r="N345" s="1">
        <f>(Occurrence!B$3-D345)^2</f>
        <v>4.0000000000000002E-4</v>
      </c>
      <c r="O345" s="1">
        <f>(Occurrence!C$3-E345)^2</f>
        <v>1.0000000000000002E-2</v>
      </c>
      <c r="P345" s="1">
        <f>(Occurrence!D$3-F345)^2</f>
        <v>0.5625</v>
      </c>
      <c r="Q345" s="1">
        <f>(Occurrence!E$3-G345)^2</f>
        <v>0.30250000000000005</v>
      </c>
      <c r="R345" s="1">
        <f>(Occurrence!F$3-H345)^2</f>
        <v>0.72249999999999992</v>
      </c>
      <c r="S345" s="1">
        <f>(Occurrence!G$3-I345)^2</f>
        <v>0.25</v>
      </c>
      <c r="T345" s="1">
        <f>(Occurrence!H$3-J345)^2</f>
        <v>9.999999999999995E-3</v>
      </c>
      <c r="U345" s="1">
        <f>(Occurrence!I$3-K345)^2</f>
        <v>9.999999999999995E-3</v>
      </c>
      <c r="V345" s="1">
        <f>(Occurrence!J$3-L345)^2</f>
        <v>4.0000000000000008E-2</v>
      </c>
      <c r="W345" s="1">
        <f>(Occurrence!K$3-M345)^2</f>
        <v>0.25</v>
      </c>
      <c r="X345" s="1">
        <f t="shared" si="61"/>
        <v>2.1578999999999997</v>
      </c>
      <c r="Z345" s="1">
        <f t="shared" si="62"/>
        <v>0</v>
      </c>
      <c r="AA345" s="1">
        <f t="shared" si="63"/>
        <v>0</v>
      </c>
      <c r="AB345" s="1">
        <f t="shared" si="64"/>
        <v>0</v>
      </c>
      <c r="AC345" s="1">
        <f t="shared" si="65"/>
        <v>0</v>
      </c>
      <c r="AD345" s="1">
        <f t="shared" si="66"/>
        <v>1</v>
      </c>
      <c r="AE345" s="1">
        <f t="shared" si="67"/>
        <v>1</v>
      </c>
      <c r="AF345" s="1">
        <f t="shared" si="68"/>
        <v>1</v>
      </c>
      <c r="AG345" s="1">
        <f t="shared" si="69"/>
        <v>1</v>
      </c>
      <c r="AH345" s="1">
        <f t="shared" si="70"/>
        <v>0</v>
      </c>
      <c r="AI345" s="1">
        <f t="shared" si="71"/>
        <v>1</v>
      </c>
      <c r="AJ345" s="1">
        <f>SUMXMY2(Z345:AI345, Occurrence!B$3:K$3)</f>
        <v>4</v>
      </c>
      <c r="AK345" s="1">
        <f t="shared" si="72"/>
        <v>6</v>
      </c>
    </row>
    <row r="346" spans="1:37">
      <c r="A346" s="1">
        <v>345</v>
      </c>
      <c r="B346" s="1">
        <v>4252344</v>
      </c>
      <c r="C346" s="6" t="s">
        <v>35</v>
      </c>
      <c r="D346" s="1">
        <v>0.15</v>
      </c>
      <c r="E346" s="1">
        <v>0.45</v>
      </c>
      <c r="F346" s="1">
        <v>0.1</v>
      </c>
      <c r="G346" s="1">
        <v>0.35</v>
      </c>
      <c r="H346" s="1">
        <v>0.95</v>
      </c>
      <c r="I346" s="1">
        <v>0.2</v>
      </c>
      <c r="J346" s="1">
        <v>0.18</v>
      </c>
      <c r="K346" s="1">
        <v>0.6</v>
      </c>
      <c r="L346" s="1">
        <v>0.4</v>
      </c>
      <c r="M346" s="1">
        <v>0.75</v>
      </c>
      <c r="N346" s="1">
        <f>(Occurrence!B$3-D346)^2</f>
        <v>2.2499999999999999E-2</v>
      </c>
      <c r="O346" s="1">
        <f>(Occurrence!C$3-E346)^2</f>
        <v>0.20250000000000001</v>
      </c>
      <c r="P346" s="1">
        <f>(Occurrence!D$3-F346)^2</f>
        <v>0.81</v>
      </c>
      <c r="Q346" s="1">
        <f>(Occurrence!E$3-G346)^2</f>
        <v>0.42250000000000004</v>
      </c>
      <c r="R346" s="1">
        <f>(Occurrence!F$3-H346)^2</f>
        <v>0.90249999999999997</v>
      </c>
      <c r="S346" s="1">
        <f>(Occurrence!G$3-I346)^2</f>
        <v>4.0000000000000008E-2</v>
      </c>
      <c r="T346" s="1">
        <f>(Occurrence!H$3-J346)^2</f>
        <v>0.67240000000000011</v>
      </c>
      <c r="U346" s="1">
        <f>(Occurrence!I$3-K346)^2</f>
        <v>0.16000000000000003</v>
      </c>
      <c r="V346" s="1">
        <f>(Occurrence!J$3-L346)^2</f>
        <v>0.16000000000000003</v>
      </c>
      <c r="W346" s="1">
        <f>(Occurrence!K$3-M346)^2</f>
        <v>6.25E-2</v>
      </c>
      <c r="X346" s="1">
        <f t="shared" si="61"/>
        <v>3.4549000000000007</v>
      </c>
      <c r="Z346" s="1">
        <f t="shared" si="62"/>
        <v>0</v>
      </c>
      <c r="AA346" s="1">
        <f t="shared" si="63"/>
        <v>0</v>
      </c>
      <c r="AB346" s="1">
        <f t="shared" si="64"/>
        <v>0</v>
      </c>
      <c r="AC346" s="1">
        <f t="shared" si="65"/>
        <v>0</v>
      </c>
      <c r="AD346" s="1">
        <f t="shared" si="66"/>
        <v>1</v>
      </c>
      <c r="AE346" s="1">
        <f t="shared" si="67"/>
        <v>0</v>
      </c>
      <c r="AF346" s="1">
        <f t="shared" si="68"/>
        <v>0</v>
      </c>
      <c r="AG346" s="1">
        <f t="shared" si="69"/>
        <v>1</v>
      </c>
      <c r="AH346" s="1">
        <f t="shared" si="70"/>
        <v>0</v>
      </c>
      <c r="AI346" s="1">
        <f t="shared" si="71"/>
        <v>1</v>
      </c>
      <c r="AJ346" s="1">
        <f>SUMXMY2(Z346:AI346, Occurrence!B$3:K$3)</f>
        <v>4</v>
      </c>
      <c r="AK346" s="1">
        <f t="shared" si="72"/>
        <v>6</v>
      </c>
    </row>
    <row r="347" spans="1:37">
      <c r="A347" s="1">
        <v>346</v>
      </c>
      <c r="B347" s="1">
        <v>4252345</v>
      </c>
      <c r="C347" s="6" t="s">
        <v>35</v>
      </c>
      <c r="D347" s="1">
        <v>0.03</v>
      </c>
      <c r="E347" s="1">
        <v>0.1</v>
      </c>
      <c r="F347" s="1">
        <v>0.02</v>
      </c>
      <c r="G347" s="1">
        <v>0.6</v>
      </c>
      <c r="H347" s="1">
        <v>0.2</v>
      </c>
      <c r="I347" s="1">
        <v>0.6</v>
      </c>
      <c r="J347" s="1">
        <v>0.3</v>
      </c>
      <c r="K347" s="1">
        <v>0.15</v>
      </c>
      <c r="L347" s="1">
        <v>0.35</v>
      </c>
      <c r="M347" s="1">
        <v>0.45</v>
      </c>
      <c r="N347" s="1">
        <f>(Occurrence!B$3-D347)^2</f>
        <v>8.9999999999999998E-4</v>
      </c>
      <c r="O347" s="1">
        <f>(Occurrence!C$3-E347)^2</f>
        <v>1.0000000000000002E-2</v>
      </c>
      <c r="P347" s="1">
        <f>(Occurrence!D$3-F347)^2</f>
        <v>0.96039999999999992</v>
      </c>
      <c r="Q347" s="1">
        <f>(Occurrence!E$3-G347)^2</f>
        <v>0.16000000000000003</v>
      </c>
      <c r="R347" s="1">
        <f>(Occurrence!F$3-H347)^2</f>
        <v>4.0000000000000008E-2</v>
      </c>
      <c r="S347" s="1">
        <f>(Occurrence!G$3-I347)^2</f>
        <v>0.36</v>
      </c>
      <c r="T347" s="1">
        <f>(Occurrence!H$3-J347)^2</f>
        <v>0.48999999999999994</v>
      </c>
      <c r="U347" s="1">
        <f>(Occurrence!I$3-K347)^2</f>
        <v>0.72249999999999992</v>
      </c>
      <c r="V347" s="1">
        <f>(Occurrence!J$3-L347)^2</f>
        <v>0.12249999999999998</v>
      </c>
      <c r="W347" s="1">
        <f>(Occurrence!K$3-M347)^2</f>
        <v>0.30250000000000005</v>
      </c>
      <c r="X347" s="1">
        <f t="shared" si="61"/>
        <v>3.1687999999999996</v>
      </c>
      <c r="Z347" s="1">
        <f t="shared" si="62"/>
        <v>0</v>
      </c>
      <c r="AA347" s="1">
        <f t="shared" si="63"/>
        <v>0</v>
      </c>
      <c r="AB347" s="1">
        <f t="shared" si="64"/>
        <v>0</v>
      </c>
      <c r="AC347" s="1">
        <f t="shared" si="65"/>
        <v>1</v>
      </c>
      <c r="AD347" s="1">
        <f t="shared" si="66"/>
        <v>0</v>
      </c>
      <c r="AE347" s="1">
        <f t="shared" si="67"/>
        <v>1</v>
      </c>
      <c r="AF347" s="1">
        <f t="shared" si="68"/>
        <v>0</v>
      </c>
      <c r="AG347" s="1">
        <f t="shared" si="69"/>
        <v>0</v>
      </c>
      <c r="AH347" s="1">
        <f t="shared" si="70"/>
        <v>0</v>
      </c>
      <c r="AI347" s="1">
        <f t="shared" si="71"/>
        <v>0</v>
      </c>
      <c r="AJ347" s="1">
        <f>SUMXMY2(Z347:AI347, Occurrence!B$3:K$3)</f>
        <v>5</v>
      </c>
      <c r="AK347" s="1">
        <f t="shared" si="72"/>
        <v>5</v>
      </c>
    </row>
    <row r="348" spans="1:37">
      <c r="A348" s="1">
        <v>347</v>
      </c>
      <c r="B348" s="1">
        <v>4252346</v>
      </c>
      <c r="C348" s="6" t="s">
        <v>35</v>
      </c>
      <c r="D348" s="1">
        <v>0.05</v>
      </c>
      <c r="E348" s="1">
        <v>0.56000000000000005</v>
      </c>
      <c r="F348" s="1">
        <v>0.64</v>
      </c>
      <c r="G348" s="1">
        <v>0.78</v>
      </c>
      <c r="H348" s="1">
        <v>0.87</v>
      </c>
      <c r="I348" s="1">
        <v>0.24</v>
      </c>
      <c r="J348" s="1">
        <v>0.34</v>
      </c>
      <c r="K348" s="1">
        <v>0.56999999999999995</v>
      </c>
      <c r="L348" s="1">
        <v>0.44</v>
      </c>
      <c r="M348" s="1">
        <v>0.65</v>
      </c>
      <c r="N348" s="1">
        <f>(Occurrence!B$3-D348)^2</f>
        <v>2.5000000000000005E-3</v>
      </c>
      <c r="O348" s="1">
        <f>(Occurrence!C$3-E348)^2</f>
        <v>0.31360000000000005</v>
      </c>
      <c r="P348" s="1">
        <f>(Occurrence!D$3-F348)^2</f>
        <v>0.12959999999999999</v>
      </c>
      <c r="Q348" s="1">
        <f>(Occurrence!E$3-G348)^2</f>
        <v>4.8399999999999992E-2</v>
      </c>
      <c r="R348" s="1">
        <f>(Occurrence!F$3-H348)^2</f>
        <v>0.75690000000000002</v>
      </c>
      <c r="S348" s="1">
        <f>(Occurrence!G$3-I348)^2</f>
        <v>5.7599999999999998E-2</v>
      </c>
      <c r="T348" s="1">
        <f>(Occurrence!H$3-J348)^2</f>
        <v>0.43559999999999988</v>
      </c>
      <c r="U348" s="1">
        <f>(Occurrence!I$3-K348)^2</f>
        <v>0.18490000000000004</v>
      </c>
      <c r="V348" s="1">
        <f>(Occurrence!J$3-L348)^2</f>
        <v>0.19359999999999999</v>
      </c>
      <c r="W348" s="1">
        <f>(Occurrence!K$3-M348)^2</f>
        <v>0.12249999999999998</v>
      </c>
      <c r="X348" s="1">
        <f t="shared" si="61"/>
        <v>2.2452000000000001</v>
      </c>
      <c r="Z348" s="1">
        <f t="shared" si="62"/>
        <v>0</v>
      </c>
      <c r="AA348" s="1">
        <f t="shared" si="63"/>
        <v>1</v>
      </c>
      <c r="AB348" s="1">
        <f t="shared" si="64"/>
        <v>1</v>
      </c>
      <c r="AC348" s="1">
        <f t="shared" si="65"/>
        <v>1</v>
      </c>
      <c r="AD348" s="1">
        <f t="shared" si="66"/>
        <v>1</v>
      </c>
      <c r="AE348" s="1">
        <f t="shared" si="67"/>
        <v>0</v>
      </c>
      <c r="AF348" s="1">
        <f t="shared" si="68"/>
        <v>0</v>
      </c>
      <c r="AG348" s="1">
        <f t="shared" si="69"/>
        <v>1</v>
      </c>
      <c r="AH348" s="1">
        <f t="shared" si="70"/>
        <v>0</v>
      </c>
      <c r="AI348" s="1">
        <f t="shared" si="71"/>
        <v>1</v>
      </c>
      <c r="AJ348" s="1">
        <f>SUMXMY2(Z348:AI348, Occurrence!B$3:K$3)</f>
        <v>3</v>
      </c>
      <c r="AK348" s="1">
        <f t="shared" si="72"/>
        <v>7</v>
      </c>
    </row>
    <row r="349" spans="1:37">
      <c r="A349" s="1">
        <v>348</v>
      </c>
      <c r="B349" s="1">
        <v>4252347</v>
      </c>
      <c r="C349" s="6" t="s">
        <v>35</v>
      </c>
      <c r="D349" s="1">
        <v>3.0000000000000001E-3</v>
      </c>
      <c r="E349" s="1">
        <v>0.1</v>
      </c>
      <c r="F349" s="1">
        <v>2E-3</v>
      </c>
      <c r="G349" s="1">
        <v>0.4</v>
      </c>
      <c r="H349" s="1">
        <v>0</v>
      </c>
      <c r="I349" s="1">
        <v>0.6</v>
      </c>
      <c r="J349" s="1">
        <v>0.99</v>
      </c>
      <c r="K349" s="1">
        <v>0.2</v>
      </c>
      <c r="L349" s="1">
        <v>0.1</v>
      </c>
      <c r="M349" s="1">
        <v>0.4</v>
      </c>
      <c r="N349" s="1">
        <f>(Occurrence!B$3-D349)^2</f>
        <v>9.0000000000000002E-6</v>
      </c>
      <c r="O349" s="1">
        <f>(Occurrence!C$3-E349)^2</f>
        <v>1.0000000000000002E-2</v>
      </c>
      <c r="P349" s="1">
        <f>(Occurrence!D$3-F349)^2</f>
        <v>0.996004</v>
      </c>
      <c r="Q349" s="1">
        <f>(Occurrence!E$3-G349)^2</f>
        <v>0.36</v>
      </c>
      <c r="R349" s="1">
        <f>(Occurrence!F$3-H349)^2</f>
        <v>0</v>
      </c>
      <c r="S349" s="1">
        <f>(Occurrence!G$3-I349)^2</f>
        <v>0.36</v>
      </c>
      <c r="T349" s="1">
        <f>(Occurrence!H$3-J349)^2</f>
        <v>1.0000000000000018E-4</v>
      </c>
      <c r="U349" s="1">
        <f>(Occurrence!I$3-K349)^2</f>
        <v>0.64000000000000012</v>
      </c>
      <c r="V349" s="1">
        <f>(Occurrence!J$3-L349)^2</f>
        <v>1.0000000000000002E-2</v>
      </c>
      <c r="W349" s="1">
        <f>(Occurrence!K$3-M349)^2</f>
        <v>0.36</v>
      </c>
      <c r="X349" s="1">
        <f t="shared" si="61"/>
        <v>2.736113</v>
      </c>
      <c r="Z349" s="1">
        <f t="shared" si="62"/>
        <v>0</v>
      </c>
      <c r="AA349" s="1">
        <f t="shared" si="63"/>
        <v>0</v>
      </c>
      <c r="AB349" s="1">
        <f t="shared" si="64"/>
        <v>0</v>
      </c>
      <c r="AC349" s="1">
        <f t="shared" si="65"/>
        <v>0</v>
      </c>
      <c r="AD349" s="1">
        <f t="shared" si="66"/>
        <v>0</v>
      </c>
      <c r="AE349" s="1">
        <f t="shared" si="67"/>
        <v>1</v>
      </c>
      <c r="AF349" s="1">
        <f t="shared" si="68"/>
        <v>1</v>
      </c>
      <c r="AG349" s="1">
        <f t="shared" si="69"/>
        <v>0</v>
      </c>
      <c r="AH349" s="1">
        <f t="shared" si="70"/>
        <v>0</v>
      </c>
      <c r="AI349" s="1">
        <f t="shared" si="71"/>
        <v>0</v>
      </c>
      <c r="AJ349" s="1">
        <f>SUMXMY2(Z349:AI349, Occurrence!B$3:K$3)</f>
        <v>5</v>
      </c>
      <c r="AK349" s="1">
        <f t="shared" si="72"/>
        <v>5</v>
      </c>
    </row>
    <row r="350" spans="1:37">
      <c r="A350" s="1">
        <v>349</v>
      </c>
      <c r="B350" s="1">
        <v>4252348</v>
      </c>
      <c r="C350" s="6" t="s">
        <v>35</v>
      </c>
      <c r="D350" s="1">
        <v>0.2</v>
      </c>
      <c r="E350" s="1">
        <v>0.3</v>
      </c>
      <c r="F350" s="1">
        <v>0.3</v>
      </c>
      <c r="G350" s="1">
        <v>0.6</v>
      </c>
      <c r="H350" s="1">
        <v>0.7</v>
      </c>
      <c r="I350" s="1">
        <v>0.1</v>
      </c>
      <c r="J350" s="1">
        <v>1</v>
      </c>
      <c r="K350" s="1">
        <v>0.8</v>
      </c>
      <c r="L350" s="1">
        <v>0.4</v>
      </c>
      <c r="M350" s="1">
        <v>0.6</v>
      </c>
      <c r="N350" s="1">
        <f>(Occurrence!B$3-D350)^2</f>
        <v>4.0000000000000008E-2</v>
      </c>
      <c r="O350" s="1">
        <f>(Occurrence!C$3-E350)^2</f>
        <v>0.09</v>
      </c>
      <c r="P350" s="1">
        <f>(Occurrence!D$3-F350)^2</f>
        <v>0.48999999999999994</v>
      </c>
      <c r="Q350" s="1">
        <f>(Occurrence!E$3-G350)^2</f>
        <v>0.16000000000000003</v>
      </c>
      <c r="R350" s="1">
        <f>(Occurrence!F$3-H350)^2</f>
        <v>0.48999999999999994</v>
      </c>
      <c r="S350" s="1">
        <f>(Occurrence!G$3-I350)^2</f>
        <v>1.0000000000000002E-2</v>
      </c>
      <c r="T350" s="1">
        <f>(Occurrence!H$3-J350)^2</f>
        <v>0</v>
      </c>
      <c r="U350" s="1">
        <f>(Occurrence!I$3-K350)^2</f>
        <v>3.999999999999998E-2</v>
      </c>
      <c r="V350" s="1">
        <f>(Occurrence!J$3-L350)^2</f>
        <v>0.16000000000000003</v>
      </c>
      <c r="W350" s="1">
        <f>(Occurrence!K$3-M350)^2</f>
        <v>0.16000000000000003</v>
      </c>
      <c r="X350" s="1">
        <f t="shared" si="61"/>
        <v>1.6400000000000001</v>
      </c>
      <c r="Z350" s="1">
        <f t="shared" si="62"/>
        <v>0</v>
      </c>
      <c r="AA350" s="1">
        <f t="shared" si="63"/>
        <v>0</v>
      </c>
      <c r="AB350" s="1">
        <f t="shared" si="64"/>
        <v>0</v>
      </c>
      <c r="AC350" s="1">
        <f t="shared" si="65"/>
        <v>1</v>
      </c>
      <c r="AD350" s="1">
        <f t="shared" si="66"/>
        <v>1</v>
      </c>
      <c r="AE350" s="1">
        <f t="shared" si="67"/>
        <v>0</v>
      </c>
      <c r="AF350" s="1">
        <f t="shared" si="68"/>
        <v>1</v>
      </c>
      <c r="AG350" s="1">
        <f t="shared" si="69"/>
        <v>1</v>
      </c>
      <c r="AH350" s="1">
        <f t="shared" si="70"/>
        <v>0</v>
      </c>
      <c r="AI350" s="1">
        <f t="shared" si="71"/>
        <v>1</v>
      </c>
      <c r="AJ350" s="1">
        <f>SUMXMY2(Z350:AI350, Occurrence!B$3:K$3)</f>
        <v>2</v>
      </c>
      <c r="AK350" s="1">
        <f t="shared" si="72"/>
        <v>8</v>
      </c>
    </row>
    <row r="351" spans="1:37">
      <c r="A351" s="1">
        <v>350</v>
      </c>
      <c r="B351" s="1">
        <v>4252349</v>
      </c>
      <c r="C351" s="6" t="s">
        <v>35</v>
      </c>
      <c r="D351" s="1">
        <v>0.2</v>
      </c>
      <c r="E351" s="1">
        <v>0.7</v>
      </c>
      <c r="F351" s="1">
        <v>0.3</v>
      </c>
      <c r="G351" s="1">
        <v>0.8</v>
      </c>
      <c r="H351" s="1">
        <v>0.9</v>
      </c>
      <c r="I351" s="1">
        <v>0.6</v>
      </c>
      <c r="J351" s="1">
        <v>0.9</v>
      </c>
      <c r="K351" s="1">
        <v>0.7</v>
      </c>
      <c r="L351" s="1">
        <v>0.4</v>
      </c>
      <c r="M351" s="1">
        <v>0.8</v>
      </c>
      <c r="N351" s="1">
        <f>(Occurrence!B$3-D351)^2</f>
        <v>4.0000000000000008E-2</v>
      </c>
      <c r="O351" s="1">
        <f>(Occurrence!C$3-E351)^2</f>
        <v>0.48999999999999994</v>
      </c>
      <c r="P351" s="1">
        <f>(Occurrence!D$3-F351)^2</f>
        <v>0.48999999999999994</v>
      </c>
      <c r="Q351" s="1">
        <f>(Occurrence!E$3-G351)^2</f>
        <v>3.999999999999998E-2</v>
      </c>
      <c r="R351" s="1">
        <f>(Occurrence!F$3-H351)^2</f>
        <v>0.81</v>
      </c>
      <c r="S351" s="1">
        <f>(Occurrence!G$3-I351)^2</f>
        <v>0.36</v>
      </c>
      <c r="T351" s="1">
        <f>(Occurrence!H$3-J351)^2</f>
        <v>9.999999999999995E-3</v>
      </c>
      <c r="U351" s="1">
        <f>(Occurrence!I$3-K351)^2</f>
        <v>9.0000000000000024E-2</v>
      </c>
      <c r="V351" s="1">
        <f>(Occurrence!J$3-L351)^2</f>
        <v>0.16000000000000003</v>
      </c>
      <c r="W351" s="1">
        <f>(Occurrence!K$3-M351)^2</f>
        <v>3.999999999999998E-2</v>
      </c>
      <c r="X351" s="1">
        <f t="shared" si="61"/>
        <v>2.5299999999999998</v>
      </c>
      <c r="Z351" s="1">
        <f t="shared" si="62"/>
        <v>0</v>
      </c>
      <c r="AA351" s="1">
        <f t="shared" si="63"/>
        <v>1</v>
      </c>
      <c r="AB351" s="1">
        <f t="shared" si="64"/>
        <v>0</v>
      </c>
      <c r="AC351" s="1">
        <f t="shared" si="65"/>
        <v>1</v>
      </c>
      <c r="AD351" s="1">
        <f t="shared" si="66"/>
        <v>1</v>
      </c>
      <c r="AE351" s="1">
        <f t="shared" si="67"/>
        <v>1</v>
      </c>
      <c r="AF351" s="1">
        <f t="shared" si="68"/>
        <v>1</v>
      </c>
      <c r="AG351" s="1">
        <f t="shared" si="69"/>
        <v>1</v>
      </c>
      <c r="AH351" s="1">
        <f t="shared" si="70"/>
        <v>0</v>
      </c>
      <c r="AI351" s="1">
        <f t="shared" si="71"/>
        <v>1</v>
      </c>
      <c r="AJ351" s="1">
        <f>SUMXMY2(Z351:AI351, Occurrence!B$3:K$3)</f>
        <v>4</v>
      </c>
      <c r="AK351" s="1">
        <f t="shared" si="72"/>
        <v>6</v>
      </c>
    </row>
    <row r="352" spans="1:37">
      <c r="A352" s="1">
        <v>351</v>
      </c>
      <c r="B352" s="1">
        <v>4252350</v>
      </c>
      <c r="C352" s="6" t="s">
        <v>35</v>
      </c>
      <c r="D352" s="1">
        <v>0.1</v>
      </c>
      <c r="E352" s="1">
        <v>0.25</v>
      </c>
      <c r="F352" s="1">
        <v>0.35</v>
      </c>
      <c r="G352" s="1">
        <v>0.25</v>
      </c>
      <c r="H352" s="1">
        <v>0.05</v>
      </c>
      <c r="I352" s="1">
        <v>0.65</v>
      </c>
      <c r="J352" s="1">
        <v>0.85</v>
      </c>
      <c r="K352" s="1">
        <v>0.6</v>
      </c>
      <c r="L352" s="1">
        <v>0.35</v>
      </c>
      <c r="M352" s="1">
        <v>0.75</v>
      </c>
      <c r="N352" s="1">
        <f>(Occurrence!B$3-D352)^2</f>
        <v>1.0000000000000002E-2</v>
      </c>
      <c r="O352" s="1">
        <f>(Occurrence!C$3-E352)^2</f>
        <v>6.25E-2</v>
      </c>
      <c r="P352" s="1">
        <f>(Occurrence!D$3-F352)^2</f>
        <v>0.42250000000000004</v>
      </c>
      <c r="Q352" s="1">
        <f>(Occurrence!E$3-G352)^2</f>
        <v>0.5625</v>
      </c>
      <c r="R352" s="1">
        <f>(Occurrence!F$3-H352)^2</f>
        <v>2.5000000000000005E-3</v>
      </c>
      <c r="S352" s="1">
        <f>(Occurrence!G$3-I352)^2</f>
        <v>0.42250000000000004</v>
      </c>
      <c r="T352" s="1">
        <f>(Occurrence!H$3-J352)^2</f>
        <v>2.2500000000000006E-2</v>
      </c>
      <c r="U352" s="1">
        <f>(Occurrence!I$3-K352)^2</f>
        <v>0.16000000000000003</v>
      </c>
      <c r="V352" s="1">
        <f>(Occurrence!J$3-L352)^2</f>
        <v>0.12249999999999998</v>
      </c>
      <c r="W352" s="1">
        <f>(Occurrence!K$3-M352)^2</f>
        <v>6.25E-2</v>
      </c>
      <c r="X352" s="1">
        <f t="shared" si="61"/>
        <v>1.85</v>
      </c>
      <c r="Z352" s="1">
        <f t="shared" si="62"/>
        <v>0</v>
      </c>
      <c r="AA352" s="1">
        <f t="shared" si="63"/>
        <v>0</v>
      </c>
      <c r="AB352" s="1">
        <f t="shared" si="64"/>
        <v>0</v>
      </c>
      <c r="AC352" s="1">
        <f t="shared" si="65"/>
        <v>0</v>
      </c>
      <c r="AD352" s="1">
        <f t="shared" si="66"/>
        <v>0</v>
      </c>
      <c r="AE352" s="1">
        <f t="shared" si="67"/>
        <v>1</v>
      </c>
      <c r="AF352" s="1">
        <f t="shared" si="68"/>
        <v>1</v>
      </c>
      <c r="AG352" s="1">
        <f t="shared" si="69"/>
        <v>1</v>
      </c>
      <c r="AH352" s="1">
        <f t="shared" si="70"/>
        <v>0</v>
      </c>
      <c r="AI352" s="1">
        <f t="shared" si="71"/>
        <v>1</v>
      </c>
      <c r="AJ352" s="1">
        <f>SUMXMY2(Z352:AI352, Occurrence!B$3:K$3)</f>
        <v>3</v>
      </c>
      <c r="AK352" s="1">
        <f t="shared" si="72"/>
        <v>7</v>
      </c>
    </row>
    <row r="353" spans="1:37">
      <c r="A353" s="1">
        <v>352</v>
      </c>
      <c r="B353" s="1">
        <v>4252351</v>
      </c>
      <c r="C353" s="6" t="s">
        <v>35</v>
      </c>
      <c r="D353" s="1">
        <v>0.2</v>
      </c>
      <c r="E353" s="1">
        <v>0.5</v>
      </c>
      <c r="F353" s="1">
        <v>0.4</v>
      </c>
      <c r="G353" s="1">
        <v>0.7</v>
      </c>
      <c r="H353" s="1">
        <v>0</v>
      </c>
      <c r="I353" s="1">
        <v>0</v>
      </c>
      <c r="J353" s="1">
        <v>1</v>
      </c>
      <c r="K353" s="1">
        <v>0.9</v>
      </c>
      <c r="L353" s="1">
        <v>0.05</v>
      </c>
      <c r="M353" s="1">
        <v>0.1</v>
      </c>
      <c r="N353" s="1">
        <f>(Occurrence!B$3-D353)^2</f>
        <v>4.0000000000000008E-2</v>
      </c>
      <c r="O353" s="1">
        <f>(Occurrence!C$3-E353)^2</f>
        <v>0.25</v>
      </c>
      <c r="P353" s="1">
        <f>(Occurrence!D$3-F353)^2</f>
        <v>0.36</v>
      </c>
      <c r="Q353" s="1">
        <f>(Occurrence!E$3-G353)^2</f>
        <v>9.0000000000000024E-2</v>
      </c>
      <c r="R353" s="1">
        <f>(Occurrence!F$3-H353)^2</f>
        <v>0</v>
      </c>
      <c r="S353" s="1">
        <f>(Occurrence!G$3-I353)^2</f>
        <v>0</v>
      </c>
      <c r="T353" s="1">
        <f>(Occurrence!H$3-J353)^2</f>
        <v>0</v>
      </c>
      <c r="U353" s="1">
        <f>(Occurrence!I$3-K353)^2</f>
        <v>9.999999999999995E-3</v>
      </c>
      <c r="V353" s="1">
        <f>(Occurrence!J$3-L353)^2</f>
        <v>2.5000000000000005E-3</v>
      </c>
      <c r="W353" s="1">
        <f>(Occurrence!K$3-M353)^2</f>
        <v>0.81</v>
      </c>
      <c r="X353" s="1">
        <f t="shared" si="61"/>
        <v>1.5625</v>
      </c>
      <c r="Z353" s="1">
        <f t="shared" si="62"/>
        <v>0</v>
      </c>
      <c r="AA353" s="1">
        <f t="shared" si="63"/>
        <v>1</v>
      </c>
      <c r="AB353" s="1">
        <f t="shared" si="64"/>
        <v>0</v>
      </c>
      <c r="AC353" s="1">
        <f t="shared" si="65"/>
        <v>1</v>
      </c>
      <c r="AD353" s="1">
        <f t="shared" si="66"/>
        <v>0</v>
      </c>
      <c r="AE353" s="1">
        <f t="shared" si="67"/>
        <v>0</v>
      </c>
      <c r="AF353" s="1">
        <f t="shared" si="68"/>
        <v>1</v>
      </c>
      <c r="AG353" s="1">
        <f t="shared" si="69"/>
        <v>1</v>
      </c>
      <c r="AH353" s="1">
        <f t="shared" si="70"/>
        <v>0</v>
      </c>
      <c r="AI353" s="1">
        <f t="shared" si="71"/>
        <v>0</v>
      </c>
      <c r="AJ353" s="1">
        <f>SUMXMY2(Z353:AI353, Occurrence!B$3:K$3)</f>
        <v>3</v>
      </c>
      <c r="AK353" s="1">
        <f t="shared" si="72"/>
        <v>7</v>
      </c>
    </row>
    <row r="354" spans="1:37">
      <c r="A354" s="1">
        <v>353</v>
      </c>
      <c r="B354" s="1">
        <v>4252352</v>
      </c>
      <c r="C354" s="6" t="s">
        <v>35</v>
      </c>
      <c r="D354" s="1">
        <v>0.4</v>
      </c>
      <c r="E354" s="1">
        <v>0.7</v>
      </c>
      <c r="F354" s="1">
        <v>0.3</v>
      </c>
      <c r="G354" s="1">
        <v>0.45</v>
      </c>
      <c r="H354" s="1">
        <v>0.89</v>
      </c>
      <c r="I354" s="1">
        <v>0.3</v>
      </c>
      <c r="J354" s="1">
        <v>0.97</v>
      </c>
      <c r="K354" s="1">
        <v>0.43</v>
      </c>
      <c r="L354" s="1">
        <v>0.75</v>
      </c>
      <c r="M354" s="1">
        <v>0.3</v>
      </c>
      <c r="N354" s="1">
        <f>(Occurrence!B$3-D354)^2</f>
        <v>0.16000000000000003</v>
      </c>
      <c r="O354" s="1">
        <f>(Occurrence!C$3-E354)^2</f>
        <v>0.48999999999999994</v>
      </c>
      <c r="P354" s="1">
        <f>(Occurrence!D$3-F354)^2</f>
        <v>0.48999999999999994</v>
      </c>
      <c r="Q354" s="1">
        <f>(Occurrence!E$3-G354)^2</f>
        <v>0.30250000000000005</v>
      </c>
      <c r="R354" s="1">
        <f>(Occurrence!F$3-H354)^2</f>
        <v>0.79210000000000003</v>
      </c>
      <c r="S354" s="1">
        <f>(Occurrence!G$3-I354)^2</f>
        <v>0.09</v>
      </c>
      <c r="T354" s="1">
        <f>(Occurrence!H$3-J354)^2</f>
        <v>9.000000000000016E-4</v>
      </c>
      <c r="U354" s="1">
        <f>(Occurrence!I$3-K354)^2</f>
        <v>0.32490000000000008</v>
      </c>
      <c r="V354" s="1">
        <f>(Occurrence!J$3-L354)^2</f>
        <v>0.5625</v>
      </c>
      <c r="W354" s="1">
        <f>(Occurrence!K$3-M354)^2</f>
        <v>0.48999999999999994</v>
      </c>
      <c r="X354" s="1">
        <f t="shared" si="61"/>
        <v>3.7028999999999996</v>
      </c>
      <c r="Z354" s="1">
        <f t="shared" si="62"/>
        <v>0</v>
      </c>
      <c r="AA354" s="1">
        <f t="shared" si="63"/>
        <v>1</v>
      </c>
      <c r="AB354" s="1">
        <f t="shared" si="64"/>
        <v>0</v>
      </c>
      <c r="AC354" s="1">
        <f t="shared" si="65"/>
        <v>0</v>
      </c>
      <c r="AD354" s="1">
        <f t="shared" si="66"/>
        <v>1</v>
      </c>
      <c r="AE354" s="1">
        <f t="shared" si="67"/>
        <v>0</v>
      </c>
      <c r="AF354" s="1">
        <f t="shared" si="68"/>
        <v>1</v>
      </c>
      <c r="AG354" s="1">
        <f t="shared" si="69"/>
        <v>0</v>
      </c>
      <c r="AH354" s="1">
        <f t="shared" si="70"/>
        <v>1</v>
      </c>
      <c r="AI354" s="1">
        <f t="shared" si="71"/>
        <v>0</v>
      </c>
      <c r="AJ354" s="1">
        <f>SUMXMY2(Z354:AI354, Occurrence!B$3:K$3)</f>
        <v>7</v>
      </c>
      <c r="AK354" s="1">
        <f t="shared" si="72"/>
        <v>3</v>
      </c>
    </row>
    <row r="355" spans="1:37">
      <c r="A355" s="1">
        <v>354</v>
      </c>
      <c r="B355" s="1">
        <v>4252353</v>
      </c>
      <c r="C355" s="6" t="s">
        <v>35</v>
      </c>
      <c r="D355" s="1">
        <v>0.3</v>
      </c>
      <c r="E355" s="1">
        <v>0.5</v>
      </c>
      <c r="F355" s="1">
        <v>0.6</v>
      </c>
      <c r="G355" s="1">
        <v>0.5</v>
      </c>
      <c r="H355" s="1">
        <v>0.8</v>
      </c>
      <c r="I355" s="1">
        <v>0.2</v>
      </c>
      <c r="J355" s="1">
        <v>0.3</v>
      </c>
      <c r="K355" s="1">
        <v>0.4</v>
      </c>
      <c r="L355" s="1">
        <v>0.6</v>
      </c>
      <c r="M355" s="1">
        <v>0.8</v>
      </c>
      <c r="N355" s="1">
        <f>(Occurrence!B$3-D355)^2</f>
        <v>0.09</v>
      </c>
      <c r="O355" s="1">
        <f>(Occurrence!C$3-E355)^2</f>
        <v>0.25</v>
      </c>
      <c r="P355" s="1">
        <f>(Occurrence!D$3-F355)^2</f>
        <v>0.16000000000000003</v>
      </c>
      <c r="Q355" s="1">
        <f>(Occurrence!E$3-G355)^2</f>
        <v>0.25</v>
      </c>
      <c r="R355" s="1">
        <f>(Occurrence!F$3-H355)^2</f>
        <v>0.64000000000000012</v>
      </c>
      <c r="S355" s="1">
        <f>(Occurrence!G$3-I355)^2</f>
        <v>4.0000000000000008E-2</v>
      </c>
      <c r="T355" s="1">
        <f>(Occurrence!H$3-J355)^2</f>
        <v>0.48999999999999994</v>
      </c>
      <c r="U355" s="1">
        <f>(Occurrence!I$3-K355)^2</f>
        <v>0.36</v>
      </c>
      <c r="V355" s="1">
        <f>(Occurrence!J$3-L355)^2</f>
        <v>0.36</v>
      </c>
      <c r="W355" s="1">
        <f>(Occurrence!K$3-M355)^2</f>
        <v>3.999999999999998E-2</v>
      </c>
      <c r="X355" s="1">
        <f t="shared" si="61"/>
        <v>2.68</v>
      </c>
      <c r="Z355" s="1">
        <f t="shared" si="62"/>
        <v>0</v>
      </c>
      <c r="AA355" s="1">
        <f t="shared" si="63"/>
        <v>1</v>
      </c>
      <c r="AB355" s="1">
        <f t="shared" si="64"/>
        <v>1</v>
      </c>
      <c r="AC355" s="1">
        <f t="shared" si="65"/>
        <v>1</v>
      </c>
      <c r="AD355" s="1">
        <f t="shared" si="66"/>
        <v>1</v>
      </c>
      <c r="AE355" s="1">
        <f t="shared" si="67"/>
        <v>0</v>
      </c>
      <c r="AF355" s="1">
        <f t="shared" si="68"/>
        <v>0</v>
      </c>
      <c r="AG355" s="1">
        <f t="shared" si="69"/>
        <v>0</v>
      </c>
      <c r="AH355" s="1">
        <f t="shared" si="70"/>
        <v>1</v>
      </c>
      <c r="AI355" s="1">
        <f t="shared" si="71"/>
        <v>1</v>
      </c>
      <c r="AJ355" s="1">
        <f>SUMXMY2(Z355:AI355, Occurrence!B$3:K$3)</f>
        <v>5</v>
      </c>
      <c r="AK355" s="1">
        <f t="shared" si="72"/>
        <v>5</v>
      </c>
    </row>
    <row r="356" spans="1:37">
      <c r="A356" s="1">
        <v>355</v>
      </c>
      <c r="B356" s="1">
        <v>4252354</v>
      </c>
      <c r="C356" s="6" t="s">
        <v>35</v>
      </c>
      <c r="D356" s="1">
        <v>2.5000000000000001E-2</v>
      </c>
      <c r="E356" s="1">
        <v>0.05</v>
      </c>
      <c r="F356" s="1">
        <v>0.7</v>
      </c>
      <c r="G356" s="1">
        <v>0.75</v>
      </c>
      <c r="H356" s="1">
        <v>0.45</v>
      </c>
      <c r="I356" s="1">
        <v>0.5</v>
      </c>
      <c r="J356" s="1">
        <v>0.95</v>
      </c>
      <c r="K356" s="1">
        <v>0.7</v>
      </c>
      <c r="L356" s="1">
        <v>0.35</v>
      </c>
      <c r="M356" s="1">
        <v>0.95</v>
      </c>
      <c r="N356" s="1">
        <f>(Occurrence!B$3-D356)^2</f>
        <v>6.2500000000000012E-4</v>
      </c>
      <c r="O356" s="1">
        <f>(Occurrence!C$3-E356)^2</f>
        <v>2.5000000000000005E-3</v>
      </c>
      <c r="P356" s="1">
        <f>(Occurrence!D$3-F356)^2</f>
        <v>9.0000000000000024E-2</v>
      </c>
      <c r="Q356" s="1">
        <f>(Occurrence!E$3-G356)^2</f>
        <v>6.25E-2</v>
      </c>
      <c r="R356" s="1">
        <f>(Occurrence!F$3-H356)^2</f>
        <v>0.20250000000000001</v>
      </c>
      <c r="S356" s="1">
        <f>(Occurrence!G$3-I356)^2</f>
        <v>0.25</v>
      </c>
      <c r="T356" s="1">
        <f>(Occurrence!H$3-J356)^2</f>
        <v>2.5000000000000044E-3</v>
      </c>
      <c r="U356" s="1">
        <f>(Occurrence!I$3-K356)^2</f>
        <v>9.0000000000000024E-2</v>
      </c>
      <c r="V356" s="1">
        <f>(Occurrence!J$3-L356)^2</f>
        <v>0.12249999999999998</v>
      </c>
      <c r="W356" s="1">
        <f>(Occurrence!K$3-M356)^2</f>
        <v>2.5000000000000044E-3</v>
      </c>
      <c r="X356" s="1">
        <f t="shared" si="61"/>
        <v>0.82562500000000005</v>
      </c>
      <c r="Z356" s="1">
        <f t="shared" si="62"/>
        <v>0</v>
      </c>
      <c r="AA356" s="1">
        <f t="shared" si="63"/>
        <v>0</v>
      </c>
      <c r="AB356" s="1">
        <f t="shared" si="64"/>
        <v>1</v>
      </c>
      <c r="AC356" s="1">
        <f t="shared" si="65"/>
        <v>1</v>
      </c>
      <c r="AD356" s="1">
        <f t="shared" si="66"/>
        <v>0</v>
      </c>
      <c r="AE356" s="1">
        <f t="shared" si="67"/>
        <v>1</v>
      </c>
      <c r="AF356" s="1">
        <f t="shared" si="68"/>
        <v>1</v>
      </c>
      <c r="AG356" s="1">
        <f t="shared" si="69"/>
        <v>1</v>
      </c>
      <c r="AH356" s="1">
        <f t="shared" si="70"/>
        <v>0</v>
      </c>
      <c r="AI356" s="1">
        <f t="shared" si="71"/>
        <v>1</v>
      </c>
      <c r="AJ356" s="1">
        <f>SUMXMY2(Z356:AI356, Occurrence!B$3:K$3)</f>
        <v>1</v>
      </c>
      <c r="AK356" s="1">
        <f t="shared" si="72"/>
        <v>9</v>
      </c>
    </row>
    <row r="357" spans="1:37">
      <c r="A357" s="1">
        <v>356</v>
      </c>
      <c r="B357" s="1">
        <v>4252355</v>
      </c>
      <c r="C357" s="6" t="s">
        <v>35</v>
      </c>
      <c r="D357" s="1">
        <v>0.22</v>
      </c>
      <c r="E357" s="1">
        <v>0.08</v>
      </c>
      <c r="F357" s="1">
        <v>0.33</v>
      </c>
      <c r="G357" s="1">
        <v>0.28000000000000003</v>
      </c>
      <c r="H357" s="1">
        <v>0.5</v>
      </c>
      <c r="I357" s="1">
        <v>0.38900000000000001</v>
      </c>
      <c r="J357" s="1">
        <v>0.68</v>
      </c>
      <c r="K357" s="1">
        <v>0.16</v>
      </c>
      <c r="L357" s="1">
        <v>0.27</v>
      </c>
      <c r="M357" s="1">
        <v>0.53</v>
      </c>
      <c r="N357" s="1">
        <f>(Occurrence!B$3-D357)^2</f>
        <v>4.8399999999999999E-2</v>
      </c>
      <c r="O357" s="1">
        <f>(Occurrence!C$3-E357)^2</f>
        <v>6.4000000000000003E-3</v>
      </c>
      <c r="P357" s="1">
        <f>(Occurrence!D$3-F357)^2</f>
        <v>0.44889999999999991</v>
      </c>
      <c r="Q357" s="1">
        <f>(Occurrence!E$3-G357)^2</f>
        <v>0.51839999999999997</v>
      </c>
      <c r="R357" s="1">
        <f>(Occurrence!F$3-H357)^2</f>
        <v>0.25</v>
      </c>
      <c r="S357" s="1">
        <f>(Occurrence!G$3-I357)^2</f>
        <v>0.15132100000000001</v>
      </c>
      <c r="T357" s="1">
        <f>(Occurrence!H$3-J357)^2</f>
        <v>0.10239999999999996</v>
      </c>
      <c r="U357" s="1">
        <f>(Occurrence!I$3-K357)^2</f>
        <v>0.70559999999999989</v>
      </c>
      <c r="V357" s="1">
        <f>(Occurrence!J$3-L357)^2</f>
        <v>7.2900000000000006E-2</v>
      </c>
      <c r="W357" s="1">
        <f>(Occurrence!K$3-M357)^2</f>
        <v>0.22089999999999999</v>
      </c>
      <c r="X357" s="1">
        <f t="shared" si="61"/>
        <v>2.5252210000000002</v>
      </c>
      <c r="Z357" s="1">
        <f t="shared" si="62"/>
        <v>0</v>
      </c>
      <c r="AA357" s="1">
        <f t="shared" si="63"/>
        <v>0</v>
      </c>
      <c r="AB357" s="1">
        <f t="shared" si="64"/>
        <v>0</v>
      </c>
      <c r="AC357" s="1">
        <f t="shared" si="65"/>
        <v>0</v>
      </c>
      <c r="AD357" s="1">
        <f t="shared" si="66"/>
        <v>1</v>
      </c>
      <c r="AE357" s="1">
        <f t="shared" si="67"/>
        <v>0</v>
      </c>
      <c r="AF357" s="1">
        <f t="shared" si="68"/>
        <v>1</v>
      </c>
      <c r="AG357" s="1">
        <f t="shared" si="69"/>
        <v>0</v>
      </c>
      <c r="AH357" s="1">
        <f t="shared" si="70"/>
        <v>0</v>
      </c>
      <c r="AI357" s="1">
        <f t="shared" si="71"/>
        <v>1</v>
      </c>
      <c r="AJ357" s="1">
        <f>SUMXMY2(Z357:AI357, Occurrence!B$3:K$3)</f>
        <v>4</v>
      </c>
      <c r="AK357" s="1">
        <f t="shared" si="72"/>
        <v>6</v>
      </c>
    </row>
    <row r="358" spans="1:37">
      <c r="A358" s="1">
        <v>357</v>
      </c>
      <c r="B358" s="1">
        <v>4252356</v>
      </c>
      <c r="C358" s="6" t="s">
        <v>35</v>
      </c>
      <c r="D358" s="1">
        <v>0.02</v>
      </c>
      <c r="E358" s="1">
        <v>0.05</v>
      </c>
      <c r="F358" s="1">
        <v>0.95</v>
      </c>
      <c r="G358" s="1">
        <v>0.95</v>
      </c>
      <c r="H358" s="1">
        <v>0.03</v>
      </c>
      <c r="I358" s="1">
        <v>0.25</v>
      </c>
      <c r="J358" s="1">
        <v>0.95</v>
      </c>
      <c r="K358" s="1">
        <v>0.85</v>
      </c>
      <c r="L358" s="1">
        <v>0.9</v>
      </c>
      <c r="M358" s="1">
        <v>0.9</v>
      </c>
      <c r="N358" s="1">
        <f>(Occurrence!B$3-D358)^2</f>
        <v>4.0000000000000002E-4</v>
      </c>
      <c r="O358" s="1">
        <f>(Occurrence!C$3-E358)^2</f>
        <v>2.5000000000000005E-3</v>
      </c>
      <c r="P358" s="1">
        <f>(Occurrence!D$3-F358)^2</f>
        <v>2.5000000000000044E-3</v>
      </c>
      <c r="Q358" s="1">
        <f>(Occurrence!E$3-G358)^2</f>
        <v>2.5000000000000044E-3</v>
      </c>
      <c r="R358" s="1">
        <f>(Occurrence!F$3-H358)^2</f>
        <v>8.9999999999999998E-4</v>
      </c>
      <c r="S358" s="1">
        <f>(Occurrence!G$3-I358)^2</f>
        <v>6.25E-2</v>
      </c>
      <c r="T358" s="1">
        <f>(Occurrence!H$3-J358)^2</f>
        <v>2.5000000000000044E-3</v>
      </c>
      <c r="U358" s="1">
        <f>(Occurrence!I$3-K358)^2</f>
        <v>2.2500000000000006E-2</v>
      </c>
      <c r="V358" s="1">
        <f>(Occurrence!J$3-L358)^2</f>
        <v>0.81</v>
      </c>
      <c r="W358" s="1">
        <f>(Occurrence!K$3-M358)^2</f>
        <v>9.999999999999995E-3</v>
      </c>
      <c r="X358" s="1">
        <f t="shared" si="61"/>
        <v>0.91630000000000011</v>
      </c>
      <c r="Z358" s="1">
        <f t="shared" si="62"/>
        <v>0</v>
      </c>
      <c r="AA358" s="1">
        <f t="shared" si="63"/>
        <v>0</v>
      </c>
      <c r="AB358" s="1">
        <f t="shared" si="64"/>
        <v>1</v>
      </c>
      <c r="AC358" s="1">
        <f t="shared" si="65"/>
        <v>1</v>
      </c>
      <c r="AD358" s="1">
        <f t="shared" si="66"/>
        <v>0</v>
      </c>
      <c r="AE358" s="1">
        <f t="shared" si="67"/>
        <v>0</v>
      </c>
      <c r="AF358" s="1">
        <f t="shared" si="68"/>
        <v>1</v>
      </c>
      <c r="AG358" s="1">
        <f t="shared" si="69"/>
        <v>1</v>
      </c>
      <c r="AH358" s="1">
        <f t="shared" si="70"/>
        <v>1</v>
      </c>
      <c r="AI358" s="1">
        <f t="shared" si="71"/>
        <v>1</v>
      </c>
      <c r="AJ358" s="1">
        <f>SUMXMY2(Z358:AI358, Occurrence!B$3:K$3)</f>
        <v>1</v>
      </c>
      <c r="AK358" s="1">
        <f t="shared" si="72"/>
        <v>9</v>
      </c>
    </row>
    <row r="359" spans="1:37">
      <c r="A359" s="1">
        <v>358</v>
      </c>
      <c r="B359" s="1">
        <v>4252357</v>
      </c>
      <c r="C359" s="6" t="s">
        <v>35</v>
      </c>
      <c r="D359" s="1">
        <v>0.01</v>
      </c>
      <c r="E359" s="1">
        <v>0.3</v>
      </c>
      <c r="F359" s="1">
        <v>0.8</v>
      </c>
      <c r="G359" s="1">
        <v>0.97</v>
      </c>
      <c r="H359" s="1">
        <v>1</v>
      </c>
      <c r="I359" s="1">
        <v>0.2</v>
      </c>
      <c r="J359" s="1">
        <v>1</v>
      </c>
      <c r="K359" s="1">
        <v>0.9</v>
      </c>
      <c r="L359" s="1">
        <v>0.3</v>
      </c>
      <c r="M359" s="1">
        <v>1</v>
      </c>
      <c r="N359" s="1">
        <f>(Occurrence!B$3-D359)^2</f>
        <v>1E-4</v>
      </c>
      <c r="O359" s="1">
        <f>(Occurrence!C$3-E359)^2</f>
        <v>0.09</v>
      </c>
      <c r="P359" s="1">
        <f>(Occurrence!D$3-F359)^2</f>
        <v>3.999999999999998E-2</v>
      </c>
      <c r="Q359" s="1">
        <f>(Occurrence!E$3-G359)^2</f>
        <v>9.000000000000016E-4</v>
      </c>
      <c r="R359" s="1">
        <f>(Occurrence!F$3-H359)^2</f>
        <v>1</v>
      </c>
      <c r="S359" s="1">
        <f>(Occurrence!G$3-I359)^2</f>
        <v>4.0000000000000008E-2</v>
      </c>
      <c r="T359" s="1">
        <f>(Occurrence!H$3-J359)^2</f>
        <v>0</v>
      </c>
      <c r="U359" s="1">
        <f>(Occurrence!I$3-K359)^2</f>
        <v>9.999999999999995E-3</v>
      </c>
      <c r="V359" s="1">
        <f>(Occurrence!J$3-L359)^2</f>
        <v>0.09</v>
      </c>
      <c r="W359" s="1">
        <f>(Occurrence!K$3-M359)^2</f>
        <v>0</v>
      </c>
      <c r="X359" s="1">
        <f t="shared" si="61"/>
        <v>1.2710000000000001</v>
      </c>
      <c r="Z359" s="1">
        <f t="shared" si="62"/>
        <v>0</v>
      </c>
      <c r="AA359" s="1">
        <f t="shared" si="63"/>
        <v>0</v>
      </c>
      <c r="AB359" s="1">
        <f t="shared" si="64"/>
        <v>1</v>
      </c>
      <c r="AC359" s="1">
        <f t="shared" si="65"/>
        <v>1</v>
      </c>
      <c r="AD359" s="1">
        <f t="shared" si="66"/>
        <v>1</v>
      </c>
      <c r="AE359" s="1">
        <f t="shared" si="67"/>
        <v>0</v>
      </c>
      <c r="AF359" s="1">
        <f t="shared" si="68"/>
        <v>1</v>
      </c>
      <c r="AG359" s="1">
        <f t="shared" si="69"/>
        <v>1</v>
      </c>
      <c r="AH359" s="1">
        <f t="shared" si="70"/>
        <v>0</v>
      </c>
      <c r="AI359" s="1">
        <f t="shared" si="71"/>
        <v>1</v>
      </c>
      <c r="AJ359" s="1">
        <f>SUMXMY2(Z359:AI359, Occurrence!B$3:K$3)</f>
        <v>1</v>
      </c>
      <c r="AK359" s="1">
        <f t="shared" si="72"/>
        <v>9</v>
      </c>
    </row>
    <row r="360" spans="1:37">
      <c r="A360" s="1">
        <v>359</v>
      </c>
      <c r="B360" s="1">
        <v>4252358</v>
      </c>
      <c r="C360" s="6" t="s">
        <v>35</v>
      </c>
      <c r="D360" s="1">
        <v>0.05</v>
      </c>
      <c r="E360" s="1">
        <v>0.45629999999999998</v>
      </c>
      <c r="F360" s="1">
        <v>0.96530000000000005</v>
      </c>
      <c r="G360" s="1">
        <v>5.4100000000000002E-2</v>
      </c>
      <c r="H360" s="1">
        <v>0.56120000000000003</v>
      </c>
      <c r="I360" s="1">
        <v>0.65429999999999999</v>
      </c>
      <c r="J360" s="1">
        <v>9.8699999999999996E-2</v>
      </c>
      <c r="K360" s="1">
        <v>0.23749999999999999</v>
      </c>
      <c r="L360" s="1">
        <v>0.86750000000000005</v>
      </c>
      <c r="M360" s="1">
        <v>0.22120000000000001</v>
      </c>
      <c r="N360" s="1">
        <f>(Occurrence!B$3-D360)^2</f>
        <v>2.5000000000000005E-3</v>
      </c>
      <c r="O360" s="1">
        <f>(Occurrence!C$3-E360)^2</f>
        <v>0.20820968999999998</v>
      </c>
      <c r="P360" s="1">
        <f>(Occurrence!D$3-F360)^2</f>
        <v>1.2040899999999966E-3</v>
      </c>
      <c r="Q360" s="1">
        <f>(Occurrence!E$3-G360)^2</f>
        <v>0.89472680999999998</v>
      </c>
      <c r="R360" s="1">
        <f>(Occurrence!F$3-H360)^2</f>
        <v>0.31494544000000002</v>
      </c>
      <c r="S360" s="1">
        <f>(Occurrence!G$3-I360)^2</f>
        <v>0.42810849000000001</v>
      </c>
      <c r="T360" s="1">
        <f>(Occurrence!H$3-J360)^2</f>
        <v>0.81234169000000001</v>
      </c>
      <c r="U360" s="1">
        <f>(Occurrence!I$3-K360)^2</f>
        <v>0.5814062499999999</v>
      </c>
      <c r="V360" s="1">
        <f>(Occurrence!J$3-L360)^2</f>
        <v>0.75255625000000004</v>
      </c>
      <c r="W360" s="1">
        <f>(Occurrence!K$3-M360)^2</f>
        <v>0.60652943999999986</v>
      </c>
      <c r="X360" s="1">
        <f t="shared" si="61"/>
        <v>4.6025281499999995</v>
      </c>
      <c r="Z360" s="1">
        <f t="shared" si="62"/>
        <v>0</v>
      </c>
      <c r="AA360" s="1">
        <f t="shared" si="63"/>
        <v>0</v>
      </c>
      <c r="AB360" s="1">
        <f t="shared" si="64"/>
        <v>1</v>
      </c>
      <c r="AC360" s="1">
        <f t="shared" si="65"/>
        <v>0</v>
      </c>
      <c r="AD360" s="1">
        <f t="shared" si="66"/>
        <v>1</v>
      </c>
      <c r="AE360" s="1">
        <f t="shared" si="67"/>
        <v>1</v>
      </c>
      <c r="AF360" s="1">
        <f t="shared" si="68"/>
        <v>0</v>
      </c>
      <c r="AG360" s="1">
        <f t="shared" si="69"/>
        <v>0</v>
      </c>
      <c r="AH360" s="1">
        <f t="shared" si="70"/>
        <v>1</v>
      </c>
      <c r="AI360" s="1">
        <f t="shared" si="71"/>
        <v>0</v>
      </c>
      <c r="AJ360" s="1">
        <f>SUMXMY2(Z360:AI360, Occurrence!B$3:K$3)</f>
        <v>7</v>
      </c>
      <c r="AK360" s="1">
        <f t="shared" si="72"/>
        <v>3</v>
      </c>
    </row>
    <row r="361" spans="1:37">
      <c r="A361" s="1">
        <v>360</v>
      </c>
      <c r="B361" s="1">
        <v>4252359</v>
      </c>
      <c r="C361" s="6" t="s">
        <v>35</v>
      </c>
      <c r="D361" s="1">
        <v>0.1</v>
      </c>
      <c r="E361" s="1">
        <v>0.2</v>
      </c>
      <c r="F361" s="1">
        <v>0.1</v>
      </c>
      <c r="G361" s="1">
        <v>0.25</v>
      </c>
      <c r="H361" s="1">
        <v>0.25</v>
      </c>
      <c r="I361" s="1">
        <v>0.05</v>
      </c>
      <c r="J361" s="1">
        <v>0.4</v>
      </c>
      <c r="K361" s="1">
        <v>0.5</v>
      </c>
      <c r="L361" s="1">
        <v>0.15</v>
      </c>
      <c r="M361" s="1">
        <v>0.5</v>
      </c>
      <c r="N361" s="1">
        <f>(Occurrence!B$3-D361)^2</f>
        <v>1.0000000000000002E-2</v>
      </c>
      <c r="O361" s="1">
        <f>(Occurrence!C$3-E361)^2</f>
        <v>4.0000000000000008E-2</v>
      </c>
      <c r="P361" s="1">
        <f>(Occurrence!D$3-F361)^2</f>
        <v>0.81</v>
      </c>
      <c r="Q361" s="1">
        <f>(Occurrence!E$3-G361)^2</f>
        <v>0.5625</v>
      </c>
      <c r="R361" s="1">
        <f>(Occurrence!F$3-H361)^2</f>
        <v>6.25E-2</v>
      </c>
      <c r="S361" s="1">
        <f>(Occurrence!G$3-I361)^2</f>
        <v>2.5000000000000005E-3</v>
      </c>
      <c r="T361" s="1">
        <f>(Occurrence!H$3-J361)^2</f>
        <v>0.36</v>
      </c>
      <c r="U361" s="1">
        <f>(Occurrence!I$3-K361)^2</f>
        <v>0.25</v>
      </c>
      <c r="V361" s="1">
        <f>(Occurrence!J$3-L361)^2</f>
        <v>2.2499999999999999E-2</v>
      </c>
      <c r="W361" s="1">
        <f>(Occurrence!K$3-M361)^2</f>
        <v>0.25</v>
      </c>
      <c r="X361" s="1">
        <f t="shared" si="61"/>
        <v>2.37</v>
      </c>
      <c r="Z361" s="1">
        <f t="shared" si="62"/>
        <v>0</v>
      </c>
      <c r="AA361" s="1">
        <f t="shared" si="63"/>
        <v>0</v>
      </c>
      <c r="AB361" s="1">
        <f t="shared" si="64"/>
        <v>0</v>
      </c>
      <c r="AC361" s="1">
        <f t="shared" si="65"/>
        <v>0</v>
      </c>
      <c r="AD361" s="1">
        <f t="shared" si="66"/>
        <v>0</v>
      </c>
      <c r="AE361" s="1">
        <f t="shared" si="67"/>
        <v>0</v>
      </c>
      <c r="AF361" s="1">
        <f t="shared" si="68"/>
        <v>0</v>
      </c>
      <c r="AG361" s="1">
        <f t="shared" si="69"/>
        <v>1</v>
      </c>
      <c r="AH361" s="1">
        <f t="shared" si="70"/>
        <v>0</v>
      </c>
      <c r="AI361" s="1">
        <f t="shared" si="71"/>
        <v>1</v>
      </c>
      <c r="AJ361" s="1">
        <f>SUMXMY2(Z361:AI361, Occurrence!B$3:K$3)</f>
        <v>3</v>
      </c>
      <c r="AK361" s="1">
        <f t="shared" si="72"/>
        <v>7</v>
      </c>
    </row>
    <row r="362" spans="1:37">
      <c r="A362" s="1">
        <v>361</v>
      </c>
      <c r="B362" s="1">
        <v>4252360</v>
      </c>
      <c r="C362" s="6" t="s">
        <v>35</v>
      </c>
      <c r="D362" s="1">
        <v>0.09</v>
      </c>
      <c r="E362" s="1">
        <v>0.26</v>
      </c>
      <c r="F362" s="1">
        <v>0.32</v>
      </c>
      <c r="G362" s="1">
        <v>0.74</v>
      </c>
      <c r="H362" s="1">
        <v>0.84</v>
      </c>
      <c r="I362" s="1">
        <v>0.3</v>
      </c>
      <c r="J362" s="1">
        <v>0.92</v>
      </c>
      <c r="K362" s="1">
        <v>0.87</v>
      </c>
      <c r="L362" s="1">
        <v>0.56000000000000005</v>
      </c>
      <c r="M362" s="1">
        <v>0.62</v>
      </c>
      <c r="N362" s="1">
        <f>(Occurrence!B$3-D362)^2</f>
        <v>8.0999999999999996E-3</v>
      </c>
      <c r="O362" s="1">
        <f>(Occurrence!C$3-E362)^2</f>
        <v>6.7600000000000007E-2</v>
      </c>
      <c r="P362" s="1">
        <f>(Occurrence!D$3-F362)^2</f>
        <v>0.46239999999999992</v>
      </c>
      <c r="Q362" s="1">
        <f>(Occurrence!E$3-G362)^2</f>
        <v>6.7600000000000007E-2</v>
      </c>
      <c r="R362" s="1">
        <f>(Occurrence!F$3-H362)^2</f>
        <v>0.70559999999999989</v>
      </c>
      <c r="S362" s="1">
        <f>(Occurrence!G$3-I362)^2</f>
        <v>0.09</v>
      </c>
      <c r="T362" s="1">
        <f>(Occurrence!H$3-J362)^2</f>
        <v>6.3999999999999934E-3</v>
      </c>
      <c r="U362" s="1">
        <f>(Occurrence!I$3-K362)^2</f>
        <v>1.6900000000000002E-2</v>
      </c>
      <c r="V362" s="1">
        <f>(Occurrence!J$3-L362)^2</f>
        <v>0.31360000000000005</v>
      </c>
      <c r="W362" s="1">
        <f>(Occurrence!K$3-M362)^2</f>
        <v>0.1444</v>
      </c>
      <c r="X362" s="1">
        <f t="shared" si="61"/>
        <v>1.8825999999999998</v>
      </c>
      <c r="Z362" s="1">
        <f t="shared" si="62"/>
        <v>0</v>
      </c>
      <c r="AA362" s="1">
        <f t="shared" si="63"/>
        <v>0</v>
      </c>
      <c r="AB362" s="1">
        <f t="shared" si="64"/>
        <v>0</v>
      </c>
      <c r="AC362" s="1">
        <f t="shared" si="65"/>
        <v>1</v>
      </c>
      <c r="AD362" s="1">
        <f t="shared" si="66"/>
        <v>1</v>
      </c>
      <c r="AE362" s="1">
        <f t="shared" si="67"/>
        <v>0</v>
      </c>
      <c r="AF362" s="1">
        <f t="shared" si="68"/>
        <v>1</v>
      </c>
      <c r="AG362" s="1">
        <f t="shared" si="69"/>
        <v>1</v>
      </c>
      <c r="AH362" s="1">
        <f t="shared" si="70"/>
        <v>1</v>
      </c>
      <c r="AI362" s="1">
        <f t="shared" si="71"/>
        <v>1</v>
      </c>
      <c r="AJ362" s="1">
        <f>SUMXMY2(Z362:AI362, Occurrence!B$3:K$3)</f>
        <v>3</v>
      </c>
      <c r="AK362" s="1">
        <f t="shared" si="72"/>
        <v>7</v>
      </c>
    </row>
    <row r="363" spans="1:37">
      <c r="A363" s="1">
        <v>362</v>
      </c>
      <c r="B363" s="1">
        <v>4252361</v>
      </c>
      <c r="C363" s="6" t="s">
        <v>35</v>
      </c>
      <c r="D363" s="1">
        <v>0.21</v>
      </c>
      <c r="E363" s="1">
        <v>0.3</v>
      </c>
      <c r="F363" s="1">
        <v>0.4</v>
      </c>
      <c r="G363" s="1">
        <v>0.3</v>
      </c>
      <c r="H363" s="1">
        <v>0.5</v>
      </c>
      <c r="I363" s="1">
        <v>0.4</v>
      </c>
      <c r="J363" s="1">
        <v>0.3</v>
      </c>
      <c r="K363" s="1">
        <v>0.2</v>
      </c>
      <c r="L363" s="1">
        <v>0.2</v>
      </c>
      <c r="M363" s="1">
        <v>0.3</v>
      </c>
      <c r="N363" s="1">
        <f>(Occurrence!B$3-D363)^2</f>
        <v>4.4099999999999993E-2</v>
      </c>
      <c r="O363" s="1">
        <f>(Occurrence!C$3-E363)^2</f>
        <v>0.09</v>
      </c>
      <c r="P363" s="1">
        <f>(Occurrence!D$3-F363)^2</f>
        <v>0.36</v>
      </c>
      <c r="Q363" s="1">
        <f>(Occurrence!E$3-G363)^2</f>
        <v>0.48999999999999994</v>
      </c>
      <c r="R363" s="1">
        <f>(Occurrence!F$3-H363)^2</f>
        <v>0.25</v>
      </c>
      <c r="S363" s="1">
        <f>(Occurrence!G$3-I363)^2</f>
        <v>0.16000000000000003</v>
      </c>
      <c r="T363" s="1">
        <f>(Occurrence!H$3-J363)^2</f>
        <v>0.48999999999999994</v>
      </c>
      <c r="U363" s="1">
        <f>(Occurrence!I$3-K363)^2</f>
        <v>0.64000000000000012</v>
      </c>
      <c r="V363" s="1">
        <f>(Occurrence!J$3-L363)^2</f>
        <v>4.0000000000000008E-2</v>
      </c>
      <c r="W363" s="1">
        <f>(Occurrence!K$3-M363)^2</f>
        <v>0.48999999999999994</v>
      </c>
      <c r="X363" s="1">
        <f t="shared" si="61"/>
        <v>3.0540999999999996</v>
      </c>
      <c r="Z363" s="1">
        <f t="shared" si="62"/>
        <v>0</v>
      </c>
      <c r="AA363" s="1">
        <f t="shared" si="63"/>
        <v>0</v>
      </c>
      <c r="AB363" s="1">
        <f t="shared" si="64"/>
        <v>0</v>
      </c>
      <c r="AC363" s="1">
        <f t="shared" si="65"/>
        <v>0</v>
      </c>
      <c r="AD363" s="1">
        <f t="shared" si="66"/>
        <v>1</v>
      </c>
      <c r="AE363" s="1">
        <f t="shared" si="67"/>
        <v>0</v>
      </c>
      <c r="AF363" s="1">
        <f t="shared" si="68"/>
        <v>0</v>
      </c>
      <c r="AG363" s="1">
        <f t="shared" si="69"/>
        <v>0</v>
      </c>
      <c r="AH363" s="1">
        <f t="shared" si="70"/>
        <v>0</v>
      </c>
      <c r="AI363" s="1">
        <f t="shared" si="71"/>
        <v>0</v>
      </c>
      <c r="AJ363" s="1">
        <f>SUMXMY2(Z363:AI363, Occurrence!B$3:K$3)</f>
        <v>6</v>
      </c>
      <c r="AK363" s="1">
        <f t="shared" si="72"/>
        <v>4</v>
      </c>
    </row>
    <row r="364" spans="1:37">
      <c r="A364" s="1">
        <v>363</v>
      </c>
      <c r="B364" s="1">
        <v>4252362</v>
      </c>
      <c r="C364" s="6" t="s">
        <v>35</v>
      </c>
      <c r="D364" s="1">
        <v>0.2</v>
      </c>
      <c r="E364" s="1">
        <v>0.4</v>
      </c>
      <c r="F364" s="1">
        <v>0.3</v>
      </c>
      <c r="G364" s="1">
        <v>0.25</v>
      </c>
      <c r="H364" s="1">
        <v>0.6</v>
      </c>
      <c r="I364" s="1">
        <v>0.18</v>
      </c>
      <c r="J364" s="1">
        <v>0.89</v>
      </c>
      <c r="K364" s="1">
        <v>0.8</v>
      </c>
      <c r="L364" s="1">
        <v>0.3</v>
      </c>
      <c r="M364" s="1">
        <v>0.67</v>
      </c>
      <c r="N364" s="1">
        <f>(Occurrence!B$3-D364)^2</f>
        <v>4.0000000000000008E-2</v>
      </c>
      <c r="O364" s="1">
        <f>(Occurrence!C$3-E364)^2</f>
        <v>0.16000000000000003</v>
      </c>
      <c r="P364" s="1">
        <f>(Occurrence!D$3-F364)^2</f>
        <v>0.48999999999999994</v>
      </c>
      <c r="Q364" s="1">
        <f>(Occurrence!E$3-G364)^2</f>
        <v>0.5625</v>
      </c>
      <c r="R364" s="1">
        <f>(Occurrence!F$3-H364)^2</f>
        <v>0.36</v>
      </c>
      <c r="S364" s="1">
        <f>(Occurrence!G$3-I364)^2</f>
        <v>3.2399999999999998E-2</v>
      </c>
      <c r="T364" s="1">
        <f>(Occurrence!H$3-J364)^2</f>
        <v>1.2099999999999998E-2</v>
      </c>
      <c r="U364" s="1">
        <f>(Occurrence!I$3-K364)^2</f>
        <v>3.999999999999998E-2</v>
      </c>
      <c r="V364" s="1">
        <f>(Occurrence!J$3-L364)^2</f>
        <v>0.09</v>
      </c>
      <c r="W364" s="1">
        <f>(Occurrence!K$3-M364)^2</f>
        <v>0.10889999999999997</v>
      </c>
      <c r="X364" s="1">
        <f t="shared" si="61"/>
        <v>1.8958999999999999</v>
      </c>
      <c r="Z364" s="1">
        <f t="shared" si="62"/>
        <v>0</v>
      </c>
      <c r="AA364" s="1">
        <f t="shared" si="63"/>
        <v>0</v>
      </c>
      <c r="AB364" s="1">
        <f t="shared" si="64"/>
        <v>0</v>
      </c>
      <c r="AC364" s="1">
        <f t="shared" si="65"/>
        <v>0</v>
      </c>
      <c r="AD364" s="1">
        <f t="shared" si="66"/>
        <v>1</v>
      </c>
      <c r="AE364" s="1">
        <f t="shared" si="67"/>
        <v>0</v>
      </c>
      <c r="AF364" s="1">
        <f t="shared" si="68"/>
        <v>1</v>
      </c>
      <c r="AG364" s="1">
        <f t="shared" si="69"/>
        <v>1</v>
      </c>
      <c r="AH364" s="1">
        <f t="shared" si="70"/>
        <v>0</v>
      </c>
      <c r="AI364" s="1">
        <f t="shared" si="71"/>
        <v>1</v>
      </c>
      <c r="AJ364" s="1">
        <f>SUMXMY2(Z364:AI364, Occurrence!B$3:K$3)</f>
        <v>3</v>
      </c>
      <c r="AK364" s="1">
        <f t="shared" si="72"/>
        <v>7</v>
      </c>
    </row>
    <row r="365" spans="1:37">
      <c r="A365" s="1">
        <v>364</v>
      </c>
      <c r="B365" s="1">
        <v>4252363</v>
      </c>
      <c r="C365" s="6" t="s">
        <v>35</v>
      </c>
      <c r="D365" s="1">
        <v>0.2</v>
      </c>
      <c r="E365" s="1">
        <v>0.3</v>
      </c>
      <c r="F365" s="1">
        <v>0.5</v>
      </c>
      <c r="G365" s="1">
        <v>0.7</v>
      </c>
      <c r="H365" s="1">
        <v>0.2</v>
      </c>
      <c r="I365" s="1">
        <v>0.1</v>
      </c>
      <c r="J365" s="1">
        <v>0.3</v>
      </c>
      <c r="K365" s="1">
        <v>0.5</v>
      </c>
      <c r="L365" s="1">
        <v>0.4</v>
      </c>
      <c r="M365" s="1">
        <v>0.6</v>
      </c>
      <c r="N365" s="1">
        <f>(Occurrence!B$3-D365)^2</f>
        <v>4.0000000000000008E-2</v>
      </c>
      <c r="O365" s="1">
        <f>(Occurrence!C$3-E365)^2</f>
        <v>0.09</v>
      </c>
      <c r="P365" s="1">
        <f>(Occurrence!D$3-F365)^2</f>
        <v>0.25</v>
      </c>
      <c r="Q365" s="1">
        <f>(Occurrence!E$3-G365)^2</f>
        <v>9.0000000000000024E-2</v>
      </c>
      <c r="R365" s="1">
        <f>(Occurrence!F$3-H365)^2</f>
        <v>4.0000000000000008E-2</v>
      </c>
      <c r="S365" s="1">
        <f>(Occurrence!G$3-I365)^2</f>
        <v>1.0000000000000002E-2</v>
      </c>
      <c r="T365" s="1">
        <f>(Occurrence!H$3-J365)^2</f>
        <v>0.48999999999999994</v>
      </c>
      <c r="U365" s="1">
        <f>(Occurrence!I$3-K365)^2</f>
        <v>0.25</v>
      </c>
      <c r="V365" s="1">
        <f>(Occurrence!J$3-L365)^2</f>
        <v>0.16000000000000003</v>
      </c>
      <c r="W365" s="1">
        <f>(Occurrence!K$3-M365)^2</f>
        <v>0.16000000000000003</v>
      </c>
      <c r="X365" s="1">
        <f t="shared" si="61"/>
        <v>1.58</v>
      </c>
      <c r="Z365" s="1">
        <f t="shared" si="62"/>
        <v>0</v>
      </c>
      <c r="AA365" s="1">
        <f t="shared" si="63"/>
        <v>0</v>
      </c>
      <c r="AB365" s="1">
        <f t="shared" si="64"/>
        <v>1</v>
      </c>
      <c r="AC365" s="1">
        <f t="shared" si="65"/>
        <v>1</v>
      </c>
      <c r="AD365" s="1">
        <f t="shared" si="66"/>
        <v>0</v>
      </c>
      <c r="AE365" s="1">
        <f t="shared" si="67"/>
        <v>0</v>
      </c>
      <c r="AF365" s="1">
        <f t="shared" si="68"/>
        <v>0</v>
      </c>
      <c r="AG365" s="1">
        <f t="shared" si="69"/>
        <v>1</v>
      </c>
      <c r="AH365" s="1">
        <f t="shared" si="70"/>
        <v>0</v>
      </c>
      <c r="AI365" s="1">
        <f t="shared" si="71"/>
        <v>1</v>
      </c>
      <c r="AJ365" s="1">
        <f>SUMXMY2(Z365:AI365, Occurrence!B$3:K$3)</f>
        <v>1</v>
      </c>
      <c r="AK365" s="1">
        <f t="shared" si="72"/>
        <v>9</v>
      </c>
    </row>
    <row r="366" spans="1:37">
      <c r="A366" s="1">
        <v>365</v>
      </c>
      <c r="B366" s="1">
        <v>4252364</v>
      </c>
      <c r="C366" s="6" t="s">
        <v>35</v>
      </c>
      <c r="D366" s="1">
        <v>0.1</v>
      </c>
      <c r="E366" s="1">
        <v>0.05</v>
      </c>
      <c r="F366" s="1">
        <v>0.9</v>
      </c>
      <c r="G366" s="1">
        <v>0.95</v>
      </c>
      <c r="H366" s="1">
        <v>0.75</v>
      </c>
      <c r="I366" s="1">
        <v>0.4</v>
      </c>
      <c r="J366" s="1">
        <v>0.9</v>
      </c>
      <c r="K366" s="1">
        <v>0.7</v>
      </c>
      <c r="L366" s="1">
        <v>0.3</v>
      </c>
      <c r="M366" s="1">
        <v>0.7</v>
      </c>
      <c r="N366" s="1">
        <f>(Occurrence!B$3-D366)^2</f>
        <v>1.0000000000000002E-2</v>
      </c>
      <c r="O366" s="1">
        <f>(Occurrence!C$3-E366)^2</f>
        <v>2.5000000000000005E-3</v>
      </c>
      <c r="P366" s="1">
        <f>(Occurrence!D$3-F366)^2</f>
        <v>9.999999999999995E-3</v>
      </c>
      <c r="Q366" s="1">
        <f>(Occurrence!E$3-G366)^2</f>
        <v>2.5000000000000044E-3</v>
      </c>
      <c r="R366" s="1">
        <f>(Occurrence!F$3-H366)^2</f>
        <v>0.5625</v>
      </c>
      <c r="S366" s="1">
        <f>(Occurrence!G$3-I366)^2</f>
        <v>0.16000000000000003</v>
      </c>
      <c r="T366" s="1">
        <f>(Occurrence!H$3-J366)^2</f>
        <v>9.999999999999995E-3</v>
      </c>
      <c r="U366" s="1">
        <f>(Occurrence!I$3-K366)^2</f>
        <v>9.0000000000000024E-2</v>
      </c>
      <c r="V366" s="1">
        <f>(Occurrence!J$3-L366)^2</f>
        <v>0.09</v>
      </c>
      <c r="W366" s="1">
        <f>(Occurrence!K$3-M366)^2</f>
        <v>9.0000000000000024E-2</v>
      </c>
      <c r="X366" s="1">
        <f t="shared" si="61"/>
        <v>1.0275000000000001</v>
      </c>
      <c r="Z366" s="1">
        <f t="shared" si="62"/>
        <v>0</v>
      </c>
      <c r="AA366" s="1">
        <f t="shared" si="63"/>
        <v>0</v>
      </c>
      <c r="AB366" s="1">
        <f t="shared" si="64"/>
        <v>1</v>
      </c>
      <c r="AC366" s="1">
        <f t="shared" si="65"/>
        <v>1</v>
      </c>
      <c r="AD366" s="1">
        <f t="shared" si="66"/>
        <v>1</v>
      </c>
      <c r="AE366" s="1">
        <f t="shared" si="67"/>
        <v>0</v>
      </c>
      <c r="AF366" s="1">
        <f t="shared" si="68"/>
        <v>1</v>
      </c>
      <c r="AG366" s="1">
        <f t="shared" si="69"/>
        <v>1</v>
      </c>
      <c r="AH366" s="1">
        <f t="shared" si="70"/>
        <v>0</v>
      </c>
      <c r="AI366" s="1">
        <f t="shared" si="71"/>
        <v>1</v>
      </c>
      <c r="AJ366" s="1">
        <f>SUMXMY2(Z366:AI366, Occurrence!B$3:K$3)</f>
        <v>1</v>
      </c>
      <c r="AK366" s="1">
        <f t="shared" si="72"/>
        <v>9</v>
      </c>
    </row>
    <row r="367" spans="1:37">
      <c r="A367" s="1">
        <v>366</v>
      </c>
      <c r="B367" s="1">
        <v>4252365</v>
      </c>
      <c r="C367" s="6" t="s">
        <v>35</v>
      </c>
      <c r="D367" s="1">
        <v>0.15</v>
      </c>
      <c r="E367" s="1">
        <v>0.2</v>
      </c>
      <c r="F367" s="1">
        <v>0.35</v>
      </c>
      <c r="G367" s="1">
        <v>0.2</v>
      </c>
      <c r="H367" s="1">
        <v>0.1</v>
      </c>
      <c r="I367" s="1">
        <v>0.45</v>
      </c>
      <c r="J367" s="1">
        <v>0.9</v>
      </c>
      <c r="K367" s="1">
        <v>0.43</v>
      </c>
      <c r="L367" s="1">
        <v>0.56000000000000005</v>
      </c>
      <c r="M367" s="1">
        <v>0.67</v>
      </c>
      <c r="N367" s="1">
        <f>(Occurrence!B$3-D367)^2</f>
        <v>2.2499999999999999E-2</v>
      </c>
      <c r="O367" s="1">
        <f>(Occurrence!C$3-E367)^2</f>
        <v>4.0000000000000008E-2</v>
      </c>
      <c r="P367" s="1">
        <f>(Occurrence!D$3-F367)^2</f>
        <v>0.42250000000000004</v>
      </c>
      <c r="Q367" s="1">
        <f>(Occurrence!E$3-G367)^2</f>
        <v>0.64000000000000012</v>
      </c>
      <c r="R367" s="1">
        <f>(Occurrence!F$3-H367)^2</f>
        <v>1.0000000000000002E-2</v>
      </c>
      <c r="S367" s="1">
        <f>(Occurrence!G$3-I367)^2</f>
        <v>0.20250000000000001</v>
      </c>
      <c r="T367" s="1">
        <f>(Occurrence!H$3-J367)^2</f>
        <v>9.999999999999995E-3</v>
      </c>
      <c r="U367" s="1">
        <f>(Occurrence!I$3-K367)^2</f>
        <v>0.32490000000000008</v>
      </c>
      <c r="V367" s="1">
        <f>(Occurrence!J$3-L367)^2</f>
        <v>0.31360000000000005</v>
      </c>
      <c r="W367" s="1">
        <f>(Occurrence!K$3-M367)^2</f>
        <v>0.10889999999999997</v>
      </c>
      <c r="X367" s="1">
        <f t="shared" si="61"/>
        <v>2.0949000000000004</v>
      </c>
      <c r="Z367" s="1">
        <f t="shared" si="62"/>
        <v>0</v>
      </c>
      <c r="AA367" s="1">
        <f t="shared" si="63"/>
        <v>0</v>
      </c>
      <c r="AB367" s="1">
        <f t="shared" si="64"/>
        <v>0</v>
      </c>
      <c r="AC367" s="1">
        <f t="shared" si="65"/>
        <v>0</v>
      </c>
      <c r="AD367" s="1">
        <f t="shared" si="66"/>
        <v>0</v>
      </c>
      <c r="AE367" s="1">
        <f t="shared" si="67"/>
        <v>0</v>
      </c>
      <c r="AF367" s="1">
        <f t="shared" si="68"/>
        <v>1</v>
      </c>
      <c r="AG367" s="1">
        <f t="shared" si="69"/>
        <v>0</v>
      </c>
      <c r="AH367" s="1">
        <f t="shared" si="70"/>
        <v>1</v>
      </c>
      <c r="AI367" s="1">
        <f t="shared" si="71"/>
        <v>1</v>
      </c>
      <c r="AJ367" s="1">
        <f>SUMXMY2(Z367:AI367, Occurrence!B$3:K$3)</f>
        <v>4</v>
      </c>
      <c r="AK367" s="1">
        <f t="shared" si="72"/>
        <v>6</v>
      </c>
    </row>
    <row r="368" spans="1:37">
      <c r="A368" s="1">
        <v>367</v>
      </c>
      <c r="B368" s="1">
        <v>4252366</v>
      </c>
      <c r="C368" s="6" t="s">
        <v>35</v>
      </c>
      <c r="D368" s="1">
        <v>0.06</v>
      </c>
      <c r="E368" s="1">
        <v>0.19</v>
      </c>
      <c r="F368" s="1">
        <v>0.26</v>
      </c>
      <c r="G368" s="1">
        <v>0.41</v>
      </c>
      <c r="H368" s="1">
        <v>0.08</v>
      </c>
      <c r="I368" s="1">
        <v>0.4</v>
      </c>
      <c r="J368" s="1">
        <v>0.96</v>
      </c>
      <c r="K368" s="1">
        <v>0.8</v>
      </c>
      <c r="L368" s="1">
        <v>0.73</v>
      </c>
      <c r="M368" s="1">
        <v>0.9</v>
      </c>
      <c r="N368" s="1">
        <f>(Occurrence!B$3-D368)^2</f>
        <v>3.5999999999999999E-3</v>
      </c>
      <c r="O368" s="1">
        <f>(Occurrence!C$3-E368)^2</f>
        <v>3.61E-2</v>
      </c>
      <c r="P368" s="1">
        <f>(Occurrence!D$3-F368)^2</f>
        <v>0.54759999999999998</v>
      </c>
      <c r="Q368" s="1">
        <f>(Occurrence!E$3-G368)^2</f>
        <v>0.34810000000000008</v>
      </c>
      <c r="R368" s="1">
        <f>(Occurrence!F$3-H368)^2</f>
        <v>6.4000000000000003E-3</v>
      </c>
      <c r="S368" s="1">
        <f>(Occurrence!G$3-I368)^2</f>
        <v>0.16000000000000003</v>
      </c>
      <c r="T368" s="1">
        <f>(Occurrence!H$3-J368)^2</f>
        <v>1.6000000000000029E-3</v>
      </c>
      <c r="U368" s="1">
        <f>(Occurrence!I$3-K368)^2</f>
        <v>3.999999999999998E-2</v>
      </c>
      <c r="V368" s="1">
        <f>(Occurrence!J$3-L368)^2</f>
        <v>0.53289999999999993</v>
      </c>
      <c r="W368" s="1">
        <f>(Occurrence!K$3-M368)^2</f>
        <v>9.999999999999995E-3</v>
      </c>
      <c r="X368" s="1">
        <f t="shared" si="61"/>
        <v>1.6862999999999999</v>
      </c>
      <c r="Z368" s="1">
        <f t="shared" si="62"/>
        <v>0</v>
      </c>
      <c r="AA368" s="1">
        <f t="shared" si="63"/>
        <v>0</v>
      </c>
      <c r="AB368" s="1">
        <f t="shared" si="64"/>
        <v>0</v>
      </c>
      <c r="AC368" s="1">
        <f t="shared" si="65"/>
        <v>0</v>
      </c>
      <c r="AD368" s="1">
        <f t="shared" si="66"/>
        <v>0</v>
      </c>
      <c r="AE368" s="1">
        <f t="shared" si="67"/>
        <v>0</v>
      </c>
      <c r="AF368" s="1">
        <f t="shared" si="68"/>
        <v>1</v>
      </c>
      <c r="AG368" s="1">
        <f t="shared" si="69"/>
        <v>1</v>
      </c>
      <c r="AH368" s="1">
        <f t="shared" si="70"/>
        <v>1</v>
      </c>
      <c r="AI368" s="1">
        <f t="shared" si="71"/>
        <v>1</v>
      </c>
      <c r="AJ368" s="1">
        <f>SUMXMY2(Z368:AI368, Occurrence!B$3:K$3)</f>
        <v>3</v>
      </c>
      <c r="AK368" s="1">
        <f t="shared" si="72"/>
        <v>7</v>
      </c>
    </row>
    <row r="369" spans="1:37">
      <c r="A369" s="1">
        <v>368</v>
      </c>
      <c r="B369" s="1">
        <v>4252367</v>
      </c>
      <c r="C369" s="6" t="s">
        <v>35</v>
      </c>
      <c r="D369" s="1">
        <v>0.2</v>
      </c>
      <c r="E369" s="1">
        <v>0.25</v>
      </c>
      <c r="F369" s="1">
        <v>0.45</v>
      </c>
      <c r="G369" s="1">
        <v>0.45</v>
      </c>
      <c r="H369" s="1">
        <v>0.45</v>
      </c>
      <c r="I369" s="1">
        <v>0.3</v>
      </c>
      <c r="J369" s="1">
        <v>0.8</v>
      </c>
      <c r="K369" s="1">
        <v>0.85</v>
      </c>
      <c r="L369" s="1">
        <v>0.9</v>
      </c>
      <c r="M369" s="1">
        <v>0.45</v>
      </c>
      <c r="N369" s="1">
        <f>(Occurrence!B$3-D369)^2</f>
        <v>4.0000000000000008E-2</v>
      </c>
      <c r="O369" s="1">
        <f>(Occurrence!C$3-E369)^2</f>
        <v>6.25E-2</v>
      </c>
      <c r="P369" s="1">
        <f>(Occurrence!D$3-F369)^2</f>
        <v>0.30250000000000005</v>
      </c>
      <c r="Q369" s="1">
        <f>(Occurrence!E$3-G369)^2</f>
        <v>0.30250000000000005</v>
      </c>
      <c r="R369" s="1">
        <f>(Occurrence!F$3-H369)^2</f>
        <v>0.20250000000000001</v>
      </c>
      <c r="S369" s="1">
        <f>(Occurrence!G$3-I369)^2</f>
        <v>0.09</v>
      </c>
      <c r="T369" s="1">
        <f>(Occurrence!H$3-J369)^2</f>
        <v>3.999999999999998E-2</v>
      </c>
      <c r="U369" s="1">
        <f>(Occurrence!I$3-K369)^2</f>
        <v>2.2500000000000006E-2</v>
      </c>
      <c r="V369" s="1">
        <f>(Occurrence!J$3-L369)^2</f>
        <v>0.81</v>
      </c>
      <c r="W369" s="1">
        <f>(Occurrence!K$3-M369)^2</f>
        <v>0.30250000000000005</v>
      </c>
      <c r="X369" s="1">
        <f t="shared" si="61"/>
        <v>2.1750000000000003</v>
      </c>
      <c r="Z369" s="1">
        <f t="shared" si="62"/>
        <v>0</v>
      </c>
      <c r="AA369" s="1">
        <f t="shared" si="63"/>
        <v>0</v>
      </c>
      <c r="AB369" s="1">
        <f t="shared" si="64"/>
        <v>0</v>
      </c>
      <c r="AC369" s="1">
        <f t="shared" si="65"/>
        <v>0</v>
      </c>
      <c r="AD369" s="1">
        <f t="shared" si="66"/>
        <v>0</v>
      </c>
      <c r="AE369" s="1">
        <f t="shared" si="67"/>
        <v>0</v>
      </c>
      <c r="AF369" s="1">
        <f t="shared" si="68"/>
        <v>1</v>
      </c>
      <c r="AG369" s="1">
        <f t="shared" si="69"/>
        <v>1</v>
      </c>
      <c r="AH369" s="1">
        <f t="shared" si="70"/>
        <v>1</v>
      </c>
      <c r="AI369" s="1">
        <f t="shared" si="71"/>
        <v>0</v>
      </c>
      <c r="AJ369" s="1">
        <f>SUMXMY2(Z369:AI369, Occurrence!B$3:K$3)</f>
        <v>4</v>
      </c>
      <c r="AK369" s="1">
        <f t="shared" si="72"/>
        <v>6</v>
      </c>
    </row>
    <row r="370" spans="1:37">
      <c r="A370" s="1">
        <v>369</v>
      </c>
      <c r="B370" s="1">
        <v>4252368</v>
      </c>
      <c r="C370" s="6" t="s">
        <v>35</v>
      </c>
      <c r="D370" s="1">
        <v>0.01</v>
      </c>
      <c r="E370" s="1">
        <v>0.02</v>
      </c>
      <c r="F370" s="1">
        <v>0.95</v>
      </c>
      <c r="G370" s="1">
        <v>0.96</v>
      </c>
      <c r="H370" s="1">
        <v>0.04</v>
      </c>
      <c r="I370" s="1">
        <v>0.15</v>
      </c>
      <c r="J370" s="1">
        <v>0.98</v>
      </c>
      <c r="K370" s="1">
        <v>0.7</v>
      </c>
      <c r="L370" s="1">
        <v>0.2</v>
      </c>
      <c r="M370" s="1">
        <v>0.65</v>
      </c>
      <c r="N370" s="1">
        <f>(Occurrence!B$3-D370)^2</f>
        <v>1E-4</v>
      </c>
      <c r="O370" s="1">
        <f>(Occurrence!C$3-E370)^2</f>
        <v>4.0000000000000002E-4</v>
      </c>
      <c r="P370" s="1">
        <f>(Occurrence!D$3-F370)^2</f>
        <v>2.5000000000000044E-3</v>
      </c>
      <c r="Q370" s="1">
        <f>(Occurrence!E$3-G370)^2</f>
        <v>1.6000000000000029E-3</v>
      </c>
      <c r="R370" s="1">
        <f>(Occurrence!F$3-H370)^2</f>
        <v>1.6000000000000001E-3</v>
      </c>
      <c r="S370" s="1">
        <f>(Occurrence!G$3-I370)^2</f>
        <v>2.2499999999999999E-2</v>
      </c>
      <c r="T370" s="1">
        <f>(Occurrence!H$3-J370)^2</f>
        <v>4.0000000000000072E-4</v>
      </c>
      <c r="U370" s="1">
        <f>(Occurrence!I$3-K370)^2</f>
        <v>9.0000000000000024E-2</v>
      </c>
      <c r="V370" s="1">
        <f>(Occurrence!J$3-L370)^2</f>
        <v>4.0000000000000008E-2</v>
      </c>
      <c r="W370" s="1">
        <f>(Occurrence!K$3-M370)^2</f>
        <v>0.12249999999999998</v>
      </c>
      <c r="X370" s="1">
        <f t="shared" si="61"/>
        <v>0.28160000000000002</v>
      </c>
      <c r="Z370" s="1">
        <f t="shared" si="62"/>
        <v>0</v>
      </c>
      <c r="AA370" s="1">
        <f t="shared" si="63"/>
        <v>0</v>
      </c>
      <c r="AB370" s="1">
        <f t="shared" si="64"/>
        <v>1</v>
      </c>
      <c r="AC370" s="1">
        <f t="shared" si="65"/>
        <v>1</v>
      </c>
      <c r="AD370" s="1">
        <f t="shared" si="66"/>
        <v>0</v>
      </c>
      <c r="AE370" s="1">
        <f t="shared" si="67"/>
        <v>0</v>
      </c>
      <c r="AF370" s="1">
        <f t="shared" si="68"/>
        <v>1</v>
      </c>
      <c r="AG370" s="1">
        <f t="shared" si="69"/>
        <v>1</v>
      </c>
      <c r="AH370" s="1">
        <f t="shared" si="70"/>
        <v>0</v>
      </c>
      <c r="AI370" s="1">
        <f t="shared" si="71"/>
        <v>1</v>
      </c>
      <c r="AJ370" s="1">
        <f>SUMXMY2(Z370:AI370, Occurrence!B$3:K$3)</f>
        <v>0</v>
      </c>
      <c r="AK370" s="1">
        <f t="shared" si="72"/>
        <v>10</v>
      </c>
    </row>
    <row r="371" spans="1:37">
      <c r="A371" s="1">
        <v>370</v>
      </c>
      <c r="B371" s="1">
        <v>4252369</v>
      </c>
      <c r="C371" s="6" t="s">
        <v>35</v>
      </c>
      <c r="D371" s="1">
        <v>0.1</v>
      </c>
      <c r="E371" s="1">
        <v>0.2</v>
      </c>
      <c r="F371" s="1">
        <v>0.6</v>
      </c>
      <c r="G371" s="1">
        <v>0.75</v>
      </c>
      <c r="H371" s="1">
        <v>0.3</v>
      </c>
      <c r="I371" s="1">
        <v>0.3</v>
      </c>
      <c r="J371" s="1">
        <v>0.95</v>
      </c>
      <c r="K371" s="1">
        <v>0.95</v>
      </c>
      <c r="L371" s="1">
        <v>0.15</v>
      </c>
      <c r="M371" s="1">
        <v>0.2</v>
      </c>
      <c r="N371" s="1">
        <f>(Occurrence!B$3-D371)^2</f>
        <v>1.0000000000000002E-2</v>
      </c>
      <c r="O371" s="1">
        <f>(Occurrence!C$3-E371)^2</f>
        <v>4.0000000000000008E-2</v>
      </c>
      <c r="P371" s="1">
        <f>(Occurrence!D$3-F371)^2</f>
        <v>0.16000000000000003</v>
      </c>
      <c r="Q371" s="1">
        <f>(Occurrence!E$3-G371)^2</f>
        <v>6.25E-2</v>
      </c>
      <c r="R371" s="1">
        <f>(Occurrence!F$3-H371)^2</f>
        <v>0.09</v>
      </c>
      <c r="S371" s="1">
        <f>(Occurrence!G$3-I371)^2</f>
        <v>0.09</v>
      </c>
      <c r="T371" s="1">
        <f>(Occurrence!H$3-J371)^2</f>
        <v>2.5000000000000044E-3</v>
      </c>
      <c r="U371" s="1">
        <f>(Occurrence!I$3-K371)^2</f>
        <v>2.5000000000000044E-3</v>
      </c>
      <c r="V371" s="1">
        <f>(Occurrence!J$3-L371)^2</f>
        <v>2.2499999999999999E-2</v>
      </c>
      <c r="W371" s="1">
        <f>(Occurrence!K$3-M371)^2</f>
        <v>0.64000000000000012</v>
      </c>
      <c r="X371" s="1">
        <f t="shared" si="61"/>
        <v>1.1200000000000001</v>
      </c>
      <c r="Z371" s="1">
        <f t="shared" si="62"/>
        <v>0</v>
      </c>
      <c r="AA371" s="1">
        <f t="shared" si="63"/>
        <v>0</v>
      </c>
      <c r="AB371" s="1">
        <f t="shared" si="64"/>
        <v>1</v>
      </c>
      <c r="AC371" s="1">
        <f t="shared" si="65"/>
        <v>1</v>
      </c>
      <c r="AD371" s="1">
        <f t="shared" si="66"/>
        <v>0</v>
      </c>
      <c r="AE371" s="1">
        <f t="shared" si="67"/>
        <v>0</v>
      </c>
      <c r="AF371" s="1">
        <f t="shared" si="68"/>
        <v>1</v>
      </c>
      <c r="AG371" s="1">
        <f t="shared" si="69"/>
        <v>1</v>
      </c>
      <c r="AH371" s="1">
        <f t="shared" si="70"/>
        <v>0</v>
      </c>
      <c r="AI371" s="1">
        <f t="shared" si="71"/>
        <v>0</v>
      </c>
      <c r="AJ371" s="1">
        <f>SUMXMY2(Z371:AI371, Occurrence!B$3:K$3)</f>
        <v>1</v>
      </c>
      <c r="AK371" s="1">
        <f t="shared" si="72"/>
        <v>9</v>
      </c>
    </row>
    <row r="372" spans="1:37">
      <c r="A372" s="1">
        <v>371</v>
      </c>
      <c r="B372" s="1">
        <v>4252370</v>
      </c>
      <c r="C372" s="6" t="s">
        <v>35</v>
      </c>
      <c r="D372" s="1">
        <v>0.1</v>
      </c>
      <c r="E372" s="1">
        <v>0.15</v>
      </c>
      <c r="F372" s="1">
        <v>0.2</v>
      </c>
      <c r="G372" s="1">
        <v>0.25</v>
      </c>
      <c r="H372" s="1">
        <v>0.65</v>
      </c>
      <c r="I372" s="1">
        <v>0.05</v>
      </c>
      <c r="J372" s="1">
        <v>0.7</v>
      </c>
      <c r="K372" s="1">
        <v>0.75</v>
      </c>
      <c r="L372" s="1">
        <v>0.25</v>
      </c>
      <c r="M372" s="1">
        <v>0.5</v>
      </c>
      <c r="N372" s="1">
        <f>(Occurrence!B$3-D372)^2</f>
        <v>1.0000000000000002E-2</v>
      </c>
      <c r="O372" s="1">
        <f>(Occurrence!C$3-E372)^2</f>
        <v>2.2499999999999999E-2</v>
      </c>
      <c r="P372" s="1">
        <f>(Occurrence!D$3-F372)^2</f>
        <v>0.64000000000000012</v>
      </c>
      <c r="Q372" s="1">
        <f>(Occurrence!E$3-G372)^2</f>
        <v>0.5625</v>
      </c>
      <c r="R372" s="1">
        <f>(Occurrence!F$3-H372)^2</f>
        <v>0.42250000000000004</v>
      </c>
      <c r="S372" s="1">
        <f>(Occurrence!G$3-I372)^2</f>
        <v>2.5000000000000005E-3</v>
      </c>
      <c r="T372" s="1">
        <f>(Occurrence!H$3-J372)^2</f>
        <v>9.0000000000000024E-2</v>
      </c>
      <c r="U372" s="1">
        <f>(Occurrence!I$3-K372)^2</f>
        <v>6.25E-2</v>
      </c>
      <c r="V372" s="1">
        <f>(Occurrence!J$3-L372)^2</f>
        <v>6.25E-2</v>
      </c>
      <c r="W372" s="1">
        <f>(Occurrence!K$3-M372)^2</f>
        <v>0.25</v>
      </c>
      <c r="X372" s="1">
        <f t="shared" si="61"/>
        <v>2.125</v>
      </c>
      <c r="Z372" s="1">
        <f t="shared" si="62"/>
        <v>0</v>
      </c>
      <c r="AA372" s="1">
        <f t="shared" si="63"/>
        <v>0</v>
      </c>
      <c r="AB372" s="1">
        <f t="shared" si="64"/>
        <v>0</v>
      </c>
      <c r="AC372" s="1">
        <f t="shared" si="65"/>
        <v>0</v>
      </c>
      <c r="AD372" s="1">
        <f t="shared" si="66"/>
        <v>1</v>
      </c>
      <c r="AE372" s="1">
        <f t="shared" si="67"/>
        <v>0</v>
      </c>
      <c r="AF372" s="1">
        <f t="shared" si="68"/>
        <v>1</v>
      </c>
      <c r="AG372" s="1">
        <f t="shared" si="69"/>
        <v>1</v>
      </c>
      <c r="AH372" s="1">
        <f t="shared" si="70"/>
        <v>0</v>
      </c>
      <c r="AI372" s="1">
        <f t="shared" si="71"/>
        <v>1</v>
      </c>
      <c r="AJ372" s="1">
        <f>SUMXMY2(Z372:AI372, Occurrence!B$3:K$3)</f>
        <v>3</v>
      </c>
      <c r="AK372" s="1">
        <f t="shared" si="72"/>
        <v>7</v>
      </c>
    </row>
    <row r="373" spans="1:37">
      <c r="A373" s="1">
        <v>372</v>
      </c>
      <c r="B373" s="1">
        <v>4252371</v>
      </c>
      <c r="C373" s="6" t="s">
        <v>35</v>
      </c>
      <c r="D373" s="1">
        <v>0.83</v>
      </c>
      <c r="E373" s="1">
        <v>0.24</v>
      </c>
      <c r="F373" s="1">
        <v>0.75</v>
      </c>
      <c r="G373" s="1">
        <v>0.44</v>
      </c>
      <c r="H373" s="1">
        <v>0.69</v>
      </c>
      <c r="I373" s="1">
        <v>0.86</v>
      </c>
      <c r="J373" s="1">
        <v>0.78</v>
      </c>
      <c r="K373" s="1">
        <v>0.55000000000000004</v>
      </c>
      <c r="L373" s="1">
        <v>0.37</v>
      </c>
      <c r="M373" s="1">
        <v>0.89</v>
      </c>
      <c r="N373" s="1">
        <f>(Occurrence!B$3-D373)^2</f>
        <v>0.68889999999999996</v>
      </c>
      <c r="O373" s="1">
        <f>(Occurrence!C$3-E373)^2</f>
        <v>5.7599999999999998E-2</v>
      </c>
      <c r="P373" s="1">
        <f>(Occurrence!D$3-F373)^2</f>
        <v>6.25E-2</v>
      </c>
      <c r="Q373" s="1">
        <f>(Occurrence!E$3-G373)^2</f>
        <v>0.31360000000000005</v>
      </c>
      <c r="R373" s="1">
        <f>(Occurrence!F$3-H373)^2</f>
        <v>0.47609999999999991</v>
      </c>
      <c r="S373" s="1">
        <f>(Occurrence!G$3-I373)^2</f>
        <v>0.73959999999999992</v>
      </c>
      <c r="T373" s="1">
        <f>(Occurrence!H$3-J373)^2</f>
        <v>4.8399999999999992E-2</v>
      </c>
      <c r="U373" s="1">
        <f>(Occurrence!I$3-K373)^2</f>
        <v>0.20249999999999996</v>
      </c>
      <c r="V373" s="1">
        <f>(Occurrence!J$3-L373)^2</f>
        <v>0.13689999999999999</v>
      </c>
      <c r="W373" s="1">
        <f>(Occurrence!K$3-M373)^2</f>
        <v>1.2099999999999998E-2</v>
      </c>
      <c r="X373" s="1">
        <f t="shared" si="61"/>
        <v>2.7381999999999995</v>
      </c>
      <c r="Z373" s="1">
        <f t="shared" si="62"/>
        <v>1</v>
      </c>
      <c r="AA373" s="1">
        <f t="shared" si="63"/>
        <v>0</v>
      </c>
      <c r="AB373" s="1">
        <f t="shared" si="64"/>
        <v>1</v>
      </c>
      <c r="AC373" s="1">
        <f t="shared" si="65"/>
        <v>0</v>
      </c>
      <c r="AD373" s="1">
        <f t="shared" si="66"/>
        <v>1</v>
      </c>
      <c r="AE373" s="1">
        <f t="shared" si="67"/>
        <v>1</v>
      </c>
      <c r="AF373" s="1">
        <f t="shared" si="68"/>
        <v>1</v>
      </c>
      <c r="AG373" s="1">
        <f t="shared" si="69"/>
        <v>1</v>
      </c>
      <c r="AH373" s="1">
        <f t="shared" si="70"/>
        <v>0</v>
      </c>
      <c r="AI373" s="1">
        <f t="shared" si="71"/>
        <v>1</v>
      </c>
      <c r="AJ373" s="1">
        <f>SUMXMY2(Z373:AI373, Occurrence!B$3:K$3)</f>
        <v>4</v>
      </c>
      <c r="AK373" s="1">
        <f t="shared" si="72"/>
        <v>6</v>
      </c>
    </row>
    <row r="374" spans="1:37">
      <c r="A374" s="1">
        <v>373</v>
      </c>
      <c r="B374" s="1">
        <v>4252372</v>
      </c>
      <c r="C374" s="6" t="s">
        <v>35</v>
      </c>
      <c r="D374" s="1">
        <v>0.78569999999999995</v>
      </c>
      <c r="E374" s="1">
        <v>0.12509999999999999</v>
      </c>
      <c r="F374" s="1">
        <v>0.39960000000000001</v>
      </c>
      <c r="G374" s="1">
        <v>7.9899999999999999E-2</v>
      </c>
      <c r="H374" s="1">
        <v>0.19980000000000001</v>
      </c>
      <c r="I374" s="1">
        <v>0.8</v>
      </c>
      <c r="J374" s="1">
        <v>0.9</v>
      </c>
      <c r="K374" s="1">
        <v>1.5699999999999999E-2</v>
      </c>
      <c r="L374" s="1">
        <v>0.6</v>
      </c>
      <c r="M374" s="1">
        <v>0.7</v>
      </c>
      <c r="N374" s="1">
        <f>(Occurrence!B$3-D374)^2</f>
        <v>0.61732448999999989</v>
      </c>
      <c r="O374" s="1">
        <f>(Occurrence!C$3-E374)^2</f>
        <v>1.5650009999999999E-2</v>
      </c>
      <c r="P374" s="1">
        <f>(Occurrence!D$3-F374)^2</f>
        <v>0.36048016000000005</v>
      </c>
      <c r="Q374" s="1">
        <f>(Occurrence!E$3-G374)^2</f>
        <v>0.84658401000000005</v>
      </c>
      <c r="R374" s="1">
        <f>(Occurrence!F$3-H374)^2</f>
        <v>3.9920040000000004E-2</v>
      </c>
      <c r="S374" s="1">
        <f>(Occurrence!G$3-I374)^2</f>
        <v>0.64000000000000012</v>
      </c>
      <c r="T374" s="1">
        <f>(Occurrence!H$3-J374)^2</f>
        <v>9.999999999999995E-3</v>
      </c>
      <c r="U374" s="1">
        <f>(Occurrence!I$3-K374)^2</f>
        <v>0.96884648999999989</v>
      </c>
      <c r="V374" s="1">
        <f>(Occurrence!J$3-L374)^2</f>
        <v>0.36</v>
      </c>
      <c r="W374" s="1">
        <f>(Occurrence!K$3-M374)^2</f>
        <v>9.0000000000000024E-2</v>
      </c>
      <c r="X374" s="1">
        <f t="shared" si="61"/>
        <v>3.9488051999999993</v>
      </c>
      <c r="Z374" s="1">
        <f t="shared" si="62"/>
        <v>1</v>
      </c>
      <c r="AA374" s="1">
        <f t="shared" si="63"/>
        <v>0</v>
      </c>
      <c r="AB374" s="1">
        <f t="shared" si="64"/>
        <v>0</v>
      </c>
      <c r="AC374" s="1">
        <f t="shared" si="65"/>
        <v>0</v>
      </c>
      <c r="AD374" s="1">
        <f t="shared" si="66"/>
        <v>0</v>
      </c>
      <c r="AE374" s="1">
        <f t="shared" si="67"/>
        <v>1</v>
      </c>
      <c r="AF374" s="1">
        <f t="shared" si="68"/>
        <v>1</v>
      </c>
      <c r="AG374" s="1">
        <f t="shared" si="69"/>
        <v>0</v>
      </c>
      <c r="AH374" s="1">
        <f t="shared" si="70"/>
        <v>1</v>
      </c>
      <c r="AI374" s="1">
        <f t="shared" si="71"/>
        <v>1</v>
      </c>
      <c r="AJ374" s="1">
        <f>SUMXMY2(Z374:AI374, Occurrence!B$3:K$3)</f>
        <v>6</v>
      </c>
      <c r="AK374" s="1">
        <f t="shared" si="72"/>
        <v>4</v>
      </c>
    </row>
    <row r="375" spans="1:37">
      <c r="A375" s="1">
        <v>374</v>
      </c>
      <c r="B375" s="1">
        <v>4252373</v>
      </c>
      <c r="C375" s="6" t="s">
        <v>36</v>
      </c>
      <c r="D375" s="1">
        <v>0.2</v>
      </c>
      <c r="E375" s="1">
        <v>0.25</v>
      </c>
      <c r="F375" s="1">
        <v>0.45</v>
      </c>
      <c r="G375" s="1">
        <v>0.75</v>
      </c>
      <c r="H375" s="1">
        <v>0.5</v>
      </c>
      <c r="I375" s="1">
        <v>0.3</v>
      </c>
      <c r="J375" s="1">
        <v>0.8</v>
      </c>
      <c r="K375" s="1">
        <v>0.85</v>
      </c>
      <c r="L375" s="1">
        <v>0.9</v>
      </c>
      <c r="M375" s="1">
        <v>0.45</v>
      </c>
      <c r="N375" s="1">
        <f>(Occurrence!B$3-D375)^2</f>
        <v>4.0000000000000008E-2</v>
      </c>
      <c r="O375" s="1">
        <f>(Occurrence!C$3-E375)^2</f>
        <v>6.25E-2</v>
      </c>
      <c r="P375" s="1">
        <f>(Occurrence!D$3-F375)^2</f>
        <v>0.30250000000000005</v>
      </c>
      <c r="Q375" s="1">
        <f>(Occurrence!E$3-G375)^2</f>
        <v>6.25E-2</v>
      </c>
      <c r="R375" s="1">
        <f>(Occurrence!F$3-H375)^2</f>
        <v>0.25</v>
      </c>
      <c r="S375" s="1">
        <f>(Occurrence!G$3-I375)^2</f>
        <v>0.09</v>
      </c>
      <c r="T375" s="1">
        <f>(Occurrence!H$3-J375)^2</f>
        <v>3.999999999999998E-2</v>
      </c>
      <c r="U375" s="1">
        <f>(Occurrence!I$3-K375)^2</f>
        <v>2.2500000000000006E-2</v>
      </c>
      <c r="V375" s="1">
        <f>(Occurrence!J$3-L375)^2</f>
        <v>0.81</v>
      </c>
      <c r="W375" s="1">
        <f>(Occurrence!K$3-M375)^2</f>
        <v>0.30250000000000005</v>
      </c>
      <c r="X375" s="1">
        <f t="shared" si="61"/>
        <v>1.9824999999999999</v>
      </c>
      <c r="Z375" s="1">
        <f t="shared" si="62"/>
        <v>0</v>
      </c>
      <c r="AA375" s="1">
        <f t="shared" si="63"/>
        <v>0</v>
      </c>
      <c r="AB375" s="1">
        <f t="shared" si="64"/>
        <v>0</v>
      </c>
      <c r="AC375" s="1">
        <f t="shared" si="65"/>
        <v>1</v>
      </c>
      <c r="AD375" s="1">
        <f t="shared" si="66"/>
        <v>1</v>
      </c>
      <c r="AE375" s="1">
        <f t="shared" si="67"/>
        <v>0</v>
      </c>
      <c r="AF375" s="1">
        <f t="shared" si="68"/>
        <v>1</v>
      </c>
      <c r="AG375" s="1">
        <f t="shared" si="69"/>
        <v>1</v>
      </c>
      <c r="AH375" s="1">
        <f t="shared" si="70"/>
        <v>1</v>
      </c>
      <c r="AI375" s="1">
        <f t="shared" si="71"/>
        <v>0</v>
      </c>
      <c r="AJ375" s="1">
        <f>SUMXMY2(Z375:AI375, Occurrence!B$3:K$3)</f>
        <v>4</v>
      </c>
      <c r="AK375" s="1">
        <f t="shared" si="72"/>
        <v>6</v>
      </c>
    </row>
    <row r="376" spans="1:37">
      <c r="A376" s="1">
        <v>375</v>
      </c>
      <c r="B376" s="1">
        <v>4252374</v>
      </c>
      <c r="C376" s="6" t="s">
        <v>36</v>
      </c>
      <c r="D376" s="1">
        <v>0.1</v>
      </c>
      <c r="E376" s="1">
        <v>0.9</v>
      </c>
      <c r="F376" s="1">
        <v>0.1</v>
      </c>
      <c r="G376" s="1">
        <v>0.9</v>
      </c>
      <c r="H376" s="1">
        <v>0.8</v>
      </c>
      <c r="I376" s="1">
        <v>0.78</v>
      </c>
      <c r="J376" s="1">
        <v>0.67800000000000005</v>
      </c>
      <c r="K376" s="1">
        <v>0.54</v>
      </c>
      <c r="L376" s="1">
        <v>0.65</v>
      </c>
      <c r="M376" s="1">
        <v>0.87629999999999997</v>
      </c>
      <c r="N376" s="1">
        <f>(Occurrence!B$3-D376)^2</f>
        <v>1.0000000000000002E-2</v>
      </c>
      <c r="O376" s="1">
        <f>(Occurrence!C$3-E376)^2</f>
        <v>0.81</v>
      </c>
      <c r="P376" s="1">
        <f>(Occurrence!D$3-F376)^2</f>
        <v>0.81</v>
      </c>
      <c r="Q376" s="1">
        <f>(Occurrence!E$3-G376)^2</f>
        <v>9.999999999999995E-3</v>
      </c>
      <c r="R376" s="1">
        <f>(Occurrence!F$3-H376)^2</f>
        <v>0.64000000000000012</v>
      </c>
      <c r="S376" s="1">
        <f>(Occurrence!G$3-I376)^2</f>
        <v>0.60840000000000005</v>
      </c>
      <c r="T376" s="1">
        <f>(Occurrence!H$3-J376)^2</f>
        <v>0.10368399999999997</v>
      </c>
      <c r="U376" s="1">
        <f>(Occurrence!I$3-K376)^2</f>
        <v>0.21159999999999995</v>
      </c>
      <c r="V376" s="1">
        <f>(Occurrence!J$3-L376)^2</f>
        <v>0.42250000000000004</v>
      </c>
      <c r="W376" s="1">
        <f>(Occurrence!K$3-M376)^2</f>
        <v>1.5301690000000008E-2</v>
      </c>
      <c r="X376" s="1">
        <f t="shared" si="61"/>
        <v>3.6414856899999997</v>
      </c>
      <c r="Z376" s="1">
        <f t="shared" si="62"/>
        <v>0</v>
      </c>
      <c r="AA376" s="1">
        <f t="shared" si="63"/>
        <v>1</v>
      </c>
      <c r="AB376" s="1">
        <f t="shared" si="64"/>
        <v>0</v>
      </c>
      <c r="AC376" s="1">
        <f t="shared" si="65"/>
        <v>1</v>
      </c>
      <c r="AD376" s="1">
        <f t="shared" si="66"/>
        <v>1</v>
      </c>
      <c r="AE376" s="1">
        <f t="shared" si="67"/>
        <v>1</v>
      </c>
      <c r="AF376" s="1">
        <f t="shared" si="68"/>
        <v>1</v>
      </c>
      <c r="AG376" s="1">
        <f t="shared" si="69"/>
        <v>1</v>
      </c>
      <c r="AH376" s="1">
        <f t="shared" si="70"/>
        <v>1</v>
      </c>
      <c r="AI376" s="1">
        <f t="shared" si="71"/>
        <v>1</v>
      </c>
      <c r="AJ376" s="1">
        <f>SUMXMY2(Z376:AI376, Occurrence!B$3:K$3)</f>
        <v>5</v>
      </c>
      <c r="AK376" s="1">
        <f t="shared" si="72"/>
        <v>5</v>
      </c>
    </row>
    <row r="377" spans="1:37">
      <c r="A377" s="1">
        <v>376</v>
      </c>
      <c r="B377" s="1">
        <v>4252375</v>
      </c>
      <c r="C377" s="6" t="s">
        <v>36</v>
      </c>
      <c r="D377" s="1">
        <v>0.1</v>
      </c>
      <c r="E377" s="1">
        <v>0.8</v>
      </c>
      <c r="F377" s="1">
        <v>0.1</v>
      </c>
      <c r="G377" s="1">
        <v>0.8</v>
      </c>
      <c r="H377" s="1">
        <v>0.8</v>
      </c>
      <c r="I377" s="1">
        <v>0.6</v>
      </c>
      <c r="J377" s="1">
        <v>0.1</v>
      </c>
      <c r="K377" s="1">
        <v>0.5</v>
      </c>
      <c r="L377" s="1">
        <v>0.7</v>
      </c>
      <c r="M377" s="1">
        <v>0.6</v>
      </c>
      <c r="N377" s="1">
        <f>(Occurrence!B$3-D377)^2</f>
        <v>1.0000000000000002E-2</v>
      </c>
      <c r="O377" s="1">
        <f>(Occurrence!C$3-E377)^2</f>
        <v>0.64000000000000012</v>
      </c>
      <c r="P377" s="1">
        <f>(Occurrence!D$3-F377)^2</f>
        <v>0.81</v>
      </c>
      <c r="Q377" s="1">
        <f>(Occurrence!E$3-G377)^2</f>
        <v>3.999999999999998E-2</v>
      </c>
      <c r="R377" s="1">
        <f>(Occurrence!F$3-H377)^2</f>
        <v>0.64000000000000012</v>
      </c>
      <c r="S377" s="1">
        <f>(Occurrence!G$3-I377)^2</f>
        <v>0.36</v>
      </c>
      <c r="T377" s="1">
        <f>(Occurrence!H$3-J377)^2</f>
        <v>0.81</v>
      </c>
      <c r="U377" s="1">
        <f>(Occurrence!I$3-K377)^2</f>
        <v>0.25</v>
      </c>
      <c r="V377" s="1">
        <f>(Occurrence!J$3-L377)^2</f>
        <v>0.48999999999999994</v>
      </c>
      <c r="W377" s="1">
        <f>(Occurrence!K$3-M377)^2</f>
        <v>0.16000000000000003</v>
      </c>
      <c r="X377" s="1">
        <f t="shared" si="61"/>
        <v>4.2100000000000009</v>
      </c>
      <c r="Z377" s="1">
        <f t="shared" si="62"/>
        <v>0</v>
      </c>
      <c r="AA377" s="1">
        <f t="shared" si="63"/>
        <v>1</v>
      </c>
      <c r="AB377" s="1">
        <f t="shared" si="64"/>
        <v>0</v>
      </c>
      <c r="AC377" s="1">
        <f t="shared" si="65"/>
        <v>1</v>
      </c>
      <c r="AD377" s="1">
        <f t="shared" si="66"/>
        <v>1</v>
      </c>
      <c r="AE377" s="1">
        <f t="shared" si="67"/>
        <v>1</v>
      </c>
      <c r="AF377" s="1">
        <f t="shared" si="68"/>
        <v>0</v>
      </c>
      <c r="AG377" s="1">
        <f t="shared" si="69"/>
        <v>1</v>
      </c>
      <c r="AH377" s="1">
        <f t="shared" si="70"/>
        <v>1</v>
      </c>
      <c r="AI377" s="1">
        <f t="shared" si="71"/>
        <v>1</v>
      </c>
      <c r="AJ377" s="1">
        <f>SUMXMY2(Z377:AI377, Occurrence!B$3:K$3)</f>
        <v>6</v>
      </c>
      <c r="AK377" s="1">
        <f t="shared" si="72"/>
        <v>4</v>
      </c>
    </row>
    <row r="378" spans="1:37">
      <c r="A378" s="1">
        <v>377</v>
      </c>
      <c r="B378" s="1">
        <v>4252376</v>
      </c>
      <c r="C378" s="6" t="s">
        <v>36</v>
      </c>
      <c r="D378" s="1">
        <v>0</v>
      </c>
      <c r="E378" s="1">
        <v>0.1</v>
      </c>
      <c r="F378" s="1">
        <v>0.5</v>
      </c>
      <c r="G378" s="1">
        <v>0.7</v>
      </c>
      <c r="H378" s="1">
        <v>0.5</v>
      </c>
      <c r="I378" s="1">
        <v>0.15</v>
      </c>
      <c r="J378" s="1">
        <v>0.93</v>
      </c>
      <c r="K378" s="1">
        <v>0.92</v>
      </c>
      <c r="L378" s="1">
        <v>0.12</v>
      </c>
      <c r="M378" s="1">
        <v>0.6</v>
      </c>
      <c r="N378" s="1">
        <f>(Occurrence!B$3-D378)^2</f>
        <v>0</v>
      </c>
      <c r="O378" s="1">
        <f>(Occurrence!C$3-E378)^2</f>
        <v>1.0000000000000002E-2</v>
      </c>
      <c r="P378" s="1">
        <f>(Occurrence!D$3-F378)^2</f>
        <v>0.25</v>
      </c>
      <c r="Q378" s="1">
        <f>(Occurrence!E$3-G378)^2</f>
        <v>9.0000000000000024E-2</v>
      </c>
      <c r="R378" s="1">
        <f>(Occurrence!F$3-H378)^2</f>
        <v>0.25</v>
      </c>
      <c r="S378" s="1">
        <f>(Occurrence!G$3-I378)^2</f>
        <v>2.2499999999999999E-2</v>
      </c>
      <c r="T378" s="1">
        <f>(Occurrence!H$3-J378)^2</f>
        <v>4.8999999999999929E-3</v>
      </c>
      <c r="U378" s="1">
        <f>(Occurrence!I$3-K378)^2</f>
        <v>6.3999999999999934E-3</v>
      </c>
      <c r="V378" s="1">
        <f>(Occurrence!J$3-L378)^2</f>
        <v>1.44E-2</v>
      </c>
      <c r="W378" s="1">
        <f>(Occurrence!K$3-M378)^2</f>
        <v>0.16000000000000003</v>
      </c>
      <c r="X378" s="1">
        <f t="shared" si="61"/>
        <v>0.80820000000000003</v>
      </c>
      <c r="Z378" s="1">
        <f t="shared" si="62"/>
        <v>0</v>
      </c>
      <c r="AA378" s="1">
        <f t="shared" si="63"/>
        <v>0</v>
      </c>
      <c r="AB378" s="1">
        <f t="shared" si="64"/>
        <v>1</v>
      </c>
      <c r="AC378" s="1">
        <f t="shared" si="65"/>
        <v>1</v>
      </c>
      <c r="AD378" s="1">
        <f t="shared" si="66"/>
        <v>1</v>
      </c>
      <c r="AE378" s="1">
        <f t="shared" si="67"/>
        <v>0</v>
      </c>
      <c r="AF378" s="1">
        <f t="shared" si="68"/>
        <v>1</v>
      </c>
      <c r="AG378" s="1">
        <f t="shared" si="69"/>
        <v>1</v>
      </c>
      <c r="AH378" s="1">
        <f t="shared" si="70"/>
        <v>0</v>
      </c>
      <c r="AI378" s="1">
        <f t="shared" si="71"/>
        <v>1</v>
      </c>
      <c r="AJ378" s="1">
        <f>SUMXMY2(Z378:AI378, Occurrence!B$3:K$3)</f>
        <v>1</v>
      </c>
      <c r="AK378" s="1">
        <f t="shared" si="72"/>
        <v>9</v>
      </c>
    </row>
    <row r="379" spans="1:37">
      <c r="A379" s="1">
        <v>378</v>
      </c>
      <c r="B379" s="1">
        <v>4252377</v>
      </c>
      <c r="C379" s="6" t="s">
        <v>36</v>
      </c>
      <c r="D379" s="1">
        <v>5.0000000000000001E-4</v>
      </c>
      <c r="E379" s="1">
        <v>0.5</v>
      </c>
      <c r="F379" s="1">
        <v>0.5</v>
      </c>
      <c r="G379" s="1">
        <v>1</v>
      </c>
      <c r="H379" s="1">
        <v>5.0000000000000001E-3</v>
      </c>
      <c r="I379" s="1">
        <v>0.5</v>
      </c>
      <c r="J379" s="1">
        <v>4.9999999999999997E-12</v>
      </c>
      <c r="K379" s="1">
        <v>0</v>
      </c>
      <c r="L379" s="1">
        <v>0.05</v>
      </c>
      <c r="M379" s="1">
        <v>1</v>
      </c>
      <c r="N379" s="1">
        <f>(Occurrence!B$3-D379)^2</f>
        <v>2.4999999999999999E-7</v>
      </c>
      <c r="O379" s="1">
        <f>(Occurrence!C$3-E379)^2</f>
        <v>0.25</v>
      </c>
      <c r="P379" s="1">
        <f>(Occurrence!D$3-F379)^2</f>
        <v>0.25</v>
      </c>
      <c r="Q379" s="1">
        <f>(Occurrence!E$3-G379)^2</f>
        <v>0</v>
      </c>
      <c r="R379" s="1">
        <f>(Occurrence!F$3-H379)^2</f>
        <v>2.5000000000000001E-5</v>
      </c>
      <c r="S379" s="1">
        <f>(Occurrence!G$3-I379)^2</f>
        <v>0.25</v>
      </c>
      <c r="T379" s="1">
        <f>(Occurrence!H$3-J379)^2</f>
        <v>0.99999999999</v>
      </c>
      <c r="U379" s="1">
        <f>(Occurrence!I$3-K379)^2</f>
        <v>1</v>
      </c>
      <c r="V379" s="1">
        <f>(Occurrence!J$3-L379)^2</f>
        <v>2.5000000000000005E-3</v>
      </c>
      <c r="W379" s="1">
        <f>(Occurrence!K$3-M379)^2</f>
        <v>0</v>
      </c>
      <c r="X379" s="1">
        <f t="shared" si="61"/>
        <v>2.7525252499900001</v>
      </c>
      <c r="Z379" s="1">
        <f t="shared" si="62"/>
        <v>0</v>
      </c>
      <c r="AA379" s="1">
        <f t="shared" si="63"/>
        <v>1</v>
      </c>
      <c r="AB379" s="1">
        <f t="shared" si="64"/>
        <v>1</v>
      </c>
      <c r="AC379" s="1">
        <f t="shared" si="65"/>
        <v>1</v>
      </c>
      <c r="AD379" s="1">
        <f t="shared" si="66"/>
        <v>0</v>
      </c>
      <c r="AE379" s="1">
        <f t="shared" si="67"/>
        <v>1</v>
      </c>
      <c r="AF379" s="1">
        <f t="shared" si="68"/>
        <v>0</v>
      </c>
      <c r="AG379" s="1">
        <f t="shared" si="69"/>
        <v>0</v>
      </c>
      <c r="AH379" s="1">
        <f t="shared" si="70"/>
        <v>0</v>
      </c>
      <c r="AI379" s="1">
        <f t="shared" si="71"/>
        <v>1</v>
      </c>
      <c r="AJ379" s="1">
        <f>SUMXMY2(Z379:AI379, Occurrence!B$3:K$3)</f>
        <v>4</v>
      </c>
      <c r="AK379" s="1">
        <f t="shared" si="72"/>
        <v>6</v>
      </c>
    </row>
    <row r="380" spans="1:37">
      <c r="A380" s="1">
        <v>379</v>
      </c>
      <c r="B380" s="1">
        <v>4252378</v>
      </c>
      <c r="C380" s="6" t="s">
        <v>36</v>
      </c>
      <c r="D380" s="1">
        <v>5.0000000000000001E-3</v>
      </c>
      <c r="E380" s="1">
        <v>0.2</v>
      </c>
      <c r="F380" s="1">
        <v>0.4</v>
      </c>
      <c r="G380" s="1">
        <v>0.6</v>
      </c>
      <c r="H380" s="1">
        <v>0.83</v>
      </c>
      <c r="I380" s="1">
        <v>0.75</v>
      </c>
      <c r="J380" s="1">
        <v>0.9</v>
      </c>
      <c r="K380" s="1">
        <v>0.15</v>
      </c>
      <c r="L380" s="1">
        <v>0.23</v>
      </c>
      <c r="M380" s="1">
        <v>0.94</v>
      </c>
      <c r="N380" s="1">
        <f>(Occurrence!B$3-D380)^2</f>
        <v>2.5000000000000001E-5</v>
      </c>
      <c r="O380" s="1">
        <f>(Occurrence!C$3-E380)^2</f>
        <v>4.0000000000000008E-2</v>
      </c>
      <c r="P380" s="1">
        <f>(Occurrence!D$3-F380)^2</f>
        <v>0.36</v>
      </c>
      <c r="Q380" s="1">
        <f>(Occurrence!E$3-G380)^2</f>
        <v>0.16000000000000003</v>
      </c>
      <c r="R380" s="1">
        <f>(Occurrence!F$3-H380)^2</f>
        <v>0.68889999999999996</v>
      </c>
      <c r="S380" s="1">
        <f>(Occurrence!G$3-I380)^2</f>
        <v>0.5625</v>
      </c>
      <c r="T380" s="1">
        <f>(Occurrence!H$3-J380)^2</f>
        <v>9.999999999999995E-3</v>
      </c>
      <c r="U380" s="1">
        <f>(Occurrence!I$3-K380)^2</f>
        <v>0.72249999999999992</v>
      </c>
      <c r="V380" s="1">
        <f>(Occurrence!J$3-L380)^2</f>
        <v>5.2900000000000003E-2</v>
      </c>
      <c r="W380" s="1">
        <f>(Occurrence!K$3-M380)^2</f>
        <v>3.6000000000000064E-3</v>
      </c>
      <c r="X380" s="1">
        <f t="shared" si="61"/>
        <v>2.600425</v>
      </c>
      <c r="Z380" s="1">
        <f t="shared" si="62"/>
        <v>0</v>
      </c>
      <c r="AA380" s="1">
        <f t="shared" si="63"/>
        <v>0</v>
      </c>
      <c r="AB380" s="1">
        <f t="shared" si="64"/>
        <v>0</v>
      </c>
      <c r="AC380" s="1">
        <f t="shared" si="65"/>
        <v>1</v>
      </c>
      <c r="AD380" s="1">
        <f t="shared" si="66"/>
        <v>1</v>
      </c>
      <c r="AE380" s="1">
        <f t="shared" si="67"/>
        <v>1</v>
      </c>
      <c r="AF380" s="1">
        <f t="shared" si="68"/>
        <v>1</v>
      </c>
      <c r="AG380" s="1">
        <f t="shared" si="69"/>
        <v>0</v>
      </c>
      <c r="AH380" s="1">
        <f t="shared" si="70"/>
        <v>0</v>
      </c>
      <c r="AI380" s="1">
        <f t="shared" si="71"/>
        <v>1</v>
      </c>
      <c r="AJ380" s="1">
        <f>SUMXMY2(Z380:AI380, Occurrence!B$3:K$3)</f>
        <v>4</v>
      </c>
      <c r="AK380" s="1">
        <f t="shared" si="72"/>
        <v>6</v>
      </c>
    </row>
    <row r="381" spans="1:37">
      <c r="A381" s="1">
        <v>380</v>
      </c>
      <c r="B381" s="1">
        <v>4252379</v>
      </c>
      <c r="C381" s="6" t="s">
        <v>36</v>
      </c>
      <c r="D381" s="1">
        <v>0.05</v>
      </c>
      <c r="E381" s="1">
        <v>0.15</v>
      </c>
      <c r="F381" s="1">
        <v>0.4</v>
      </c>
      <c r="G381" s="1">
        <v>0.75</v>
      </c>
      <c r="H381" s="1">
        <v>0.35</v>
      </c>
      <c r="I381" s="1">
        <v>0.65</v>
      </c>
      <c r="J381" s="1">
        <v>0.45</v>
      </c>
      <c r="K381" s="1">
        <v>0.87</v>
      </c>
      <c r="L381" s="1">
        <v>0.5</v>
      </c>
      <c r="M381" s="1">
        <v>0.68</v>
      </c>
      <c r="N381" s="1">
        <f>(Occurrence!B$3-D381)^2</f>
        <v>2.5000000000000005E-3</v>
      </c>
      <c r="O381" s="1">
        <f>(Occurrence!C$3-E381)^2</f>
        <v>2.2499999999999999E-2</v>
      </c>
      <c r="P381" s="1">
        <f>(Occurrence!D$3-F381)^2</f>
        <v>0.36</v>
      </c>
      <c r="Q381" s="1">
        <f>(Occurrence!E$3-G381)^2</f>
        <v>6.25E-2</v>
      </c>
      <c r="R381" s="1">
        <f>(Occurrence!F$3-H381)^2</f>
        <v>0.12249999999999998</v>
      </c>
      <c r="S381" s="1">
        <f>(Occurrence!G$3-I381)^2</f>
        <v>0.42250000000000004</v>
      </c>
      <c r="T381" s="1">
        <f>(Occurrence!H$3-J381)^2</f>
        <v>0.30250000000000005</v>
      </c>
      <c r="U381" s="1">
        <f>(Occurrence!I$3-K381)^2</f>
        <v>1.6900000000000002E-2</v>
      </c>
      <c r="V381" s="1">
        <f>(Occurrence!J$3-L381)^2</f>
        <v>0.25</v>
      </c>
      <c r="W381" s="1">
        <f>(Occurrence!K$3-M381)^2</f>
        <v>0.10239999999999996</v>
      </c>
      <c r="X381" s="1">
        <f t="shared" si="61"/>
        <v>1.6642999999999999</v>
      </c>
      <c r="Z381" s="1">
        <f t="shared" si="62"/>
        <v>0</v>
      </c>
      <c r="AA381" s="1">
        <f t="shared" si="63"/>
        <v>0</v>
      </c>
      <c r="AB381" s="1">
        <f t="shared" si="64"/>
        <v>0</v>
      </c>
      <c r="AC381" s="1">
        <f t="shared" si="65"/>
        <v>1</v>
      </c>
      <c r="AD381" s="1">
        <f t="shared" si="66"/>
        <v>0</v>
      </c>
      <c r="AE381" s="1">
        <f t="shared" si="67"/>
        <v>1</v>
      </c>
      <c r="AF381" s="1">
        <f t="shared" si="68"/>
        <v>0</v>
      </c>
      <c r="AG381" s="1">
        <f t="shared" si="69"/>
        <v>1</v>
      </c>
      <c r="AH381" s="1">
        <f t="shared" si="70"/>
        <v>1</v>
      </c>
      <c r="AI381" s="1">
        <f t="shared" si="71"/>
        <v>1</v>
      </c>
      <c r="AJ381" s="1">
        <f>SUMXMY2(Z381:AI381, Occurrence!B$3:K$3)</f>
        <v>4</v>
      </c>
      <c r="AK381" s="1">
        <f t="shared" si="72"/>
        <v>6</v>
      </c>
    </row>
    <row r="382" spans="1:37">
      <c r="A382" s="1">
        <v>381</v>
      </c>
      <c r="B382" s="1">
        <v>4252380</v>
      </c>
      <c r="C382" s="6" t="s">
        <v>36</v>
      </c>
      <c r="D382" s="1">
        <v>0.1</v>
      </c>
      <c r="E382" s="1">
        <v>0.2</v>
      </c>
      <c r="F382" s="1">
        <v>0.3</v>
      </c>
      <c r="G382" s="1">
        <v>0.7</v>
      </c>
      <c r="H382" s="1">
        <v>0.6</v>
      </c>
      <c r="I382" s="1">
        <v>0.3</v>
      </c>
      <c r="J382" s="1">
        <v>0.15</v>
      </c>
      <c r="K382" s="1">
        <v>0.25</v>
      </c>
      <c r="L382" s="1">
        <v>0.68</v>
      </c>
      <c r="M382" s="1">
        <v>0.43</v>
      </c>
      <c r="N382" s="1">
        <f>(Occurrence!B$3-D382)^2</f>
        <v>1.0000000000000002E-2</v>
      </c>
      <c r="O382" s="1">
        <f>(Occurrence!C$3-E382)^2</f>
        <v>4.0000000000000008E-2</v>
      </c>
      <c r="P382" s="1">
        <f>(Occurrence!D$3-F382)^2</f>
        <v>0.48999999999999994</v>
      </c>
      <c r="Q382" s="1">
        <f>(Occurrence!E$3-G382)^2</f>
        <v>9.0000000000000024E-2</v>
      </c>
      <c r="R382" s="1">
        <f>(Occurrence!F$3-H382)^2</f>
        <v>0.36</v>
      </c>
      <c r="S382" s="1">
        <f>(Occurrence!G$3-I382)^2</f>
        <v>0.09</v>
      </c>
      <c r="T382" s="1">
        <f>(Occurrence!H$3-J382)^2</f>
        <v>0.72249999999999992</v>
      </c>
      <c r="U382" s="1">
        <f>(Occurrence!I$3-K382)^2</f>
        <v>0.5625</v>
      </c>
      <c r="V382" s="1">
        <f>(Occurrence!J$3-L382)^2</f>
        <v>0.46240000000000009</v>
      </c>
      <c r="W382" s="1">
        <f>(Occurrence!K$3-M382)^2</f>
        <v>0.32490000000000008</v>
      </c>
      <c r="X382" s="1">
        <f t="shared" si="61"/>
        <v>3.1522999999999999</v>
      </c>
      <c r="Z382" s="1">
        <f t="shared" si="62"/>
        <v>0</v>
      </c>
      <c r="AA382" s="1">
        <f t="shared" si="63"/>
        <v>0</v>
      </c>
      <c r="AB382" s="1">
        <f t="shared" si="64"/>
        <v>0</v>
      </c>
      <c r="AC382" s="1">
        <f t="shared" si="65"/>
        <v>1</v>
      </c>
      <c r="AD382" s="1">
        <f t="shared" si="66"/>
        <v>1</v>
      </c>
      <c r="AE382" s="1">
        <f t="shared" si="67"/>
        <v>0</v>
      </c>
      <c r="AF382" s="1">
        <f t="shared" si="68"/>
        <v>0</v>
      </c>
      <c r="AG382" s="1">
        <f t="shared" si="69"/>
        <v>0</v>
      </c>
      <c r="AH382" s="1">
        <f t="shared" si="70"/>
        <v>1</v>
      </c>
      <c r="AI382" s="1">
        <f t="shared" si="71"/>
        <v>0</v>
      </c>
      <c r="AJ382" s="1">
        <f>SUMXMY2(Z382:AI382, Occurrence!B$3:K$3)</f>
        <v>6</v>
      </c>
      <c r="AK382" s="1">
        <f t="shared" si="72"/>
        <v>4</v>
      </c>
    </row>
    <row r="383" spans="1:37">
      <c r="A383" s="1">
        <v>382</v>
      </c>
      <c r="B383" s="1">
        <v>4252381</v>
      </c>
      <c r="C383" s="6" t="s">
        <v>36</v>
      </c>
      <c r="D383" s="1">
        <v>0.55840000000000001</v>
      </c>
      <c r="E383" s="1">
        <v>0.22359999999999999</v>
      </c>
      <c r="F383" s="1">
        <v>0.66779999999999995</v>
      </c>
      <c r="G383" s="1">
        <v>0.1288</v>
      </c>
      <c r="H383" s="1">
        <v>0.89559999999999995</v>
      </c>
      <c r="I383" s="1">
        <v>0.44350000000000001</v>
      </c>
      <c r="J383" s="1">
        <v>0.56469999999999998</v>
      </c>
      <c r="K383" s="1">
        <v>0.37559999999999999</v>
      </c>
      <c r="L383" s="1">
        <v>0.55430000000000001</v>
      </c>
      <c r="M383" s="1">
        <v>0.87660000000000005</v>
      </c>
      <c r="N383" s="1">
        <f>(Occurrence!B$3-D383)^2</f>
        <v>0.31181056000000001</v>
      </c>
      <c r="O383" s="1">
        <f>(Occurrence!C$3-E383)^2</f>
        <v>4.999696E-2</v>
      </c>
      <c r="P383" s="1">
        <f>(Occurrence!D$3-F383)^2</f>
        <v>0.11035684000000004</v>
      </c>
      <c r="Q383" s="1">
        <f>(Occurrence!E$3-G383)^2</f>
        <v>0.7589894399999999</v>
      </c>
      <c r="R383" s="1">
        <f>(Occurrence!F$3-H383)^2</f>
        <v>0.80209935999999993</v>
      </c>
      <c r="S383" s="1">
        <f>(Occurrence!G$3-I383)^2</f>
        <v>0.19669225000000001</v>
      </c>
      <c r="T383" s="1">
        <f>(Occurrence!H$3-J383)^2</f>
        <v>0.18948609000000002</v>
      </c>
      <c r="U383" s="1">
        <f>(Occurrence!I$3-K383)^2</f>
        <v>0.38987536000000006</v>
      </c>
      <c r="V383" s="1">
        <f>(Occurrence!J$3-L383)^2</f>
        <v>0.30724849000000004</v>
      </c>
      <c r="W383" s="1">
        <f>(Occurrence!K$3-M383)^2</f>
        <v>1.5227559999999989E-2</v>
      </c>
      <c r="X383" s="1">
        <f t="shared" si="61"/>
        <v>3.1317829100000001</v>
      </c>
      <c r="Z383" s="1">
        <f t="shared" si="62"/>
        <v>1</v>
      </c>
      <c r="AA383" s="1">
        <f t="shared" si="63"/>
        <v>0</v>
      </c>
      <c r="AB383" s="1">
        <f t="shared" si="64"/>
        <v>1</v>
      </c>
      <c r="AC383" s="1">
        <f t="shared" si="65"/>
        <v>0</v>
      </c>
      <c r="AD383" s="1">
        <f t="shared" si="66"/>
        <v>1</v>
      </c>
      <c r="AE383" s="1">
        <f t="shared" si="67"/>
        <v>0</v>
      </c>
      <c r="AF383" s="1">
        <f t="shared" si="68"/>
        <v>1</v>
      </c>
      <c r="AG383" s="1">
        <f t="shared" si="69"/>
        <v>0</v>
      </c>
      <c r="AH383" s="1">
        <f t="shared" si="70"/>
        <v>1</v>
      </c>
      <c r="AI383" s="1">
        <f t="shared" si="71"/>
        <v>1</v>
      </c>
      <c r="AJ383" s="1">
        <f>SUMXMY2(Z383:AI383, Occurrence!B$3:K$3)</f>
        <v>5</v>
      </c>
      <c r="AK383" s="1">
        <f t="shared" si="72"/>
        <v>5</v>
      </c>
    </row>
    <row r="384" spans="1:37">
      <c r="A384" s="1">
        <v>383</v>
      </c>
      <c r="B384" s="1">
        <v>4252382</v>
      </c>
      <c r="C384" s="6" t="s">
        <v>36</v>
      </c>
      <c r="D384" s="1">
        <v>1E-4</v>
      </c>
      <c r="E384" s="1">
        <v>1E-4</v>
      </c>
      <c r="F384" s="1">
        <v>0.999</v>
      </c>
      <c r="G384" s="1">
        <v>0.99990000000000001</v>
      </c>
      <c r="H384" s="1">
        <v>8.9999999999999998E-4</v>
      </c>
      <c r="I384" s="1">
        <v>0.03</v>
      </c>
      <c r="J384" s="1">
        <v>0.01</v>
      </c>
      <c r="K384" s="1">
        <v>0.05</v>
      </c>
      <c r="L384" s="1">
        <v>0.01</v>
      </c>
      <c r="M384" s="1">
        <v>5.0000000000000001E-3</v>
      </c>
      <c r="N384" s="1">
        <f>(Occurrence!B$3-D384)^2</f>
        <v>1E-8</v>
      </c>
      <c r="O384" s="1">
        <f>(Occurrence!C$3-E384)^2</f>
        <v>1E-8</v>
      </c>
      <c r="P384" s="1">
        <f>(Occurrence!D$3-F384)^2</f>
        <v>1.0000000000000019E-6</v>
      </c>
      <c r="Q384" s="1">
        <f>(Occurrence!E$3-G384)^2</f>
        <v>9.9999999999977966E-9</v>
      </c>
      <c r="R384" s="1">
        <f>(Occurrence!F$3-H384)^2</f>
        <v>8.0999999999999997E-7</v>
      </c>
      <c r="S384" s="1">
        <f>(Occurrence!G$3-I384)^2</f>
        <v>8.9999999999999998E-4</v>
      </c>
      <c r="T384" s="1">
        <f>(Occurrence!H$3-J384)^2</f>
        <v>0.98009999999999997</v>
      </c>
      <c r="U384" s="1">
        <f>(Occurrence!I$3-K384)^2</f>
        <v>0.90249999999999997</v>
      </c>
      <c r="V384" s="1">
        <f>(Occurrence!J$3-L384)^2</f>
        <v>1E-4</v>
      </c>
      <c r="W384" s="1">
        <f>(Occurrence!K$3-M384)^2</f>
        <v>0.99002500000000004</v>
      </c>
      <c r="X384" s="1">
        <f t="shared" si="61"/>
        <v>2.87362684</v>
      </c>
      <c r="Z384" s="1">
        <f t="shared" si="62"/>
        <v>0</v>
      </c>
      <c r="AA384" s="1">
        <f t="shared" si="63"/>
        <v>0</v>
      </c>
      <c r="AB384" s="1">
        <f t="shared" si="64"/>
        <v>1</v>
      </c>
      <c r="AC384" s="1">
        <f t="shared" si="65"/>
        <v>1</v>
      </c>
      <c r="AD384" s="1">
        <f t="shared" si="66"/>
        <v>0</v>
      </c>
      <c r="AE384" s="1">
        <f t="shared" si="67"/>
        <v>0</v>
      </c>
      <c r="AF384" s="1">
        <f t="shared" si="68"/>
        <v>0</v>
      </c>
      <c r="AG384" s="1">
        <f t="shared" si="69"/>
        <v>0</v>
      </c>
      <c r="AH384" s="1">
        <f t="shared" si="70"/>
        <v>0</v>
      </c>
      <c r="AI384" s="1">
        <f t="shared" si="71"/>
        <v>0</v>
      </c>
      <c r="AJ384" s="1">
        <f>SUMXMY2(Z384:AI384, Occurrence!B$3:K$3)</f>
        <v>3</v>
      </c>
      <c r="AK384" s="1">
        <f t="shared" si="72"/>
        <v>7</v>
      </c>
    </row>
    <row r="385" spans="1:37">
      <c r="A385" s="1">
        <v>384</v>
      </c>
      <c r="B385" s="1">
        <v>4252383</v>
      </c>
      <c r="C385" s="6" t="s">
        <v>36</v>
      </c>
      <c r="D385" s="1">
        <v>0.01</v>
      </c>
      <c r="E385" s="1">
        <v>0.02</v>
      </c>
      <c r="F385" s="1">
        <v>0.98</v>
      </c>
      <c r="G385" s="1">
        <v>0.98</v>
      </c>
      <c r="H385" s="1">
        <v>0.01</v>
      </c>
      <c r="I385" s="1">
        <v>0.1</v>
      </c>
      <c r="J385" s="1">
        <v>0.98</v>
      </c>
      <c r="K385" s="1">
        <v>0.99</v>
      </c>
      <c r="L385" s="1">
        <v>0.02</v>
      </c>
      <c r="M385" s="1">
        <v>0.5</v>
      </c>
      <c r="N385" s="1">
        <f>(Occurrence!B$3-D385)^2</f>
        <v>1E-4</v>
      </c>
      <c r="O385" s="1">
        <f>(Occurrence!C$3-E385)^2</f>
        <v>4.0000000000000002E-4</v>
      </c>
      <c r="P385" s="1">
        <f>(Occurrence!D$3-F385)^2</f>
        <v>4.0000000000000072E-4</v>
      </c>
      <c r="Q385" s="1">
        <f>(Occurrence!E$3-G385)^2</f>
        <v>4.0000000000000072E-4</v>
      </c>
      <c r="R385" s="1">
        <f>(Occurrence!F$3-H385)^2</f>
        <v>1E-4</v>
      </c>
      <c r="S385" s="1">
        <f>(Occurrence!G$3-I385)^2</f>
        <v>1.0000000000000002E-2</v>
      </c>
      <c r="T385" s="1">
        <f>(Occurrence!H$3-J385)^2</f>
        <v>4.0000000000000072E-4</v>
      </c>
      <c r="U385" s="1">
        <f>(Occurrence!I$3-K385)^2</f>
        <v>1.0000000000000018E-4</v>
      </c>
      <c r="V385" s="1">
        <f>(Occurrence!J$3-L385)^2</f>
        <v>4.0000000000000002E-4</v>
      </c>
      <c r="W385" s="1">
        <f>(Occurrence!K$3-M385)^2</f>
        <v>0.25</v>
      </c>
      <c r="X385" s="1">
        <f t="shared" si="61"/>
        <v>0.26229999999999998</v>
      </c>
      <c r="Z385" s="1">
        <f t="shared" si="62"/>
        <v>0</v>
      </c>
      <c r="AA385" s="1">
        <f t="shared" si="63"/>
        <v>0</v>
      </c>
      <c r="AB385" s="1">
        <f t="shared" si="64"/>
        <v>1</v>
      </c>
      <c r="AC385" s="1">
        <f t="shared" si="65"/>
        <v>1</v>
      </c>
      <c r="AD385" s="1">
        <f t="shared" si="66"/>
        <v>0</v>
      </c>
      <c r="AE385" s="1">
        <f t="shared" si="67"/>
        <v>0</v>
      </c>
      <c r="AF385" s="1">
        <f t="shared" si="68"/>
        <v>1</v>
      </c>
      <c r="AG385" s="1">
        <f t="shared" si="69"/>
        <v>1</v>
      </c>
      <c r="AH385" s="1">
        <f t="shared" si="70"/>
        <v>0</v>
      </c>
      <c r="AI385" s="1">
        <f t="shared" si="71"/>
        <v>1</v>
      </c>
      <c r="AJ385" s="1">
        <f>SUMXMY2(Z385:AI385, Occurrence!B$3:K$3)</f>
        <v>0</v>
      </c>
      <c r="AK385" s="1">
        <f t="shared" si="72"/>
        <v>10</v>
      </c>
    </row>
    <row r="386" spans="1:37">
      <c r="A386" s="1">
        <v>385</v>
      </c>
      <c r="B386" s="1">
        <v>4252384</v>
      </c>
      <c r="C386" s="6" t="s">
        <v>36</v>
      </c>
      <c r="D386" s="1">
        <v>0.01</v>
      </c>
      <c r="E386" s="1">
        <v>0.02</v>
      </c>
      <c r="F386" s="1">
        <v>0.98</v>
      </c>
      <c r="G386" s="1">
        <v>0.98</v>
      </c>
      <c r="H386" s="1">
        <v>0.01</v>
      </c>
      <c r="I386" s="1">
        <v>0.15</v>
      </c>
      <c r="J386" s="1">
        <v>0.97</v>
      </c>
      <c r="K386" s="1">
        <v>0.99</v>
      </c>
      <c r="L386" s="1">
        <v>0.01</v>
      </c>
      <c r="M386" s="1">
        <v>0.55000000000000004</v>
      </c>
      <c r="N386" s="1">
        <f>(Occurrence!B$3-D386)^2</f>
        <v>1E-4</v>
      </c>
      <c r="O386" s="1">
        <f>(Occurrence!C$3-E386)^2</f>
        <v>4.0000000000000002E-4</v>
      </c>
      <c r="P386" s="1">
        <f>(Occurrence!D$3-F386)^2</f>
        <v>4.0000000000000072E-4</v>
      </c>
      <c r="Q386" s="1">
        <f>(Occurrence!E$3-G386)^2</f>
        <v>4.0000000000000072E-4</v>
      </c>
      <c r="R386" s="1">
        <f>(Occurrence!F$3-H386)^2</f>
        <v>1E-4</v>
      </c>
      <c r="S386" s="1">
        <f>(Occurrence!G$3-I386)^2</f>
        <v>2.2499999999999999E-2</v>
      </c>
      <c r="T386" s="1">
        <f>(Occurrence!H$3-J386)^2</f>
        <v>9.000000000000016E-4</v>
      </c>
      <c r="U386" s="1">
        <f>(Occurrence!I$3-K386)^2</f>
        <v>1.0000000000000018E-4</v>
      </c>
      <c r="V386" s="1">
        <f>(Occurrence!J$3-L386)^2</f>
        <v>1E-4</v>
      </c>
      <c r="W386" s="1">
        <f>(Occurrence!K$3-M386)^2</f>
        <v>0.20249999999999996</v>
      </c>
      <c r="X386" s="1">
        <f t="shared" si="61"/>
        <v>0.22749999999999995</v>
      </c>
      <c r="Z386" s="1">
        <f t="shared" si="62"/>
        <v>0</v>
      </c>
      <c r="AA386" s="1">
        <f t="shared" si="63"/>
        <v>0</v>
      </c>
      <c r="AB386" s="1">
        <f t="shared" si="64"/>
        <v>1</v>
      </c>
      <c r="AC386" s="1">
        <f t="shared" si="65"/>
        <v>1</v>
      </c>
      <c r="AD386" s="1">
        <f t="shared" si="66"/>
        <v>0</v>
      </c>
      <c r="AE386" s="1">
        <f t="shared" si="67"/>
        <v>0</v>
      </c>
      <c r="AF386" s="1">
        <f t="shared" si="68"/>
        <v>1</v>
      </c>
      <c r="AG386" s="1">
        <f t="shared" si="69"/>
        <v>1</v>
      </c>
      <c r="AH386" s="1">
        <f t="shared" si="70"/>
        <v>0</v>
      </c>
      <c r="AI386" s="1">
        <f t="shared" si="71"/>
        <v>1</v>
      </c>
      <c r="AJ386" s="1">
        <f>SUMXMY2(Z386:AI386, Occurrence!B$3:K$3)</f>
        <v>0</v>
      </c>
      <c r="AK386" s="1">
        <f t="shared" si="72"/>
        <v>10</v>
      </c>
    </row>
    <row r="387" spans="1:37">
      <c r="A387" s="1">
        <v>386</v>
      </c>
      <c r="B387" s="1">
        <v>4252385</v>
      </c>
      <c r="C387" s="6" t="s">
        <v>36</v>
      </c>
      <c r="D387" s="1">
        <v>0.05</v>
      </c>
      <c r="E387" s="1">
        <v>0.1</v>
      </c>
      <c r="F387" s="1">
        <v>0.8</v>
      </c>
      <c r="G387" s="1">
        <v>0.85</v>
      </c>
      <c r="H387" s="1">
        <v>0.3</v>
      </c>
      <c r="I387" s="1">
        <v>0.1</v>
      </c>
      <c r="J387" s="1">
        <v>0.95</v>
      </c>
      <c r="K387" s="1">
        <v>0.3</v>
      </c>
      <c r="L387" s="1">
        <v>0.3</v>
      </c>
      <c r="M387" s="1">
        <v>0.8</v>
      </c>
      <c r="N387" s="1">
        <f>(Occurrence!B$3-D387)^2</f>
        <v>2.5000000000000005E-3</v>
      </c>
      <c r="O387" s="1">
        <f>(Occurrence!C$3-E387)^2</f>
        <v>1.0000000000000002E-2</v>
      </c>
      <c r="P387" s="1">
        <f>(Occurrence!D$3-F387)^2</f>
        <v>3.999999999999998E-2</v>
      </c>
      <c r="Q387" s="1">
        <f>(Occurrence!E$3-G387)^2</f>
        <v>2.2500000000000006E-2</v>
      </c>
      <c r="R387" s="1">
        <f>(Occurrence!F$3-H387)^2</f>
        <v>0.09</v>
      </c>
      <c r="S387" s="1">
        <f>(Occurrence!G$3-I387)^2</f>
        <v>1.0000000000000002E-2</v>
      </c>
      <c r="T387" s="1">
        <f>(Occurrence!H$3-J387)^2</f>
        <v>2.5000000000000044E-3</v>
      </c>
      <c r="U387" s="1">
        <f>(Occurrence!I$3-K387)^2</f>
        <v>0.48999999999999994</v>
      </c>
      <c r="V387" s="1">
        <f>(Occurrence!J$3-L387)^2</f>
        <v>0.09</v>
      </c>
      <c r="W387" s="1">
        <f>(Occurrence!K$3-M387)^2</f>
        <v>3.999999999999998E-2</v>
      </c>
      <c r="X387" s="1">
        <f t="shared" ref="X387:X450" si="73">SUM(N387:W387)</f>
        <v>0.79749999999999988</v>
      </c>
      <c r="Z387" s="1">
        <f t="shared" ref="Z387:Z450" si="74">ROUND(D387, 0)</f>
        <v>0</v>
      </c>
      <c r="AA387" s="1">
        <f t="shared" ref="AA387:AA450" si="75">ROUND(E387, 0)</f>
        <v>0</v>
      </c>
      <c r="AB387" s="1">
        <f t="shared" ref="AB387:AB450" si="76">ROUND(F387, 0)</f>
        <v>1</v>
      </c>
      <c r="AC387" s="1">
        <f t="shared" ref="AC387:AC450" si="77">ROUND(G387, 0)</f>
        <v>1</v>
      </c>
      <c r="AD387" s="1">
        <f t="shared" ref="AD387:AD450" si="78">ROUND(H387, 0)</f>
        <v>0</v>
      </c>
      <c r="AE387" s="1">
        <f t="shared" ref="AE387:AE450" si="79">ROUND(I387, 0)</f>
        <v>0</v>
      </c>
      <c r="AF387" s="1">
        <f t="shared" ref="AF387:AF450" si="80">ROUND(J387, 0)</f>
        <v>1</v>
      </c>
      <c r="AG387" s="1">
        <f t="shared" ref="AG387:AG450" si="81">ROUND(K387, 0)</f>
        <v>0</v>
      </c>
      <c r="AH387" s="1">
        <f t="shared" ref="AH387:AH450" si="82">ROUND(L387, 0)</f>
        <v>0</v>
      </c>
      <c r="AI387" s="1">
        <f t="shared" ref="AI387:AI450" si="83">ROUND(M387, 0)</f>
        <v>1</v>
      </c>
      <c r="AJ387" s="1">
        <f>SUMXMY2(Z387:AI387, Occurrence!B$3:K$3)</f>
        <v>1</v>
      </c>
      <c r="AK387" s="1">
        <f t="shared" ref="AK387:AK450" si="84">10-AJ387</f>
        <v>9</v>
      </c>
    </row>
    <row r="388" spans="1:37">
      <c r="A388" s="1">
        <v>387</v>
      </c>
      <c r="B388" s="1">
        <v>4252386</v>
      </c>
      <c r="C388" s="6" t="s">
        <v>36</v>
      </c>
      <c r="D388" s="1">
        <v>0.2</v>
      </c>
      <c r="E388" s="1">
        <v>0.3</v>
      </c>
      <c r="F388" s="1">
        <v>0.1</v>
      </c>
      <c r="G388" s="1">
        <v>0.3</v>
      </c>
      <c r="H388" s="1">
        <v>0.5</v>
      </c>
      <c r="I388" s="1">
        <v>0.8</v>
      </c>
      <c r="J388" s="1">
        <v>0.2</v>
      </c>
      <c r="K388" s="1">
        <v>0.3</v>
      </c>
      <c r="L388" s="1">
        <v>0.2</v>
      </c>
      <c r="M388" s="1">
        <v>0.5</v>
      </c>
      <c r="N388" s="1">
        <f>(Occurrence!B$3-D388)^2</f>
        <v>4.0000000000000008E-2</v>
      </c>
      <c r="O388" s="1">
        <f>(Occurrence!C$3-E388)^2</f>
        <v>0.09</v>
      </c>
      <c r="P388" s="1">
        <f>(Occurrence!D$3-F388)^2</f>
        <v>0.81</v>
      </c>
      <c r="Q388" s="1">
        <f>(Occurrence!E$3-G388)^2</f>
        <v>0.48999999999999994</v>
      </c>
      <c r="R388" s="1">
        <f>(Occurrence!F$3-H388)^2</f>
        <v>0.25</v>
      </c>
      <c r="S388" s="1">
        <f>(Occurrence!G$3-I388)^2</f>
        <v>0.64000000000000012</v>
      </c>
      <c r="T388" s="1">
        <f>(Occurrence!H$3-J388)^2</f>
        <v>0.64000000000000012</v>
      </c>
      <c r="U388" s="1">
        <f>(Occurrence!I$3-K388)^2</f>
        <v>0.48999999999999994</v>
      </c>
      <c r="V388" s="1">
        <f>(Occurrence!J$3-L388)^2</f>
        <v>4.0000000000000008E-2</v>
      </c>
      <c r="W388" s="1">
        <f>(Occurrence!K$3-M388)^2</f>
        <v>0.25</v>
      </c>
      <c r="X388" s="1">
        <f t="shared" si="73"/>
        <v>3.74</v>
      </c>
      <c r="Z388" s="1">
        <f t="shared" si="74"/>
        <v>0</v>
      </c>
      <c r="AA388" s="1">
        <f t="shared" si="75"/>
        <v>0</v>
      </c>
      <c r="AB388" s="1">
        <f t="shared" si="76"/>
        <v>0</v>
      </c>
      <c r="AC388" s="1">
        <f t="shared" si="77"/>
        <v>0</v>
      </c>
      <c r="AD388" s="1">
        <f t="shared" si="78"/>
        <v>1</v>
      </c>
      <c r="AE388" s="1">
        <f t="shared" si="79"/>
        <v>1</v>
      </c>
      <c r="AF388" s="1">
        <f t="shared" si="80"/>
        <v>0</v>
      </c>
      <c r="AG388" s="1">
        <f t="shared" si="81"/>
        <v>0</v>
      </c>
      <c r="AH388" s="1">
        <f t="shared" si="82"/>
        <v>0</v>
      </c>
      <c r="AI388" s="1">
        <f t="shared" si="83"/>
        <v>1</v>
      </c>
      <c r="AJ388" s="1">
        <f>SUMXMY2(Z388:AI388, Occurrence!B$3:K$3)</f>
        <v>6</v>
      </c>
      <c r="AK388" s="1">
        <f t="shared" si="84"/>
        <v>4</v>
      </c>
    </row>
    <row r="389" spans="1:37">
      <c r="A389" s="1">
        <v>388</v>
      </c>
      <c r="B389" s="1">
        <v>4252387</v>
      </c>
      <c r="C389" s="6" t="s">
        <v>36</v>
      </c>
      <c r="D389" s="1">
        <v>0.18</v>
      </c>
      <c r="E389" s="1">
        <v>0.15</v>
      </c>
      <c r="F389" s="1">
        <v>0.75</v>
      </c>
      <c r="G389" s="1">
        <v>0.72</v>
      </c>
      <c r="H389" s="1">
        <v>0.5</v>
      </c>
      <c r="I389" s="1">
        <v>0.7</v>
      </c>
      <c r="J389" s="1">
        <v>0.55000000000000004</v>
      </c>
      <c r="K389" s="1">
        <v>0.38</v>
      </c>
      <c r="L389" s="1">
        <v>0.59</v>
      </c>
      <c r="M389" s="1">
        <v>0.84</v>
      </c>
      <c r="N389" s="1">
        <f>(Occurrence!B$3-D389)^2</f>
        <v>3.2399999999999998E-2</v>
      </c>
      <c r="O389" s="1">
        <f>(Occurrence!C$3-E389)^2</f>
        <v>2.2499999999999999E-2</v>
      </c>
      <c r="P389" s="1">
        <f>(Occurrence!D$3-F389)^2</f>
        <v>6.25E-2</v>
      </c>
      <c r="Q389" s="1">
        <f>(Occurrence!E$3-G389)^2</f>
        <v>7.8400000000000011E-2</v>
      </c>
      <c r="R389" s="1">
        <f>(Occurrence!F$3-H389)^2</f>
        <v>0.25</v>
      </c>
      <c r="S389" s="1">
        <f>(Occurrence!G$3-I389)^2</f>
        <v>0.48999999999999994</v>
      </c>
      <c r="T389" s="1">
        <f>(Occurrence!H$3-J389)^2</f>
        <v>0.20249999999999996</v>
      </c>
      <c r="U389" s="1">
        <f>(Occurrence!I$3-K389)^2</f>
        <v>0.38440000000000002</v>
      </c>
      <c r="V389" s="1">
        <f>(Occurrence!J$3-L389)^2</f>
        <v>0.34809999999999997</v>
      </c>
      <c r="W389" s="1">
        <f>(Occurrence!K$3-M389)^2</f>
        <v>2.5600000000000012E-2</v>
      </c>
      <c r="X389" s="1">
        <f t="shared" si="73"/>
        <v>1.8964000000000001</v>
      </c>
      <c r="Z389" s="1">
        <f t="shared" si="74"/>
        <v>0</v>
      </c>
      <c r="AA389" s="1">
        <f t="shared" si="75"/>
        <v>0</v>
      </c>
      <c r="AB389" s="1">
        <f t="shared" si="76"/>
        <v>1</v>
      </c>
      <c r="AC389" s="1">
        <f t="shared" si="77"/>
        <v>1</v>
      </c>
      <c r="AD389" s="1">
        <f t="shared" si="78"/>
        <v>1</v>
      </c>
      <c r="AE389" s="1">
        <f t="shared" si="79"/>
        <v>1</v>
      </c>
      <c r="AF389" s="1">
        <f t="shared" si="80"/>
        <v>1</v>
      </c>
      <c r="AG389" s="1">
        <f t="shared" si="81"/>
        <v>0</v>
      </c>
      <c r="AH389" s="1">
        <f t="shared" si="82"/>
        <v>1</v>
      </c>
      <c r="AI389" s="1">
        <f t="shared" si="83"/>
        <v>1</v>
      </c>
      <c r="AJ389" s="1">
        <f>SUMXMY2(Z389:AI389, Occurrence!B$3:K$3)</f>
        <v>4</v>
      </c>
      <c r="AK389" s="1">
        <f t="shared" si="84"/>
        <v>6</v>
      </c>
    </row>
    <row r="390" spans="1:37">
      <c r="A390" s="1">
        <v>389</v>
      </c>
      <c r="B390" s="1">
        <v>4252388</v>
      </c>
      <c r="C390" s="6" t="s">
        <v>36</v>
      </c>
      <c r="D390" s="1">
        <v>0.25</v>
      </c>
      <c r="E390" s="1">
        <v>0.15</v>
      </c>
      <c r="F390" s="1">
        <v>0.75</v>
      </c>
      <c r="G390" s="1">
        <v>0.83</v>
      </c>
      <c r="H390" s="1">
        <v>0.4</v>
      </c>
      <c r="I390" s="1">
        <v>0.2</v>
      </c>
      <c r="J390" s="1">
        <v>0.03</v>
      </c>
      <c r="K390" s="1">
        <v>0.8</v>
      </c>
      <c r="L390" s="1">
        <v>0.2</v>
      </c>
      <c r="M390" s="1">
        <v>0.65</v>
      </c>
      <c r="N390" s="1">
        <f>(Occurrence!B$3-D390)^2</f>
        <v>6.25E-2</v>
      </c>
      <c r="O390" s="1">
        <f>(Occurrence!C$3-E390)^2</f>
        <v>2.2499999999999999E-2</v>
      </c>
      <c r="P390" s="1">
        <f>(Occurrence!D$3-F390)^2</f>
        <v>6.25E-2</v>
      </c>
      <c r="Q390" s="1">
        <f>(Occurrence!E$3-G390)^2</f>
        <v>2.8900000000000012E-2</v>
      </c>
      <c r="R390" s="1">
        <f>(Occurrence!F$3-H390)^2</f>
        <v>0.16000000000000003</v>
      </c>
      <c r="S390" s="1">
        <f>(Occurrence!G$3-I390)^2</f>
        <v>4.0000000000000008E-2</v>
      </c>
      <c r="T390" s="1">
        <f>(Occurrence!H$3-J390)^2</f>
        <v>0.94089999999999996</v>
      </c>
      <c r="U390" s="1">
        <f>(Occurrence!I$3-K390)^2</f>
        <v>3.999999999999998E-2</v>
      </c>
      <c r="V390" s="1">
        <f>(Occurrence!J$3-L390)^2</f>
        <v>4.0000000000000008E-2</v>
      </c>
      <c r="W390" s="1">
        <f>(Occurrence!K$3-M390)^2</f>
        <v>0.12249999999999998</v>
      </c>
      <c r="X390" s="1">
        <f t="shared" si="73"/>
        <v>1.5198</v>
      </c>
      <c r="Z390" s="1">
        <f t="shared" si="74"/>
        <v>0</v>
      </c>
      <c r="AA390" s="1">
        <f t="shared" si="75"/>
        <v>0</v>
      </c>
      <c r="AB390" s="1">
        <f t="shared" si="76"/>
        <v>1</v>
      </c>
      <c r="AC390" s="1">
        <f t="shared" si="77"/>
        <v>1</v>
      </c>
      <c r="AD390" s="1">
        <f t="shared" si="78"/>
        <v>0</v>
      </c>
      <c r="AE390" s="1">
        <f t="shared" si="79"/>
        <v>0</v>
      </c>
      <c r="AF390" s="1">
        <f t="shared" si="80"/>
        <v>0</v>
      </c>
      <c r="AG390" s="1">
        <f t="shared" si="81"/>
        <v>1</v>
      </c>
      <c r="AH390" s="1">
        <f t="shared" si="82"/>
        <v>0</v>
      </c>
      <c r="AI390" s="1">
        <f t="shared" si="83"/>
        <v>1</v>
      </c>
      <c r="AJ390" s="1">
        <f>SUMXMY2(Z390:AI390, Occurrence!B$3:K$3)</f>
        <v>1</v>
      </c>
      <c r="AK390" s="1">
        <f t="shared" si="84"/>
        <v>9</v>
      </c>
    </row>
    <row r="391" spans="1:37">
      <c r="A391" s="1">
        <v>390</v>
      </c>
      <c r="B391" s="1">
        <v>4252389</v>
      </c>
      <c r="C391" s="6" t="s">
        <v>36</v>
      </c>
      <c r="D391" s="1">
        <v>0.4</v>
      </c>
      <c r="E391" s="1">
        <v>0.35</v>
      </c>
      <c r="F391" s="1">
        <v>0.5</v>
      </c>
      <c r="G391" s="1">
        <v>0.6</v>
      </c>
      <c r="H391" s="1">
        <v>0.1</v>
      </c>
      <c r="I391" s="1">
        <v>0.1</v>
      </c>
      <c r="J391" s="1">
        <v>0.02</v>
      </c>
      <c r="K391" s="1">
        <v>0.89</v>
      </c>
      <c r="L391" s="1">
        <v>0.12</v>
      </c>
      <c r="M391" s="1">
        <v>0.56000000000000005</v>
      </c>
      <c r="N391" s="1">
        <f>(Occurrence!B$3-D391)^2</f>
        <v>0.16000000000000003</v>
      </c>
      <c r="O391" s="1">
        <f>(Occurrence!C$3-E391)^2</f>
        <v>0.12249999999999998</v>
      </c>
      <c r="P391" s="1">
        <f>(Occurrence!D$3-F391)^2</f>
        <v>0.25</v>
      </c>
      <c r="Q391" s="1">
        <f>(Occurrence!E$3-G391)^2</f>
        <v>0.16000000000000003</v>
      </c>
      <c r="R391" s="1">
        <f>(Occurrence!F$3-H391)^2</f>
        <v>1.0000000000000002E-2</v>
      </c>
      <c r="S391" s="1">
        <f>(Occurrence!G$3-I391)^2</f>
        <v>1.0000000000000002E-2</v>
      </c>
      <c r="T391" s="1">
        <f>(Occurrence!H$3-J391)^2</f>
        <v>0.96039999999999992</v>
      </c>
      <c r="U391" s="1">
        <f>(Occurrence!I$3-K391)^2</f>
        <v>1.2099999999999998E-2</v>
      </c>
      <c r="V391" s="1">
        <f>(Occurrence!J$3-L391)^2</f>
        <v>1.44E-2</v>
      </c>
      <c r="W391" s="1">
        <f>(Occurrence!K$3-M391)^2</f>
        <v>0.19359999999999997</v>
      </c>
      <c r="X391" s="1">
        <f t="shared" si="73"/>
        <v>1.8929999999999998</v>
      </c>
      <c r="Z391" s="1">
        <f t="shared" si="74"/>
        <v>0</v>
      </c>
      <c r="AA391" s="1">
        <f t="shared" si="75"/>
        <v>0</v>
      </c>
      <c r="AB391" s="1">
        <f t="shared" si="76"/>
        <v>1</v>
      </c>
      <c r="AC391" s="1">
        <f t="shared" si="77"/>
        <v>1</v>
      </c>
      <c r="AD391" s="1">
        <f t="shared" si="78"/>
        <v>0</v>
      </c>
      <c r="AE391" s="1">
        <f t="shared" si="79"/>
        <v>0</v>
      </c>
      <c r="AF391" s="1">
        <f t="shared" si="80"/>
        <v>0</v>
      </c>
      <c r="AG391" s="1">
        <f t="shared" si="81"/>
        <v>1</v>
      </c>
      <c r="AH391" s="1">
        <f t="shared" si="82"/>
        <v>0</v>
      </c>
      <c r="AI391" s="1">
        <f t="shared" si="83"/>
        <v>1</v>
      </c>
      <c r="AJ391" s="1">
        <f>SUMXMY2(Z391:AI391, Occurrence!B$3:K$3)</f>
        <v>1</v>
      </c>
      <c r="AK391" s="1">
        <f t="shared" si="84"/>
        <v>9</v>
      </c>
    </row>
    <row r="392" spans="1:37">
      <c r="A392" s="1">
        <v>391</v>
      </c>
      <c r="B392" s="1">
        <v>4252390</v>
      </c>
      <c r="C392" s="6" t="s">
        <v>36</v>
      </c>
      <c r="D392" s="1">
        <v>0.2</v>
      </c>
      <c r="E392" s="1">
        <v>0.05</v>
      </c>
      <c r="F392" s="1">
        <v>0.4</v>
      </c>
      <c r="G392" s="1">
        <v>0.03</v>
      </c>
      <c r="H392" s="1">
        <v>0.1</v>
      </c>
      <c r="I392" s="1">
        <v>0.3</v>
      </c>
      <c r="J392" s="1">
        <v>0.1</v>
      </c>
      <c r="K392" s="1">
        <v>0.44</v>
      </c>
      <c r="L392" s="1">
        <v>7.0000000000000007E-2</v>
      </c>
      <c r="M392" s="1">
        <v>0.39</v>
      </c>
      <c r="N392" s="1">
        <f>(Occurrence!B$3-D392)^2</f>
        <v>4.0000000000000008E-2</v>
      </c>
      <c r="O392" s="1">
        <f>(Occurrence!C$3-E392)^2</f>
        <v>2.5000000000000005E-3</v>
      </c>
      <c r="P392" s="1">
        <f>(Occurrence!D$3-F392)^2</f>
        <v>0.36</v>
      </c>
      <c r="Q392" s="1">
        <f>(Occurrence!E$3-G392)^2</f>
        <v>0.94089999999999996</v>
      </c>
      <c r="R392" s="1">
        <f>(Occurrence!F$3-H392)^2</f>
        <v>1.0000000000000002E-2</v>
      </c>
      <c r="S392" s="1">
        <f>(Occurrence!G$3-I392)^2</f>
        <v>0.09</v>
      </c>
      <c r="T392" s="1">
        <f>(Occurrence!H$3-J392)^2</f>
        <v>0.81</v>
      </c>
      <c r="U392" s="1">
        <f>(Occurrence!I$3-K392)^2</f>
        <v>0.31360000000000005</v>
      </c>
      <c r="V392" s="1">
        <f>(Occurrence!J$3-L392)^2</f>
        <v>4.9000000000000007E-3</v>
      </c>
      <c r="W392" s="1">
        <f>(Occurrence!K$3-M392)^2</f>
        <v>0.37209999999999999</v>
      </c>
      <c r="X392" s="1">
        <f t="shared" si="73"/>
        <v>2.9440000000000004</v>
      </c>
      <c r="Z392" s="1">
        <f t="shared" si="74"/>
        <v>0</v>
      </c>
      <c r="AA392" s="1">
        <f t="shared" si="75"/>
        <v>0</v>
      </c>
      <c r="AB392" s="1">
        <f t="shared" si="76"/>
        <v>0</v>
      </c>
      <c r="AC392" s="1">
        <f t="shared" si="77"/>
        <v>0</v>
      </c>
      <c r="AD392" s="1">
        <f t="shared" si="78"/>
        <v>0</v>
      </c>
      <c r="AE392" s="1">
        <f t="shared" si="79"/>
        <v>0</v>
      </c>
      <c r="AF392" s="1">
        <f t="shared" si="80"/>
        <v>0</v>
      </c>
      <c r="AG392" s="1">
        <f t="shared" si="81"/>
        <v>0</v>
      </c>
      <c r="AH392" s="1">
        <f t="shared" si="82"/>
        <v>0</v>
      </c>
      <c r="AI392" s="1">
        <f t="shared" si="83"/>
        <v>0</v>
      </c>
      <c r="AJ392" s="1">
        <f>SUMXMY2(Z392:AI392, Occurrence!B$3:K$3)</f>
        <v>5</v>
      </c>
      <c r="AK392" s="1">
        <f t="shared" si="84"/>
        <v>5</v>
      </c>
    </row>
    <row r="393" spans="1:37">
      <c r="A393" s="1">
        <v>392</v>
      </c>
      <c r="B393" s="1">
        <v>4252391</v>
      </c>
      <c r="C393" s="6" t="s">
        <v>36</v>
      </c>
      <c r="D393" s="1">
        <v>0.65269999999999995</v>
      </c>
      <c r="E393" s="1">
        <v>0.2341</v>
      </c>
      <c r="F393" s="1">
        <v>0.45319999999999999</v>
      </c>
      <c r="G393" s="1">
        <v>0.36509999999999998</v>
      </c>
      <c r="H393" s="1">
        <v>0.65210000000000001</v>
      </c>
      <c r="I393" s="1">
        <v>0.76449999999999996</v>
      </c>
      <c r="J393" s="1">
        <v>0.3392</v>
      </c>
      <c r="K393" s="1">
        <v>0.3821</v>
      </c>
      <c r="L393" s="1">
        <v>0.87929999999999997</v>
      </c>
      <c r="M393" s="1">
        <v>0.74229999999999996</v>
      </c>
      <c r="N393" s="1">
        <f>(Occurrence!B$3-D393)^2</f>
        <v>0.42601728999999994</v>
      </c>
      <c r="O393" s="1">
        <f>(Occurrence!C$3-E393)^2</f>
        <v>5.480281E-2</v>
      </c>
      <c r="P393" s="1">
        <f>(Occurrence!D$3-F393)^2</f>
        <v>0.29899023999999996</v>
      </c>
      <c r="Q393" s="1">
        <f>(Occurrence!E$3-G393)^2</f>
        <v>0.40309801000000001</v>
      </c>
      <c r="R393" s="1">
        <f>(Occurrence!F$3-H393)^2</f>
        <v>0.42523441000000001</v>
      </c>
      <c r="S393" s="1">
        <f>(Occurrence!G$3-I393)^2</f>
        <v>0.5844602499999999</v>
      </c>
      <c r="T393" s="1">
        <f>(Occurrence!H$3-J393)^2</f>
        <v>0.4366566400000001</v>
      </c>
      <c r="U393" s="1">
        <f>(Occurrence!I$3-K393)^2</f>
        <v>0.38180040999999998</v>
      </c>
      <c r="V393" s="1">
        <f>(Occurrence!J$3-L393)^2</f>
        <v>0.77316848999999999</v>
      </c>
      <c r="W393" s="1">
        <f>(Occurrence!K$3-M393)^2</f>
        <v>6.6409290000000024E-2</v>
      </c>
      <c r="X393" s="1">
        <f t="shared" si="73"/>
        <v>3.8506378400000001</v>
      </c>
      <c r="Z393" s="1">
        <f t="shared" si="74"/>
        <v>1</v>
      </c>
      <c r="AA393" s="1">
        <f t="shared" si="75"/>
        <v>0</v>
      </c>
      <c r="AB393" s="1">
        <f t="shared" si="76"/>
        <v>0</v>
      </c>
      <c r="AC393" s="1">
        <f t="shared" si="77"/>
        <v>0</v>
      </c>
      <c r="AD393" s="1">
        <f t="shared" si="78"/>
        <v>1</v>
      </c>
      <c r="AE393" s="1">
        <f t="shared" si="79"/>
        <v>1</v>
      </c>
      <c r="AF393" s="1">
        <f t="shared" si="80"/>
        <v>0</v>
      </c>
      <c r="AG393" s="1">
        <f t="shared" si="81"/>
        <v>0</v>
      </c>
      <c r="AH393" s="1">
        <f t="shared" si="82"/>
        <v>1</v>
      </c>
      <c r="AI393" s="1">
        <f t="shared" si="83"/>
        <v>1</v>
      </c>
      <c r="AJ393" s="1">
        <f>SUMXMY2(Z393:AI393, Occurrence!B$3:K$3)</f>
        <v>8</v>
      </c>
      <c r="AK393" s="1">
        <f t="shared" si="84"/>
        <v>2</v>
      </c>
    </row>
    <row r="394" spans="1:37">
      <c r="A394" s="1">
        <v>393</v>
      </c>
      <c r="B394" s="1">
        <v>4252392</v>
      </c>
      <c r="C394" s="6" t="s">
        <v>36</v>
      </c>
      <c r="D394" s="1">
        <v>5.0000000000000001E-3</v>
      </c>
      <c r="E394" s="1">
        <v>0.6</v>
      </c>
      <c r="F394" s="1">
        <v>0.25</v>
      </c>
      <c r="G394" s="1">
        <v>0.33</v>
      </c>
      <c r="H394" s="1">
        <v>0.24</v>
      </c>
      <c r="I394" s="1">
        <v>0.75</v>
      </c>
      <c r="J394" s="1">
        <v>0.04</v>
      </c>
      <c r="K394" s="1">
        <v>0.95</v>
      </c>
      <c r="L394" s="1">
        <v>0.05</v>
      </c>
      <c r="M394" s="1">
        <v>0.23</v>
      </c>
      <c r="N394" s="1">
        <f>(Occurrence!B$3-D394)^2</f>
        <v>2.5000000000000001E-5</v>
      </c>
      <c r="O394" s="1">
        <f>(Occurrence!C$3-E394)^2</f>
        <v>0.36</v>
      </c>
      <c r="P394" s="1">
        <f>(Occurrence!D$3-F394)^2</f>
        <v>0.5625</v>
      </c>
      <c r="Q394" s="1">
        <f>(Occurrence!E$3-G394)^2</f>
        <v>0.44889999999999991</v>
      </c>
      <c r="R394" s="1">
        <f>(Occurrence!F$3-H394)^2</f>
        <v>5.7599999999999998E-2</v>
      </c>
      <c r="S394" s="1">
        <f>(Occurrence!G$3-I394)^2</f>
        <v>0.5625</v>
      </c>
      <c r="T394" s="1">
        <f>(Occurrence!H$3-J394)^2</f>
        <v>0.92159999999999997</v>
      </c>
      <c r="U394" s="1">
        <f>(Occurrence!I$3-K394)^2</f>
        <v>2.5000000000000044E-3</v>
      </c>
      <c r="V394" s="1">
        <f>(Occurrence!J$3-L394)^2</f>
        <v>2.5000000000000005E-3</v>
      </c>
      <c r="W394" s="1">
        <f>(Occurrence!K$3-M394)^2</f>
        <v>0.59289999999999998</v>
      </c>
      <c r="X394" s="1">
        <f t="shared" si="73"/>
        <v>3.5110250000000001</v>
      </c>
      <c r="Z394" s="1">
        <f t="shared" si="74"/>
        <v>0</v>
      </c>
      <c r="AA394" s="1">
        <f t="shared" si="75"/>
        <v>1</v>
      </c>
      <c r="AB394" s="1">
        <f t="shared" si="76"/>
        <v>0</v>
      </c>
      <c r="AC394" s="1">
        <f t="shared" si="77"/>
        <v>0</v>
      </c>
      <c r="AD394" s="1">
        <f t="shared" si="78"/>
        <v>0</v>
      </c>
      <c r="AE394" s="1">
        <f t="shared" si="79"/>
        <v>1</v>
      </c>
      <c r="AF394" s="1">
        <f t="shared" si="80"/>
        <v>0</v>
      </c>
      <c r="AG394" s="1">
        <f t="shared" si="81"/>
        <v>1</v>
      </c>
      <c r="AH394" s="1">
        <f t="shared" si="82"/>
        <v>0</v>
      </c>
      <c r="AI394" s="1">
        <f t="shared" si="83"/>
        <v>0</v>
      </c>
      <c r="AJ394" s="1">
        <f>SUMXMY2(Z394:AI394, Occurrence!B$3:K$3)</f>
        <v>6</v>
      </c>
      <c r="AK394" s="1">
        <f t="shared" si="84"/>
        <v>4</v>
      </c>
    </row>
    <row r="395" spans="1:37">
      <c r="A395" s="1">
        <v>394</v>
      </c>
      <c r="B395" s="1">
        <v>4252393</v>
      </c>
      <c r="C395" s="6" t="s">
        <v>36</v>
      </c>
      <c r="D395" s="1">
        <v>0.47</v>
      </c>
      <c r="E395" s="1">
        <v>0.75</v>
      </c>
      <c r="F395" s="1">
        <v>0.12</v>
      </c>
      <c r="G395" s="1">
        <v>0.25</v>
      </c>
      <c r="H395" s="1">
        <v>0.41</v>
      </c>
      <c r="I395" s="1">
        <v>0.89</v>
      </c>
      <c r="J395" s="1">
        <v>0.67</v>
      </c>
      <c r="K395" s="1">
        <v>0.7</v>
      </c>
      <c r="L395" s="1">
        <v>0.46</v>
      </c>
      <c r="M395" s="1">
        <v>0.85</v>
      </c>
      <c r="N395" s="1">
        <f>(Occurrence!B$3-D395)^2</f>
        <v>0.22089999999999999</v>
      </c>
      <c r="O395" s="1">
        <f>(Occurrence!C$3-E395)^2</f>
        <v>0.5625</v>
      </c>
      <c r="P395" s="1">
        <f>(Occurrence!D$3-F395)^2</f>
        <v>0.77439999999999998</v>
      </c>
      <c r="Q395" s="1">
        <f>(Occurrence!E$3-G395)^2</f>
        <v>0.5625</v>
      </c>
      <c r="R395" s="1">
        <f>(Occurrence!F$3-H395)^2</f>
        <v>0.16809999999999997</v>
      </c>
      <c r="S395" s="1">
        <f>(Occurrence!G$3-I395)^2</f>
        <v>0.79210000000000003</v>
      </c>
      <c r="T395" s="1">
        <f>(Occurrence!H$3-J395)^2</f>
        <v>0.10889999999999997</v>
      </c>
      <c r="U395" s="1">
        <f>(Occurrence!I$3-K395)^2</f>
        <v>9.0000000000000024E-2</v>
      </c>
      <c r="V395" s="1">
        <f>(Occurrence!J$3-L395)^2</f>
        <v>0.21160000000000001</v>
      </c>
      <c r="W395" s="1">
        <f>(Occurrence!K$3-M395)^2</f>
        <v>2.2500000000000006E-2</v>
      </c>
      <c r="X395" s="1">
        <f t="shared" si="73"/>
        <v>3.5134999999999996</v>
      </c>
      <c r="Z395" s="1">
        <f t="shared" si="74"/>
        <v>0</v>
      </c>
      <c r="AA395" s="1">
        <f t="shared" si="75"/>
        <v>1</v>
      </c>
      <c r="AB395" s="1">
        <f t="shared" si="76"/>
        <v>0</v>
      </c>
      <c r="AC395" s="1">
        <f t="shared" si="77"/>
        <v>0</v>
      </c>
      <c r="AD395" s="1">
        <f t="shared" si="78"/>
        <v>0</v>
      </c>
      <c r="AE395" s="1">
        <f t="shared" si="79"/>
        <v>1</v>
      </c>
      <c r="AF395" s="1">
        <f t="shared" si="80"/>
        <v>1</v>
      </c>
      <c r="AG395" s="1">
        <f t="shared" si="81"/>
        <v>1</v>
      </c>
      <c r="AH395" s="1">
        <f t="shared" si="82"/>
        <v>0</v>
      </c>
      <c r="AI395" s="1">
        <f t="shared" si="83"/>
        <v>1</v>
      </c>
      <c r="AJ395" s="1">
        <f>SUMXMY2(Z395:AI395, Occurrence!B$3:K$3)</f>
        <v>4</v>
      </c>
      <c r="AK395" s="1">
        <f t="shared" si="84"/>
        <v>6</v>
      </c>
    </row>
    <row r="396" spans="1:37">
      <c r="A396" s="1">
        <v>395</v>
      </c>
      <c r="B396" s="1">
        <v>4252394</v>
      </c>
      <c r="C396" s="6" t="s">
        <v>36</v>
      </c>
      <c r="D396" s="1">
        <v>0.3</v>
      </c>
      <c r="E396" s="1">
        <v>0.45</v>
      </c>
      <c r="F396" s="1">
        <v>0.4</v>
      </c>
      <c r="G396" s="1">
        <v>0.55000000000000004</v>
      </c>
      <c r="H396" s="1">
        <v>0.3</v>
      </c>
      <c r="I396" s="1">
        <v>0.4</v>
      </c>
      <c r="J396" s="1">
        <v>0.95</v>
      </c>
      <c r="K396" s="1">
        <v>0.67</v>
      </c>
      <c r="L396" s="1">
        <v>0.35</v>
      </c>
      <c r="M396" s="1">
        <v>0.75</v>
      </c>
      <c r="N396" s="1">
        <f>(Occurrence!B$3-D396)^2</f>
        <v>0.09</v>
      </c>
      <c r="O396" s="1">
        <f>(Occurrence!C$3-E396)^2</f>
        <v>0.20250000000000001</v>
      </c>
      <c r="P396" s="1">
        <f>(Occurrence!D$3-F396)^2</f>
        <v>0.36</v>
      </c>
      <c r="Q396" s="1">
        <f>(Occurrence!E$3-G396)^2</f>
        <v>0.20249999999999996</v>
      </c>
      <c r="R396" s="1">
        <f>(Occurrence!F$3-H396)^2</f>
        <v>0.09</v>
      </c>
      <c r="S396" s="1">
        <f>(Occurrence!G$3-I396)^2</f>
        <v>0.16000000000000003</v>
      </c>
      <c r="T396" s="1">
        <f>(Occurrence!H$3-J396)^2</f>
        <v>2.5000000000000044E-3</v>
      </c>
      <c r="U396" s="1">
        <f>(Occurrence!I$3-K396)^2</f>
        <v>0.10889999999999997</v>
      </c>
      <c r="V396" s="1">
        <f>(Occurrence!J$3-L396)^2</f>
        <v>0.12249999999999998</v>
      </c>
      <c r="W396" s="1">
        <f>(Occurrence!K$3-M396)^2</f>
        <v>6.25E-2</v>
      </c>
      <c r="X396" s="1">
        <f t="shared" si="73"/>
        <v>1.4014</v>
      </c>
      <c r="Z396" s="1">
        <f t="shared" si="74"/>
        <v>0</v>
      </c>
      <c r="AA396" s="1">
        <f t="shared" si="75"/>
        <v>0</v>
      </c>
      <c r="AB396" s="1">
        <f t="shared" si="76"/>
        <v>0</v>
      </c>
      <c r="AC396" s="1">
        <f t="shared" si="77"/>
        <v>1</v>
      </c>
      <c r="AD396" s="1">
        <f t="shared" si="78"/>
        <v>0</v>
      </c>
      <c r="AE396" s="1">
        <f t="shared" si="79"/>
        <v>0</v>
      </c>
      <c r="AF396" s="1">
        <f t="shared" si="80"/>
        <v>1</v>
      </c>
      <c r="AG396" s="1">
        <f t="shared" si="81"/>
        <v>1</v>
      </c>
      <c r="AH396" s="1">
        <f t="shared" si="82"/>
        <v>0</v>
      </c>
      <c r="AI396" s="1">
        <f t="shared" si="83"/>
        <v>1</v>
      </c>
      <c r="AJ396" s="1">
        <f>SUMXMY2(Z396:AI396, Occurrence!B$3:K$3)</f>
        <v>1</v>
      </c>
      <c r="AK396" s="1">
        <f t="shared" si="84"/>
        <v>9</v>
      </c>
    </row>
    <row r="397" spans="1:37">
      <c r="A397" s="1">
        <v>396</v>
      </c>
      <c r="B397" s="1">
        <v>4252395</v>
      </c>
      <c r="C397" s="6" t="s">
        <v>36</v>
      </c>
      <c r="D397" s="1">
        <v>0.2</v>
      </c>
      <c r="E397" s="1">
        <v>0.35</v>
      </c>
      <c r="F397" s="1">
        <v>0.8</v>
      </c>
      <c r="G397" s="1">
        <v>0.9</v>
      </c>
      <c r="H397" s="1">
        <v>0.95</v>
      </c>
      <c r="I397" s="1">
        <v>0.4</v>
      </c>
      <c r="J397" s="1">
        <v>1E-3</v>
      </c>
      <c r="K397" s="1">
        <v>0.75</v>
      </c>
      <c r="L397" s="1">
        <v>0.8</v>
      </c>
      <c r="M397" s="1">
        <v>0.6</v>
      </c>
      <c r="N397" s="1">
        <f>(Occurrence!B$3-D397)^2</f>
        <v>4.0000000000000008E-2</v>
      </c>
      <c r="O397" s="1">
        <f>(Occurrence!C$3-E397)^2</f>
        <v>0.12249999999999998</v>
      </c>
      <c r="P397" s="1">
        <f>(Occurrence!D$3-F397)^2</f>
        <v>3.999999999999998E-2</v>
      </c>
      <c r="Q397" s="1">
        <f>(Occurrence!E$3-G397)^2</f>
        <v>9.999999999999995E-3</v>
      </c>
      <c r="R397" s="1">
        <f>(Occurrence!F$3-H397)^2</f>
        <v>0.90249999999999997</v>
      </c>
      <c r="S397" s="1">
        <f>(Occurrence!G$3-I397)^2</f>
        <v>0.16000000000000003</v>
      </c>
      <c r="T397" s="1">
        <f>(Occurrence!H$3-J397)^2</f>
        <v>0.99800100000000003</v>
      </c>
      <c r="U397" s="1">
        <f>(Occurrence!I$3-K397)^2</f>
        <v>6.25E-2</v>
      </c>
      <c r="V397" s="1">
        <f>(Occurrence!J$3-L397)^2</f>
        <v>0.64000000000000012</v>
      </c>
      <c r="W397" s="1">
        <f>(Occurrence!K$3-M397)^2</f>
        <v>0.16000000000000003</v>
      </c>
      <c r="X397" s="1">
        <f t="shared" si="73"/>
        <v>3.1355010000000001</v>
      </c>
      <c r="Z397" s="1">
        <f t="shared" si="74"/>
        <v>0</v>
      </c>
      <c r="AA397" s="1">
        <f t="shared" si="75"/>
        <v>0</v>
      </c>
      <c r="AB397" s="1">
        <f t="shared" si="76"/>
        <v>1</v>
      </c>
      <c r="AC397" s="1">
        <f t="shared" si="77"/>
        <v>1</v>
      </c>
      <c r="AD397" s="1">
        <f t="shared" si="78"/>
        <v>1</v>
      </c>
      <c r="AE397" s="1">
        <f t="shared" si="79"/>
        <v>0</v>
      </c>
      <c r="AF397" s="1">
        <f t="shared" si="80"/>
        <v>0</v>
      </c>
      <c r="AG397" s="1">
        <f t="shared" si="81"/>
        <v>1</v>
      </c>
      <c r="AH397" s="1">
        <f t="shared" si="82"/>
        <v>1</v>
      </c>
      <c r="AI397" s="1">
        <f t="shared" si="83"/>
        <v>1</v>
      </c>
      <c r="AJ397" s="1">
        <f>SUMXMY2(Z397:AI397, Occurrence!B$3:K$3)</f>
        <v>3</v>
      </c>
      <c r="AK397" s="1">
        <f t="shared" si="84"/>
        <v>7</v>
      </c>
    </row>
    <row r="398" spans="1:37">
      <c r="A398" s="1">
        <v>397</v>
      </c>
      <c r="B398" s="1">
        <v>4252396</v>
      </c>
      <c r="C398" s="6" t="s">
        <v>36</v>
      </c>
      <c r="D398" s="1">
        <v>0.05</v>
      </c>
      <c r="E398" s="1">
        <v>0.1</v>
      </c>
      <c r="F398" s="1">
        <v>0.85</v>
      </c>
      <c r="G398" s="1">
        <v>0.9</v>
      </c>
      <c r="H398" s="1">
        <v>0.2</v>
      </c>
      <c r="I398" s="1">
        <v>0.25</v>
      </c>
      <c r="J398" s="1">
        <v>0.4</v>
      </c>
      <c r="K398" s="1">
        <v>0.8</v>
      </c>
      <c r="L398" s="1">
        <v>0.95</v>
      </c>
      <c r="M398" s="1">
        <v>0.5</v>
      </c>
      <c r="N398" s="1">
        <f>(Occurrence!B$3-D398)^2</f>
        <v>2.5000000000000005E-3</v>
      </c>
      <c r="O398" s="1">
        <f>(Occurrence!C$3-E398)^2</f>
        <v>1.0000000000000002E-2</v>
      </c>
      <c r="P398" s="1">
        <f>(Occurrence!D$3-F398)^2</f>
        <v>2.2500000000000006E-2</v>
      </c>
      <c r="Q398" s="1">
        <f>(Occurrence!E$3-G398)^2</f>
        <v>9.999999999999995E-3</v>
      </c>
      <c r="R398" s="1">
        <f>(Occurrence!F$3-H398)^2</f>
        <v>4.0000000000000008E-2</v>
      </c>
      <c r="S398" s="1">
        <f>(Occurrence!G$3-I398)^2</f>
        <v>6.25E-2</v>
      </c>
      <c r="T398" s="1">
        <f>(Occurrence!H$3-J398)^2</f>
        <v>0.36</v>
      </c>
      <c r="U398" s="1">
        <f>(Occurrence!I$3-K398)^2</f>
        <v>3.999999999999998E-2</v>
      </c>
      <c r="V398" s="1">
        <f>(Occurrence!J$3-L398)^2</f>
        <v>0.90249999999999997</v>
      </c>
      <c r="W398" s="1">
        <f>(Occurrence!K$3-M398)^2</f>
        <v>0.25</v>
      </c>
      <c r="X398" s="1">
        <f t="shared" si="73"/>
        <v>1.7000000000000002</v>
      </c>
      <c r="Z398" s="1">
        <f t="shared" si="74"/>
        <v>0</v>
      </c>
      <c r="AA398" s="1">
        <f t="shared" si="75"/>
        <v>0</v>
      </c>
      <c r="AB398" s="1">
        <f t="shared" si="76"/>
        <v>1</v>
      </c>
      <c r="AC398" s="1">
        <f t="shared" si="77"/>
        <v>1</v>
      </c>
      <c r="AD398" s="1">
        <f t="shared" si="78"/>
        <v>0</v>
      </c>
      <c r="AE398" s="1">
        <f t="shared" si="79"/>
        <v>0</v>
      </c>
      <c r="AF398" s="1">
        <f t="shared" si="80"/>
        <v>0</v>
      </c>
      <c r="AG398" s="1">
        <f t="shared" si="81"/>
        <v>1</v>
      </c>
      <c r="AH398" s="1">
        <f t="shared" si="82"/>
        <v>1</v>
      </c>
      <c r="AI398" s="1">
        <f t="shared" si="83"/>
        <v>1</v>
      </c>
      <c r="AJ398" s="1">
        <f>SUMXMY2(Z398:AI398, Occurrence!B$3:K$3)</f>
        <v>2</v>
      </c>
      <c r="AK398" s="1">
        <f t="shared" si="84"/>
        <v>8</v>
      </c>
    </row>
    <row r="399" spans="1:37">
      <c r="A399" s="1">
        <v>398</v>
      </c>
      <c r="B399" s="1">
        <v>4252397</v>
      </c>
      <c r="C399" s="6" t="s">
        <v>36</v>
      </c>
      <c r="D399" s="1">
        <v>0.02</v>
      </c>
      <c r="E399" s="1">
        <v>0.05</v>
      </c>
      <c r="F399" s="1">
        <v>0.95</v>
      </c>
      <c r="G399" s="1">
        <v>0.99</v>
      </c>
      <c r="H399" s="1">
        <v>0.15</v>
      </c>
      <c r="I399" s="1">
        <v>0.1</v>
      </c>
      <c r="J399" s="1">
        <v>0.01</v>
      </c>
      <c r="K399" s="1">
        <v>0.95</v>
      </c>
      <c r="L399" s="1">
        <v>0.8</v>
      </c>
      <c r="M399" s="1">
        <v>0.9</v>
      </c>
      <c r="N399" s="1">
        <f>(Occurrence!B$3-D399)^2</f>
        <v>4.0000000000000002E-4</v>
      </c>
      <c r="O399" s="1">
        <f>(Occurrence!C$3-E399)^2</f>
        <v>2.5000000000000005E-3</v>
      </c>
      <c r="P399" s="1">
        <f>(Occurrence!D$3-F399)^2</f>
        <v>2.5000000000000044E-3</v>
      </c>
      <c r="Q399" s="1">
        <f>(Occurrence!E$3-G399)^2</f>
        <v>1.0000000000000018E-4</v>
      </c>
      <c r="R399" s="1">
        <f>(Occurrence!F$3-H399)^2</f>
        <v>2.2499999999999999E-2</v>
      </c>
      <c r="S399" s="1">
        <f>(Occurrence!G$3-I399)^2</f>
        <v>1.0000000000000002E-2</v>
      </c>
      <c r="T399" s="1">
        <f>(Occurrence!H$3-J399)^2</f>
        <v>0.98009999999999997</v>
      </c>
      <c r="U399" s="1">
        <f>(Occurrence!I$3-K399)^2</f>
        <v>2.5000000000000044E-3</v>
      </c>
      <c r="V399" s="1">
        <f>(Occurrence!J$3-L399)^2</f>
        <v>0.64000000000000012</v>
      </c>
      <c r="W399" s="1">
        <f>(Occurrence!K$3-M399)^2</f>
        <v>9.999999999999995E-3</v>
      </c>
      <c r="X399" s="1">
        <f t="shared" si="73"/>
        <v>1.6706000000000001</v>
      </c>
      <c r="Z399" s="1">
        <f t="shared" si="74"/>
        <v>0</v>
      </c>
      <c r="AA399" s="1">
        <f t="shared" si="75"/>
        <v>0</v>
      </c>
      <c r="AB399" s="1">
        <f t="shared" si="76"/>
        <v>1</v>
      </c>
      <c r="AC399" s="1">
        <f t="shared" si="77"/>
        <v>1</v>
      </c>
      <c r="AD399" s="1">
        <f t="shared" si="78"/>
        <v>0</v>
      </c>
      <c r="AE399" s="1">
        <f t="shared" si="79"/>
        <v>0</v>
      </c>
      <c r="AF399" s="1">
        <f t="shared" si="80"/>
        <v>0</v>
      </c>
      <c r="AG399" s="1">
        <f t="shared" si="81"/>
        <v>1</v>
      </c>
      <c r="AH399" s="1">
        <f t="shared" si="82"/>
        <v>1</v>
      </c>
      <c r="AI399" s="1">
        <f t="shared" si="83"/>
        <v>1</v>
      </c>
      <c r="AJ399" s="1">
        <f>SUMXMY2(Z399:AI399, Occurrence!B$3:K$3)</f>
        <v>2</v>
      </c>
      <c r="AK399" s="1">
        <f t="shared" si="84"/>
        <v>8</v>
      </c>
    </row>
    <row r="400" spans="1:37">
      <c r="A400" s="1">
        <v>399</v>
      </c>
      <c r="B400" s="1">
        <v>4252398</v>
      </c>
      <c r="C400" s="6" t="s">
        <v>36</v>
      </c>
      <c r="D400" s="1">
        <v>0.33</v>
      </c>
      <c r="E400" s="1">
        <v>0.44</v>
      </c>
      <c r="F400" s="1">
        <v>0.52</v>
      </c>
      <c r="G400" s="1">
        <v>0.56000000000000005</v>
      </c>
      <c r="H400" s="1">
        <v>0.66</v>
      </c>
      <c r="I400" s="1">
        <v>0.6</v>
      </c>
      <c r="J400" s="1">
        <v>0.7</v>
      </c>
      <c r="K400" s="1">
        <v>0.67</v>
      </c>
      <c r="L400" s="1">
        <v>0.8</v>
      </c>
      <c r="M400" s="1">
        <v>0.77</v>
      </c>
      <c r="N400" s="1">
        <f>(Occurrence!B$3-D400)^2</f>
        <v>0.10890000000000001</v>
      </c>
      <c r="O400" s="1">
        <f>(Occurrence!C$3-E400)^2</f>
        <v>0.19359999999999999</v>
      </c>
      <c r="P400" s="1">
        <f>(Occurrence!D$3-F400)^2</f>
        <v>0.23039999999999999</v>
      </c>
      <c r="Q400" s="1">
        <f>(Occurrence!E$3-G400)^2</f>
        <v>0.19359999999999997</v>
      </c>
      <c r="R400" s="1">
        <f>(Occurrence!F$3-H400)^2</f>
        <v>0.43560000000000004</v>
      </c>
      <c r="S400" s="1">
        <f>(Occurrence!G$3-I400)^2</f>
        <v>0.36</v>
      </c>
      <c r="T400" s="1">
        <f>(Occurrence!H$3-J400)^2</f>
        <v>9.0000000000000024E-2</v>
      </c>
      <c r="U400" s="1">
        <f>(Occurrence!I$3-K400)^2</f>
        <v>0.10889999999999997</v>
      </c>
      <c r="V400" s="1">
        <f>(Occurrence!J$3-L400)^2</f>
        <v>0.64000000000000012</v>
      </c>
      <c r="W400" s="1">
        <f>(Occurrence!K$3-M400)^2</f>
        <v>5.2899999999999989E-2</v>
      </c>
      <c r="X400" s="1">
        <f t="shared" si="73"/>
        <v>2.4139000000000004</v>
      </c>
      <c r="Z400" s="1">
        <f t="shared" si="74"/>
        <v>0</v>
      </c>
      <c r="AA400" s="1">
        <f t="shared" si="75"/>
        <v>0</v>
      </c>
      <c r="AB400" s="1">
        <f t="shared" si="76"/>
        <v>1</v>
      </c>
      <c r="AC400" s="1">
        <f t="shared" si="77"/>
        <v>1</v>
      </c>
      <c r="AD400" s="1">
        <f t="shared" si="78"/>
        <v>1</v>
      </c>
      <c r="AE400" s="1">
        <f t="shared" si="79"/>
        <v>1</v>
      </c>
      <c r="AF400" s="1">
        <f t="shared" si="80"/>
        <v>1</v>
      </c>
      <c r="AG400" s="1">
        <f t="shared" si="81"/>
        <v>1</v>
      </c>
      <c r="AH400" s="1">
        <f t="shared" si="82"/>
        <v>1</v>
      </c>
      <c r="AI400" s="1">
        <f t="shared" si="83"/>
        <v>1</v>
      </c>
      <c r="AJ400" s="1">
        <f>SUMXMY2(Z400:AI400, Occurrence!B$3:K$3)</f>
        <v>3</v>
      </c>
      <c r="AK400" s="1">
        <f t="shared" si="84"/>
        <v>7</v>
      </c>
    </row>
    <row r="401" spans="1:37">
      <c r="A401" s="1">
        <v>400</v>
      </c>
      <c r="B401" s="1">
        <v>4252399</v>
      </c>
      <c r="C401" s="6" t="s">
        <v>36</v>
      </c>
      <c r="D401" s="1">
        <v>0.15</v>
      </c>
      <c r="E401" s="1">
        <v>0.22</v>
      </c>
      <c r="F401" s="1">
        <v>0.85</v>
      </c>
      <c r="G401" s="1">
        <v>0.98</v>
      </c>
      <c r="H401" s="1">
        <v>0.25</v>
      </c>
      <c r="I401" s="1">
        <v>0.2</v>
      </c>
      <c r="J401" s="1">
        <v>0.65</v>
      </c>
      <c r="K401" s="1">
        <v>0.86</v>
      </c>
      <c r="L401" s="1">
        <v>0.15</v>
      </c>
      <c r="M401" s="1">
        <v>0.2</v>
      </c>
      <c r="N401" s="1">
        <f>(Occurrence!B$3-D401)^2</f>
        <v>2.2499999999999999E-2</v>
      </c>
      <c r="O401" s="1">
        <f>(Occurrence!C$3-E401)^2</f>
        <v>4.8399999999999999E-2</v>
      </c>
      <c r="P401" s="1">
        <f>(Occurrence!D$3-F401)^2</f>
        <v>2.2500000000000006E-2</v>
      </c>
      <c r="Q401" s="1">
        <f>(Occurrence!E$3-G401)^2</f>
        <v>4.0000000000000072E-4</v>
      </c>
      <c r="R401" s="1">
        <f>(Occurrence!F$3-H401)^2</f>
        <v>6.25E-2</v>
      </c>
      <c r="S401" s="1">
        <f>(Occurrence!G$3-I401)^2</f>
        <v>4.0000000000000008E-2</v>
      </c>
      <c r="T401" s="1">
        <f>(Occurrence!H$3-J401)^2</f>
        <v>0.12249999999999998</v>
      </c>
      <c r="U401" s="1">
        <f>(Occurrence!I$3-K401)^2</f>
        <v>1.9600000000000003E-2</v>
      </c>
      <c r="V401" s="1">
        <f>(Occurrence!J$3-L401)^2</f>
        <v>2.2499999999999999E-2</v>
      </c>
      <c r="W401" s="1">
        <f>(Occurrence!K$3-M401)^2</f>
        <v>0.64000000000000012</v>
      </c>
      <c r="X401" s="1">
        <f t="shared" si="73"/>
        <v>1.0009000000000001</v>
      </c>
      <c r="Z401" s="1">
        <f t="shared" si="74"/>
        <v>0</v>
      </c>
      <c r="AA401" s="1">
        <f t="shared" si="75"/>
        <v>0</v>
      </c>
      <c r="AB401" s="1">
        <f t="shared" si="76"/>
        <v>1</v>
      </c>
      <c r="AC401" s="1">
        <f t="shared" si="77"/>
        <v>1</v>
      </c>
      <c r="AD401" s="1">
        <f t="shared" si="78"/>
        <v>0</v>
      </c>
      <c r="AE401" s="1">
        <f t="shared" si="79"/>
        <v>0</v>
      </c>
      <c r="AF401" s="1">
        <f t="shared" si="80"/>
        <v>1</v>
      </c>
      <c r="AG401" s="1">
        <f t="shared" si="81"/>
        <v>1</v>
      </c>
      <c r="AH401" s="1">
        <f t="shared" si="82"/>
        <v>0</v>
      </c>
      <c r="AI401" s="1">
        <f t="shared" si="83"/>
        <v>0</v>
      </c>
      <c r="AJ401" s="1">
        <f>SUMXMY2(Z401:AI401, Occurrence!B$3:K$3)</f>
        <v>1</v>
      </c>
      <c r="AK401" s="1">
        <f t="shared" si="84"/>
        <v>9</v>
      </c>
    </row>
    <row r="402" spans="1:37">
      <c r="A402" s="1">
        <v>401</v>
      </c>
      <c r="B402" s="1">
        <v>4252400</v>
      </c>
      <c r="C402" s="6" t="s">
        <v>36</v>
      </c>
      <c r="D402" s="1">
        <v>0.09</v>
      </c>
      <c r="E402" s="1">
        <v>0.21</v>
      </c>
      <c r="F402" s="1">
        <v>0.8</v>
      </c>
      <c r="G402" s="1">
        <v>0.98</v>
      </c>
      <c r="H402" s="1">
        <v>0.3</v>
      </c>
      <c r="I402" s="1">
        <v>0.5</v>
      </c>
      <c r="J402" s="1">
        <v>0.71</v>
      </c>
      <c r="K402" s="1">
        <v>0.86</v>
      </c>
      <c r="L402" s="1">
        <v>0.14000000000000001</v>
      </c>
      <c r="M402" s="1">
        <v>0.3</v>
      </c>
      <c r="N402" s="1">
        <f>(Occurrence!B$3-D402)^2</f>
        <v>8.0999999999999996E-3</v>
      </c>
      <c r="O402" s="1">
        <f>(Occurrence!C$3-E402)^2</f>
        <v>4.4099999999999993E-2</v>
      </c>
      <c r="P402" s="1">
        <f>(Occurrence!D$3-F402)^2</f>
        <v>3.999999999999998E-2</v>
      </c>
      <c r="Q402" s="1">
        <f>(Occurrence!E$3-G402)^2</f>
        <v>4.0000000000000072E-4</v>
      </c>
      <c r="R402" s="1">
        <f>(Occurrence!F$3-H402)^2</f>
        <v>0.09</v>
      </c>
      <c r="S402" s="1">
        <f>(Occurrence!G$3-I402)^2</f>
        <v>0.25</v>
      </c>
      <c r="T402" s="1">
        <f>(Occurrence!H$3-J402)^2</f>
        <v>8.4100000000000022E-2</v>
      </c>
      <c r="U402" s="1">
        <f>(Occurrence!I$3-K402)^2</f>
        <v>1.9600000000000003E-2</v>
      </c>
      <c r="V402" s="1">
        <f>(Occurrence!J$3-L402)^2</f>
        <v>1.9600000000000003E-2</v>
      </c>
      <c r="W402" s="1">
        <f>(Occurrence!K$3-M402)^2</f>
        <v>0.48999999999999994</v>
      </c>
      <c r="X402" s="1">
        <f t="shared" si="73"/>
        <v>1.0458999999999998</v>
      </c>
      <c r="Z402" s="1">
        <f t="shared" si="74"/>
        <v>0</v>
      </c>
      <c r="AA402" s="1">
        <f t="shared" si="75"/>
        <v>0</v>
      </c>
      <c r="AB402" s="1">
        <f t="shared" si="76"/>
        <v>1</v>
      </c>
      <c r="AC402" s="1">
        <f t="shared" si="77"/>
        <v>1</v>
      </c>
      <c r="AD402" s="1">
        <f t="shared" si="78"/>
        <v>0</v>
      </c>
      <c r="AE402" s="1">
        <f t="shared" si="79"/>
        <v>1</v>
      </c>
      <c r="AF402" s="1">
        <f t="shared" si="80"/>
        <v>1</v>
      </c>
      <c r="AG402" s="1">
        <f t="shared" si="81"/>
        <v>1</v>
      </c>
      <c r="AH402" s="1">
        <f t="shared" si="82"/>
        <v>0</v>
      </c>
      <c r="AI402" s="1">
        <f t="shared" si="83"/>
        <v>0</v>
      </c>
      <c r="AJ402" s="1">
        <f>SUMXMY2(Z402:AI402, Occurrence!B$3:K$3)</f>
        <v>2</v>
      </c>
      <c r="AK402" s="1">
        <f t="shared" si="84"/>
        <v>8</v>
      </c>
    </row>
    <row r="403" spans="1:37">
      <c r="A403" s="1">
        <v>402</v>
      </c>
      <c r="B403" s="1">
        <v>4252401</v>
      </c>
      <c r="C403" s="6" t="s">
        <v>36</v>
      </c>
      <c r="D403" s="1">
        <v>0.15</v>
      </c>
      <c r="E403" s="1">
        <v>0.25</v>
      </c>
      <c r="F403" s="1">
        <v>0.77</v>
      </c>
      <c r="G403" s="1">
        <v>0.98</v>
      </c>
      <c r="H403" s="1">
        <v>0.26</v>
      </c>
      <c r="I403" s="1">
        <v>0.65</v>
      </c>
      <c r="J403" s="1">
        <v>0.68</v>
      </c>
      <c r="K403" s="1">
        <v>0.84</v>
      </c>
      <c r="L403" s="1">
        <v>0.13</v>
      </c>
      <c r="M403" s="1">
        <v>0.2</v>
      </c>
      <c r="N403" s="1">
        <f>(Occurrence!B$3-D403)^2</f>
        <v>2.2499999999999999E-2</v>
      </c>
      <c r="O403" s="1">
        <f>(Occurrence!C$3-E403)^2</f>
        <v>6.25E-2</v>
      </c>
      <c r="P403" s="1">
        <f>(Occurrence!D$3-F403)^2</f>
        <v>5.2899999999999989E-2</v>
      </c>
      <c r="Q403" s="1">
        <f>(Occurrence!E$3-G403)^2</f>
        <v>4.0000000000000072E-4</v>
      </c>
      <c r="R403" s="1">
        <f>(Occurrence!F$3-H403)^2</f>
        <v>6.7600000000000007E-2</v>
      </c>
      <c r="S403" s="1">
        <f>(Occurrence!G$3-I403)^2</f>
        <v>0.42250000000000004</v>
      </c>
      <c r="T403" s="1">
        <f>(Occurrence!H$3-J403)^2</f>
        <v>0.10239999999999996</v>
      </c>
      <c r="U403" s="1">
        <f>(Occurrence!I$3-K403)^2</f>
        <v>2.5600000000000012E-2</v>
      </c>
      <c r="V403" s="1">
        <f>(Occurrence!J$3-L403)^2</f>
        <v>1.6900000000000002E-2</v>
      </c>
      <c r="W403" s="1">
        <f>(Occurrence!K$3-M403)^2</f>
        <v>0.64000000000000012</v>
      </c>
      <c r="X403" s="1">
        <f t="shared" si="73"/>
        <v>1.4133</v>
      </c>
      <c r="Z403" s="1">
        <f t="shared" si="74"/>
        <v>0</v>
      </c>
      <c r="AA403" s="1">
        <f t="shared" si="75"/>
        <v>0</v>
      </c>
      <c r="AB403" s="1">
        <f t="shared" si="76"/>
        <v>1</v>
      </c>
      <c r="AC403" s="1">
        <f t="shared" si="77"/>
        <v>1</v>
      </c>
      <c r="AD403" s="1">
        <f t="shared" si="78"/>
        <v>0</v>
      </c>
      <c r="AE403" s="1">
        <f t="shared" si="79"/>
        <v>1</v>
      </c>
      <c r="AF403" s="1">
        <f t="shared" si="80"/>
        <v>1</v>
      </c>
      <c r="AG403" s="1">
        <f t="shared" si="81"/>
        <v>1</v>
      </c>
      <c r="AH403" s="1">
        <f t="shared" si="82"/>
        <v>0</v>
      </c>
      <c r="AI403" s="1">
        <f t="shared" si="83"/>
        <v>0</v>
      </c>
      <c r="AJ403" s="1">
        <f>SUMXMY2(Z403:AI403, Occurrence!B$3:K$3)</f>
        <v>2</v>
      </c>
      <c r="AK403" s="1">
        <f t="shared" si="84"/>
        <v>8</v>
      </c>
    </row>
    <row r="404" spans="1:37">
      <c r="A404" s="1">
        <v>403</v>
      </c>
      <c r="B404" s="1">
        <v>4252402</v>
      </c>
      <c r="C404" s="6" t="s">
        <v>36</v>
      </c>
      <c r="D404" s="1">
        <v>0</v>
      </c>
      <c r="E404" s="1">
        <v>0</v>
      </c>
      <c r="F404" s="1">
        <v>0.26</v>
      </c>
      <c r="G404" s="1">
        <v>0.62</v>
      </c>
      <c r="H404" s="1">
        <v>0</v>
      </c>
      <c r="I404" s="1">
        <v>0.43</v>
      </c>
      <c r="J404" s="1">
        <v>0.19</v>
      </c>
      <c r="K404" s="1">
        <v>0.72</v>
      </c>
      <c r="L404" s="1">
        <v>0.68</v>
      </c>
      <c r="M404" s="1">
        <v>0.79</v>
      </c>
      <c r="N404" s="1">
        <f>(Occurrence!B$3-D404)^2</f>
        <v>0</v>
      </c>
      <c r="O404" s="1">
        <f>(Occurrence!C$3-E404)^2</f>
        <v>0</v>
      </c>
      <c r="P404" s="1">
        <f>(Occurrence!D$3-F404)^2</f>
        <v>0.54759999999999998</v>
      </c>
      <c r="Q404" s="1">
        <f>(Occurrence!E$3-G404)^2</f>
        <v>0.1444</v>
      </c>
      <c r="R404" s="1">
        <f>(Occurrence!F$3-H404)^2</f>
        <v>0</v>
      </c>
      <c r="S404" s="1">
        <f>(Occurrence!G$3-I404)^2</f>
        <v>0.18489999999999998</v>
      </c>
      <c r="T404" s="1">
        <f>(Occurrence!H$3-J404)^2</f>
        <v>0.65610000000000013</v>
      </c>
      <c r="U404" s="1">
        <f>(Occurrence!I$3-K404)^2</f>
        <v>7.8400000000000011E-2</v>
      </c>
      <c r="V404" s="1">
        <f>(Occurrence!J$3-L404)^2</f>
        <v>0.46240000000000009</v>
      </c>
      <c r="W404" s="1">
        <f>(Occurrence!K$3-M404)^2</f>
        <v>4.4099999999999986E-2</v>
      </c>
      <c r="X404" s="1">
        <f t="shared" si="73"/>
        <v>2.1178999999999997</v>
      </c>
      <c r="Z404" s="1">
        <f t="shared" si="74"/>
        <v>0</v>
      </c>
      <c r="AA404" s="1">
        <f t="shared" si="75"/>
        <v>0</v>
      </c>
      <c r="AB404" s="1">
        <f t="shared" si="76"/>
        <v>0</v>
      </c>
      <c r="AC404" s="1">
        <f t="shared" si="77"/>
        <v>1</v>
      </c>
      <c r="AD404" s="1">
        <f t="shared" si="78"/>
        <v>0</v>
      </c>
      <c r="AE404" s="1">
        <f t="shared" si="79"/>
        <v>0</v>
      </c>
      <c r="AF404" s="1">
        <f t="shared" si="80"/>
        <v>0</v>
      </c>
      <c r="AG404" s="1">
        <f t="shared" si="81"/>
        <v>1</v>
      </c>
      <c r="AH404" s="1">
        <f t="shared" si="82"/>
        <v>1</v>
      </c>
      <c r="AI404" s="1">
        <f t="shared" si="83"/>
        <v>1</v>
      </c>
      <c r="AJ404" s="1">
        <f>SUMXMY2(Z404:AI404, Occurrence!B$3:K$3)</f>
        <v>3</v>
      </c>
      <c r="AK404" s="1">
        <f t="shared" si="84"/>
        <v>7</v>
      </c>
    </row>
    <row r="405" spans="1:37">
      <c r="A405" s="1">
        <v>404</v>
      </c>
      <c r="B405" s="1">
        <v>4252403</v>
      </c>
      <c r="C405" s="6" t="s">
        <v>36</v>
      </c>
      <c r="D405" s="1">
        <v>0.41</v>
      </c>
      <c r="E405" s="1">
        <v>0.33</v>
      </c>
      <c r="F405" s="1">
        <v>0.59</v>
      </c>
      <c r="G405" s="1">
        <v>0.77</v>
      </c>
      <c r="H405" s="1">
        <v>0.48</v>
      </c>
      <c r="I405" s="1">
        <v>0.87</v>
      </c>
      <c r="J405" s="1">
        <v>0.32</v>
      </c>
      <c r="K405" s="1">
        <v>0.78</v>
      </c>
      <c r="L405" s="1">
        <v>0.45</v>
      </c>
      <c r="M405" s="1">
        <v>0.86</v>
      </c>
      <c r="N405" s="1">
        <f>(Occurrence!B$3-D405)^2</f>
        <v>0.16809999999999997</v>
      </c>
      <c r="O405" s="1">
        <f>(Occurrence!C$3-E405)^2</f>
        <v>0.10890000000000001</v>
      </c>
      <c r="P405" s="1">
        <f>(Occurrence!D$3-F405)^2</f>
        <v>0.16810000000000003</v>
      </c>
      <c r="Q405" s="1">
        <f>(Occurrence!E$3-G405)^2</f>
        <v>5.2899999999999989E-2</v>
      </c>
      <c r="R405" s="1">
        <f>(Occurrence!F$3-H405)^2</f>
        <v>0.23039999999999999</v>
      </c>
      <c r="S405" s="1">
        <f>(Occurrence!G$3-I405)^2</f>
        <v>0.75690000000000002</v>
      </c>
      <c r="T405" s="1">
        <f>(Occurrence!H$3-J405)^2</f>
        <v>0.46239999999999992</v>
      </c>
      <c r="U405" s="1">
        <f>(Occurrence!I$3-K405)^2</f>
        <v>4.8399999999999992E-2</v>
      </c>
      <c r="V405" s="1">
        <f>(Occurrence!J$3-L405)^2</f>
        <v>0.20250000000000001</v>
      </c>
      <c r="W405" s="1">
        <f>(Occurrence!K$3-M405)^2</f>
        <v>1.9600000000000003E-2</v>
      </c>
      <c r="X405" s="1">
        <f t="shared" si="73"/>
        <v>2.2181999999999999</v>
      </c>
      <c r="Z405" s="1">
        <f t="shared" si="74"/>
        <v>0</v>
      </c>
      <c r="AA405" s="1">
        <f t="shared" si="75"/>
        <v>0</v>
      </c>
      <c r="AB405" s="1">
        <f t="shared" si="76"/>
        <v>1</v>
      </c>
      <c r="AC405" s="1">
        <f t="shared" si="77"/>
        <v>1</v>
      </c>
      <c r="AD405" s="1">
        <f t="shared" si="78"/>
        <v>0</v>
      </c>
      <c r="AE405" s="1">
        <f t="shared" si="79"/>
        <v>1</v>
      </c>
      <c r="AF405" s="1">
        <f t="shared" si="80"/>
        <v>0</v>
      </c>
      <c r="AG405" s="1">
        <f t="shared" si="81"/>
        <v>1</v>
      </c>
      <c r="AH405" s="1">
        <f t="shared" si="82"/>
        <v>0</v>
      </c>
      <c r="AI405" s="1">
        <f t="shared" si="83"/>
        <v>1</v>
      </c>
      <c r="AJ405" s="1">
        <f>SUMXMY2(Z405:AI405, Occurrence!B$3:K$3)</f>
        <v>2</v>
      </c>
      <c r="AK405" s="1">
        <f t="shared" si="84"/>
        <v>8</v>
      </c>
    </row>
    <row r="406" spans="1:37">
      <c r="A406" s="1">
        <v>405</v>
      </c>
      <c r="B406" s="1">
        <v>4252404</v>
      </c>
      <c r="C406" s="6" t="s">
        <v>36</v>
      </c>
      <c r="D406" s="1">
        <v>0.2</v>
      </c>
      <c r="E406" s="1">
        <v>0.3</v>
      </c>
      <c r="F406" s="1">
        <v>0.8</v>
      </c>
      <c r="G406" s="1">
        <v>1</v>
      </c>
      <c r="H406" s="1">
        <v>0.5</v>
      </c>
      <c r="I406" s="1">
        <v>0.25</v>
      </c>
      <c r="J406" s="1">
        <v>0.2</v>
      </c>
      <c r="K406" s="1">
        <v>0.8</v>
      </c>
      <c r="L406" s="1">
        <v>0.9</v>
      </c>
      <c r="M406" s="1">
        <v>0.2</v>
      </c>
      <c r="N406" s="1">
        <f>(Occurrence!B$3-D406)^2</f>
        <v>4.0000000000000008E-2</v>
      </c>
      <c r="O406" s="1">
        <f>(Occurrence!C$3-E406)^2</f>
        <v>0.09</v>
      </c>
      <c r="P406" s="1">
        <f>(Occurrence!D$3-F406)^2</f>
        <v>3.999999999999998E-2</v>
      </c>
      <c r="Q406" s="1">
        <f>(Occurrence!E$3-G406)^2</f>
        <v>0</v>
      </c>
      <c r="R406" s="1">
        <f>(Occurrence!F$3-H406)^2</f>
        <v>0.25</v>
      </c>
      <c r="S406" s="1">
        <f>(Occurrence!G$3-I406)^2</f>
        <v>6.25E-2</v>
      </c>
      <c r="T406" s="1">
        <f>(Occurrence!H$3-J406)^2</f>
        <v>0.64000000000000012</v>
      </c>
      <c r="U406" s="1">
        <f>(Occurrence!I$3-K406)^2</f>
        <v>3.999999999999998E-2</v>
      </c>
      <c r="V406" s="1">
        <f>(Occurrence!J$3-L406)^2</f>
        <v>0.81</v>
      </c>
      <c r="W406" s="1">
        <f>(Occurrence!K$3-M406)^2</f>
        <v>0.64000000000000012</v>
      </c>
      <c r="X406" s="1">
        <f t="shared" si="73"/>
        <v>2.6125000000000003</v>
      </c>
      <c r="Z406" s="1">
        <f t="shared" si="74"/>
        <v>0</v>
      </c>
      <c r="AA406" s="1">
        <f t="shared" si="75"/>
        <v>0</v>
      </c>
      <c r="AB406" s="1">
        <f t="shared" si="76"/>
        <v>1</v>
      </c>
      <c r="AC406" s="1">
        <f t="shared" si="77"/>
        <v>1</v>
      </c>
      <c r="AD406" s="1">
        <f t="shared" si="78"/>
        <v>1</v>
      </c>
      <c r="AE406" s="1">
        <f t="shared" si="79"/>
        <v>0</v>
      </c>
      <c r="AF406" s="1">
        <f t="shared" si="80"/>
        <v>0</v>
      </c>
      <c r="AG406" s="1">
        <f t="shared" si="81"/>
        <v>1</v>
      </c>
      <c r="AH406" s="1">
        <f t="shared" si="82"/>
        <v>1</v>
      </c>
      <c r="AI406" s="1">
        <f t="shared" si="83"/>
        <v>0</v>
      </c>
      <c r="AJ406" s="1">
        <f>SUMXMY2(Z406:AI406, Occurrence!B$3:K$3)</f>
        <v>4</v>
      </c>
      <c r="AK406" s="1">
        <f t="shared" si="84"/>
        <v>6</v>
      </c>
    </row>
    <row r="407" spans="1:37">
      <c r="A407" s="1">
        <v>406</v>
      </c>
      <c r="B407" s="1">
        <v>4252405</v>
      </c>
      <c r="C407" s="6" t="s">
        <v>37</v>
      </c>
      <c r="D407" s="1">
        <v>0</v>
      </c>
      <c r="E407" s="1">
        <v>0</v>
      </c>
      <c r="F407" s="1">
        <v>1</v>
      </c>
      <c r="G407" s="1">
        <v>1</v>
      </c>
      <c r="H407" s="1">
        <v>0</v>
      </c>
      <c r="I407" s="1">
        <v>0</v>
      </c>
      <c r="J407" s="1">
        <v>1</v>
      </c>
      <c r="K407" s="1">
        <v>1</v>
      </c>
      <c r="L407" s="1">
        <v>1</v>
      </c>
      <c r="M407" s="1">
        <v>1</v>
      </c>
      <c r="N407" s="1">
        <f>(Occurrence!B$3-D407)^2</f>
        <v>0</v>
      </c>
      <c r="O407" s="1">
        <f>(Occurrence!C$3-E407)^2</f>
        <v>0</v>
      </c>
      <c r="P407" s="1">
        <f>(Occurrence!D$3-F407)^2</f>
        <v>0</v>
      </c>
      <c r="Q407" s="1">
        <f>(Occurrence!E$3-G407)^2</f>
        <v>0</v>
      </c>
      <c r="R407" s="1">
        <f>(Occurrence!F$3-H407)^2</f>
        <v>0</v>
      </c>
      <c r="S407" s="1">
        <f>(Occurrence!G$3-I407)^2</f>
        <v>0</v>
      </c>
      <c r="T407" s="1">
        <f>(Occurrence!H$3-J407)^2</f>
        <v>0</v>
      </c>
      <c r="U407" s="1">
        <f>(Occurrence!I$3-K407)^2</f>
        <v>0</v>
      </c>
      <c r="V407" s="1">
        <f>(Occurrence!J$3-L407)^2</f>
        <v>1</v>
      </c>
      <c r="W407" s="1">
        <f>(Occurrence!K$3-M407)^2</f>
        <v>0</v>
      </c>
      <c r="X407" s="1">
        <f t="shared" si="73"/>
        <v>1</v>
      </c>
      <c r="Z407" s="1">
        <f t="shared" si="74"/>
        <v>0</v>
      </c>
      <c r="AA407" s="1">
        <f t="shared" si="75"/>
        <v>0</v>
      </c>
      <c r="AB407" s="1">
        <f t="shared" si="76"/>
        <v>1</v>
      </c>
      <c r="AC407" s="1">
        <f t="shared" si="77"/>
        <v>1</v>
      </c>
      <c r="AD407" s="1">
        <f t="shared" si="78"/>
        <v>0</v>
      </c>
      <c r="AE407" s="1">
        <f t="shared" si="79"/>
        <v>0</v>
      </c>
      <c r="AF407" s="1">
        <f t="shared" si="80"/>
        <v>1</v>
      </c>
      <c r="AG407" s="1">
        <f t="shared" si="81"/>
        <v>1</v>
      </c>
      <c r="AH407" s="1">
        <f t="shared" si="82"/>
        <v>1</v>
      </c>
      <c r="AI407" s="1">
        <f t="shared" si="83"/>
        <v>1</v>
      </c>
      <c r="AJ407" s="1">
        <f>SUMXMY2(Z407:AI407, Occurrence!B$3:K$3)</f>
        <v>1</v>
      </c>
      <c r="AK407" s="1">
        <f t="shared" si="84"/>
        <v>9</v>
      </c>
    </row>
    <row r="408" spans="1:37">
      <c r="A408" s="1">
        <v>407</v>
      </c>
      <c r="B408" s="1">
        <v>4252406</v>
      </c>
      <c r="C408" s="6" t="s">
        <v>37</v>
      </c>
      <c r="D408" s="1">
        <v>0.14680000000000001</v>
      </c>
      <c r="E408" s="1">
        <v>0.79369999999999996</v>
      </c>
      <c r="F408" s="1">
        <v>0.64680000000000004</v>
      </c>
      <c r="G408" s="1">
        <v>0.79369999999999996</v>
      </c>
      <c r="H408" s="1">
        <v>0.20630000000000001</v>
      </c>
      <c r="I408" s="1">
        <v>0.24</v>
      </c>
      <c r="J408" s="1">
        <v>2.2499999999999999E-2</v>
      </c>
      <c r="K408" s="1">
        <v>0.97</v>
      </c>
      <c r="L408" s="1">
        <v>0.82</v>
      </c>
      <c r="M408" s="1">
        <v>0.64</v>
      </c>
      <c r="N408" s="1">
        <f>(Occurrence!B$3-D408)^2</f>
        <v>2.1550240000000005E-2</v>
      </c>
      <c r="O408" s="1">
        <f>(Occurrence!C$3-E408)^2</f>
        <v>0.62995968999999996</v>
      </c>
      <c r="P408" s="1">
        <f>(Occurrence!D$3-F408)^2</f>
        <v>0.12475023999999997</v>
      </c>
      <c r="Q408" s="1">
        <f>(Occurrence!E$3-G408)^2</f>
        <v>4.2559690000000018E-2</v>
      </c>
      <c r="R408" s="1">
        <f>(Occurrence!F$3-H408)^2</f>
        <v>4.2559690000000004E-2</v>
      </c>
      <c r="S408" s="1">
        <f>(Occurrence!G$3-I408)^2</f>
        <v>5.7599999999999998E-2</v>
      </c>
      <c r="T408" s="1">
        <f>(Occurrence!H$3-J408)^2</f>
        <v>0.95550625000000011</v>
      </c>
      <c r="U408" s="1">
        <f>(Occurrence!I$3-K408)^2</f>
        <v>9.000000000000016E-4</v>
      </c>
      <c r="V408" s="1">
        <f>(Occurrence!J$3-L408)^2</f>
        <v>0.67239999999999989</v>
      </c>
      <c r="W408" s="1">
        <f>(Occurrence!K$3-M408)^2</f>
        <v>0.12959999999999999</v>
      </c>
      <c r="X408" s="1">
        <f t="shared" si="73"/>
        <v>2.6773857999999997</v>
      </c>
      <c r="Z408" s="1">
        <f t="shared" si="74"/>
        <v>0</v>
      </c>
      <c r="AA408" s="1">
        <f t="shared" si="75"/>
        <v>1</v>
      </c>
      <c r="AB408" s="1">
        <f t="shared" si="76"/>
        <v>1</v>
      </c>
      <c r="AC408" s="1">
        <f t="shared" si="77"/>
        <v>1</v>
      </c>
      <c r="AD408" s="1">
        <f t="shared" si="78"/>
        <v>0</v>
      </c>
      <c r="AE408" s="1">
        <f t="shared" si="79"/>
        <v>0</v>
      </c>
      <c r="AF408" s="1">
        <f t="shared" si="80"/>
        <v>0</v>
      </c>
      <c r="AG408" s="1">
        <f t="shared" si="81"/>
        <v>1</v>
      </c>
      <c r="AH408" s="1">
        <f t="shared" si="82"/>
        <v>1</v>
      </c>
      <c r="AI408" s="1">
        <f t="shared" si="83"/>
        <v>1</v>
      </c>
      <c r="AJ408" s="1">
        <f>SUMXMY2(Z408:AI408, Occurrence!B$3:K$3)</f>
        <v>3</v>
      </c>
      <c r="AK408" s="1">
        <f t="shared" si="84"/>
        <v>7</v>
      </c>
    </row>
    <row r="409" spans="1:37">
      <c r="A409" s="1">
        <v>408</v>
      </c>
      <c r="B409" s="1">
        <v>4252407</v>
      </c>
      <c r="C409" s="6" t="s">
        <v>37</v>
      </c>
      <c r="D409" s="1">
        <v>0.06</v>
      </c>
      <c r="E409" s="1">
        <v>0.124</v>
      </c>
      <c r="F409" s="1">
        <v>7.3999999999999996E-2</v>
      </c>
      <c r="G409" s="1">
        <v>0.21340000000000001</v>
      </c>
      <c r="H409" s="1">
        <v>0.67830000000000001</v>
      </c>
      <c r="I409" s="1">
        <v>0.53249999999999997</v>
      </c>
      <c r="J409" s="1">
        <v>0.58240000000000003</v>
      </c>
      <c r="K409" s="1">
        <v>0.2432</v>
      </c>
      <c r="L409" s="1">
        <v>0.42349999999999999</v>
      </c>
      <c r="M409" s="1">
        <v>8.7400000000000005E-2</v>
      </c>
      <c r="N409" s="1">
        <f>(Occurrence!B$3-D409)^2</f>
        <v>3.5999999999999999E-3</v>
      </c>
      <c r="O409" s="1">
        <f>(Occurrence!C$3-E409)^2</f>
        <v>1.5375999999999999E-2</v>
      </c>
      <c r="P409" s="1">
        <f>(Occurrence!D$3-F409)^2</f>
        <v>0.85747600000000013</v>
      </c>
      <c r="Q409" s="1">
        <f>(Occurrence!E$3-G409)^2</f>
        <v>0.61873955999999997</v>
      </c>
      <c r="R409" s="1">
        <f>(Occurrence!F$3-H409)^2</f>
        <v>0.46009089000000003</v>
      </c>
      <c r="S409" s="1">
        <f>(Occurrence!G$3-I409)^2</f>
        <v>0.28355624999999995</v>
      </c>
      <c r="T409" s="1">
        <f>(Occurrence!H$3-J409)^2</f>
        <v>0.17438975999999998</v>
      </c>
      <c r="U409" s="1">
        <f>(Occurrence!I$3-K409)^2</f>
        <v>0.57274624000000007</v>
      </c>
      <c r="V409" s="1">
        <f>(Occurrence!J$3-L409)^2</f>
        <v>0.17935224999999999</v>
      </c>
      <c r="W409" s="1">
        <f>(Occurrence!K$3-M409)^2</f>
        <v>0.8328387599999999</v>
      </c>
      <c r="X409" s="1">
        <f t="shared" si="73"/>
        <v>3.9981657099999999</v>
      </c>
      <c r="Z409" s="1">
        <f t="shared" si="74"/>
        <v>0</v>
      </c>
      <c r="AA409" s="1">
        <f t="shared" si="75"/>
        <v>0</v>
      </c>
      <c r="AB409" s="1">
        <f t="shared" si="76"/>
        <v>0</v>
      </c>
      <c r="AC409" s="1">
        <f t="shared" si="77"/>
        <v>0</v>
      </c>
      <c r="AD409" s="1">
        <f t="shared" si="78"/>
        <v>1</v>
      </c>
      <c r="AE409" s="1">
        <f t="shared" si="79"/>
        <v>1</v>
      </c>
      <c r="AF409" s="1">
        <f t="shared" si="80"/>
        <v>1</v>
      </c>
      <c r="AG409" s="1">
        <f t="shared" si="81"/>
        <v>0</v>
      </c>
      <c r="AH409" s="1">
        <f t="shared" si="82"/>
        <v>0</v>
      </c>
      <c r="AI409" s="1">
        <f t="shared" si="83"/>
        <v>0</v>
      </c>
      <c r="AJ409" s="1">
        <f>SUMXMY2(Z409:AI409, Occurrence!B$3:K$3)</f>
        <v>6</v>
      </c>
      <c r="AK409" s="1">
        <f t="shared" si="84"/>
        <v>4</v>
      </c>
    </row>
    <row r="410" spans="1:37">
      <c r="A410" s="1">
        <v>409</v>
      </c>
      <c r="B410" s="1">
        <v>4252408</v>
      </c>
      <c r="C410" s="6" t="s">
        <v>37</v>
      </c>
      <c r="D410" s="1">
        <v>0.1</v>
      </c>
      <c r="E410" s="1">
        <v>0.2</v>
      </c>
      <c r="F410" s="1">
        <v>0.1</v>
      </c>
      <c r="G410" s="1">
        <v>0.7</v>
      </c>
      <c r="H410" s="1">
        <v>0.8</v>
      </c>
      <c r="I410" s="1">
        <v>0.01</v>
      </c>
      <c r="J410" s="1">
        <v>0.4</v>
      </c>
      <c r="K410" s="1">
        <v>0.9</v>
      </c>
      <c r="L410" s="1">
        <v>0.95</v>
      </c>
      <c r="M410" s="1">
        <v>0.9</v>
      </c>
      <c r="N410" s="1">
        <f>(Occurrence!B$3-D410)^2</f>
        <v>1.0000000000000002E-2</v>
      </c>
      <c r="O410" s="1">
        <f>(Occurrence!C$3-E410)^2</f>
        <v>4.0000000000000008E-2</v>
      </c>
      <c r="P410" s="1">
        <f>(Occurrence!D$3-F410)^2</f>
        <v>0.81</v>
      </c>
      <c r="Q410" s="1">
        <f>(Occurrence!E$3-G410)^2</f>
        <v>9.0000000000000024E-2</v>
      </c>
      <c r="R410" s="1">
        <f>(Occurrence!F$3-H410)^2</f>
        <v>0.64000000000000012</v>
      </c>
      <c r="S410" s="1">
        <f>(Occurrence!G$3-I410)^2</f>
        <v>1E-4</v>
      </c>
      <c r="T410" s="1">
        <f>(Occurrence!H$3-J410)^2</f>
        <v>0.36</v>
      </c>
      <c r="U410" s="1">
        <f>(Occurrence!I$3-K410)^2</f>
        <v>9.999999999999995E-3</v>
      </c>
      <c r="V410" s="1">
        <f>(Occurrence!J$3-L410)^2</f>
        <v>0.90249999999999997</v>
      </c>
      <c r="W410" s="1">
        <f>(Occurrence!K$3-M410)^2</f>
        <v>9.999999999999995E-3</v>
      </c>
      <c r="X410" s="1">
        <f t="shared" si="73"/>
        <v>2.8726000000000003</v>
      </c>
      <c r="Z410" s="1">
        <f t="shared" si="74"/>
        <v>0</v>
      </c>
      <c r="AA410" s="1">
        <f t="shared" si="75"/>
        <v>0</v>
      </c>
      <c r="AB410" s="1">
        <f t="shared" si="76"/>
        <v>0</v>
      </c>
      <c r="AC410" s="1">
        <f t="shared" si="77"/>
        <v>1</v>
      </c>
      <c r="AD410" s="1">
        <f t="shared" si="78"/>
        <v>1</v>
      </c>
      <c r="AE410" s="1">
        <f t="shared" si="79"/>
        <v>0</v>
      </c>
      <c r="AF410" s="1">
        <f t="shared" si="80"/>
        <v>0</v>
      </c>
      <c r="AG410" s="1">
        <f t="shared" si="81"/>
        <v>1</v>
      </c>
      <c r="AH410" s="1">
        <f t="shared" si="82"/>
        <v>1</v>
      </c>
      <c r="AI410" s="1">
        <f t="shared" si="83"/>
        <v>1</v>
      </c>
      <c r="AJ410" s="1">
        <f>SUMXMY2(Z410:AI410, Occurrence!B$3:K$3)</f>
        <v>4</v>
      </c>
      <c r="AK410" s="1">
        <f t="shared" si="84"/>
        <v>6</v>
      </c>
    </row>
    <row r="411" spans="1:37">
      <c r="A411" s="1">
        <v>410</v>
      </c>
      <c r="B411" s="1">
        <v>4252409</v>
      </c>
      <c r="C411" s="6" t="s">
        <v>37</v>
      </c>
      <c r="D411" s="1">
        <v>0.15</v>
      </c>
      <c r="E411" s="1">
        <v>0.2</v>
      </c>
      <c r="F411" s="1">
        <v>0.65</v>
      </c>
      <c r="G411" s="1">
        <v>0.8</v>
      </c>
      <c r="H411" s="1">
        <v>0.2</v>
      </c>
      <c r="I411" s="1">
        <v>0.1</v>
      </c>
      <c r="J411" s="1">
        <v>0.4</v>
      </c>
      <c r="K411" s="1">
        <v>0.3</v>
      </c>
      <c r="L411" s="1">
        <v>0.8</v>
      </c>
      <c r="M411" s="1">
        <v>0.6</v>
      </c>
      <c r="N411" s="1">
        <f>(Occurrence!B$3-D411)^2</f>
        <v>2.2499999999999999E-2</v>
      </c>
      <c r="O411" s="1">
        <f>(Occurrence!C$3-E411)^2</f>
        <v>4.0000000000000008E-2</v>
      </c>
      <c r="P411" s="1">
        <f>(Occurrence!D$3-F411)^2</f>
        <v>0.12249999999999998</v>
      </c>
      <c r="Q411" s="1">
        <f>(Occurrence!E$3-G411)^2</f>
        <v>3.999999999999998E-2</v>
      </c>
      <c r="R411" s="1">
        <f>(Occurrence!F$3-H411)^2</f>
        <v>4.0000000000000008E-2</v>
      </c>
      <c r="S411" s="1">
        <f>(Occurrence!G$3-I411)^2</f>
        <v>1.0000000000000002E-2</v>
      </c>
      <c r="T411" s="1">
        <f>(Occurrence!H$3-J411)^2</f>
        <v>0.36</v>
      </c>
      <c r="U411" s="1">
        <f>(Occurrence!I$3-K411)^2</f>
        <v>0.48999999999999994</v>
      </c>
      <c r="V411" s="1">
        <f>(Occurrence!J$3-L411)^2</f>
        <v>0.64000000000000012</v>
      </c>
      <c r="W411" s="1">
        <f>(Occurrence!K$3-M411)^2</f>
        <v>0.16000000000000003</v>
      </c>
      <c r="X411" s="1">
        <f t="shared" si="73"/>
        <v>1.9250000000000003</v>
      </c>
      <c r="Z411" s="1">
        <f t="shared" si="74"/>
        <v>0</v>
      </c>
      <c r="AA411" s="1">
        <f t="shared" si="75"/>
        <v>0</v>
      </c>
      <c r="AB411" s="1">
        <f t="shared" si="76"/>
        <v>1</v>
      </c>
      <c r="AC411" s="1">
        <f t="shared" si="77"/>
        <v>1</v>
      </c>
      <c r="AD411" s="1">
        <f t="shared" si="78"/>
        <v>0</v>
      </c>
      <c r="AE411" s="1">
        <f t="shared" si="79"/>
        <v>0</v>
      </c>
      <c r="AF411" s="1">
        <f t="shared" si="80"/>
        <v>0</v>
      </c>
      <c r="AG411" s="1">
        <f t="shared" si="81"/>
        <v>0</v>
      </c>
      <c r="AH411" s="1">
        <f t="shared" si="82"/>
        <v>1</v>
      </c>
      <c r="AI411" s="1">
        <f t="shared" si="83"/>
        <v>1</v>
      </c>
      <c r="AJ411" s="1">
        <f>SUMXMY2(Z411:AI411, Occurrence!B$3:K$3)</f>
        <v>3</v>
      </c>
      <c r="AK411" s="1">
        <f t="shared" si="84"/>
        <v>7</v>
      </c>
    </row>
    <row r="412" spans="1:37">
      <c r="A412" s="1">
        <v>411</v>
      </c>
      <c r="B412" s="1">
        <v>4252410</v>
      </c>
      <c r="C412" s="6" t="s">
        <v>37</v>
      </c>
      <c r="D412" s="1">
        <v>0.05</v>
      </c>
      <c r="E412" s="1">
        <v>0.15</v>
      </c>
      <c r="F412" s="1">
        <v>0.1</v>
      </c>
      <c r="G412" s="1">
        <v>0.7</v>
      </c>
      <c r="H412" s="1">
        <v>0.85</v>
      </c>
      <c r="I412" s="1">
        <v>0.05</v>
      </c>
      <c r="J412" s="1">
        <v>0.01</v>
      </c>
      <c r="K412" s="1">
        <v>0.5</v>
      </c>
      <c r="L412" s="1">
        <v>0.05</v>
      </c>
      <c r="M412" s="1">
        <v>0.7</v>
      </c>
      <c r="N412" s="1">
        <f>(Occurrence!B$3-D412)^2</f>
        <v>2.5000000000000005E-3</v>
      </c>
      <c r="O412" s="1">
        <f>(Occurrence!C$3-E412)^2</f>
        <v>2.2499999999999999E-2</v>
      </c>
      <c r="P412" s="1">
        <f>(Occurrence!D$3-F412)^2</f>
        <v>0.81</v>
      </c>
      <c r="Q412" s="1">
        <f>(Occurrence!E$3-G412)^2</f>
        <v>9.0000000000000024E-2</v>
      </c>
      <c r="R412" s="1">
        <f>(Occurrence!F$3-H412)^2</f>
        <v>0.72249999999999992</v>
      </c>
      <c r="S412" s="1">
        <f>(Occurrence!G$3-I412)^2</f>
        <v>2.5000000000000005E-3</v>
      </c>
      <c r="T412" s="1">
        <f>(Occurrence!H$3-J412)^2</f>
        <v>0.98009999999999997</v>
      </c>
      <c r="U412" s="1">
        <f>(Occurrence!I$3-K412)^2</f>
        <v>0.25</v>
      </c>
      <c r="V412" s="1">
        <f>(Occurrence!J$3-L412)^2</f>
        <v>2.5000000000000005E-3</v>
      </c>
      <c r="W412" s="1">
        <f>(Occurrence!K$3-M412)^2</f>
        <v>9.0000000000000024E-2</v>
      </c>
      <c r="X412" s="1">
        <f t="shared" si="73"/>
        <v>2.9725999999999995</v>
      </c>
      <c r="Z412" s="1">
        <f t="shared" si="74"/>
        <v>0</v>
      </c>
      <c r="AA412" s="1">
        <f t="shared" si="75"/>
        <v>0</v>
      </c>
      <c r="AB412" s="1">
        <f t="shared" si="76"/>
        <v>0</v>
      </c>
      <c r="AC412" s="1">
        <f t="shared" si="77"/>
        <v>1</v>
      </c>
      <c r="AD412" s="1">
        <f t="shared" si="78"/>
        <v>1</v>
      </c>
      <c r="AE412" s="1">
        <f t="shared" si="79"/>
        <v>0</v>
      </c>
      <c r="AF412" s="1">
        <f t="shared" si="80"/>
        <v>0</v>
      </c>
      <c r="AG412" s="1">
        <f t="shared" si="81"/>
        <v>1</v>
      </c>
      <c r="AH412" s="1">
        <f t="shared" si="82"/>
        <v>0</v>
      </c>
      <c r="AI412" s="1">
        <f t="shared" si="83"/>
        <v>1</v>
      </c>
      <c r="AJ412" s="1">
        <f>SUMXMY2(Z412:AI412, Occurrence!B$3:K$3)</f>
        <v>3</v>
      </c>
      <c r="AK412" s="1">
        <f t="shared" si="84"/>
        <v>7</v>
      </c>
    </row>
    <row r="413" spans="1:37">
      <c r="A413" s="1">
        <v>412</v>
      </c>
      <c r="B413" s="1">
        <v>4252411</v>
      </c>
      <c r="C413" s="6" t="s">
        <v>37</v>
      </c>
      <c r="D413" s="1">
        <v>0.32979999999999998</v>
      </c>
      <c r="E413" s="1">
        <v>1.24E-2</v>
      </c>
      <c r="F413" s="1">
        <v>0.61619999999999997</v>
      </c>
      <c r="G413" s="1">
        <v>0.87450000000000006</v>
      </c>
      <c r="H413" s="1">
        <v>0.29110000000000003</v>
      </c>
      <c r="I413" s="1">
        <v>0.37280000000000002</v>
      </c>
      <c r="J413" s="1">
        <v>0.28920000000000001</v>
      </c>
      <c r="K413" s="1">
        <v>0.98470000000000002</v>
      </c>
      <c r="L413" s="1">
        <v>0.98760000000000003</v>
      </c>
      <c r="M413" s="1">
        <v>0.45669999999999999</v>
      </c>
      <c r="N413" s="1">
        <f>(Occurrence!B$3-D413)^2</f>
        <v>0.10876803999999998</v>
      </c>
      <c r="O413" s="1">
        <f>(Occurrence!C$3-E413)^2</f>
        <v>1.5375999999999999E-4</v>
      </c>
      <c r="P413" s="1">
        <f>(Occurrence!D$3-F413)^2</f>
        <v>0.14730244000000003</v>
      </c>
      <c r="Q413" s="1">
        <f>(Occurrence!E$3-G413)^2</f>
        <v>1.5750249999999986E-2</v>
      </c>
      <c r="R413" s="1">
        <f>(Occurrence!F$3-H413)^2</f>
        <v>8.4739210000000009E-2</v>
      </c>
      <c r="S413" s="1">
        <f>(Occurrence!G$3-I413)^2</f>
        <v>0.13897984000000002</v>
      </c>
      <c r="T413" s="1">
        <f>(Occurrence!H$3-J413)^2</f>
        <v>0.50523664000000001</v>
      </c>
      <c r="U413" s="1">
        <f>(Occurrence!I$3-K413)^2</f>
        <v>2.3408999999999941E-4</v>
      </c>
      <c r="V413" s="1">
        <f>(Occurrence!J$3-L413)^2</f>
        <v>0.97535376000000007</v>
      </c>
      <c r="W413" s="1">
        <f>(Occurrence!K$3-M413)^2</f>
        <v>0.29517489000000002</v>
      </c>
      <c r="X413" s="1">
        <f t="shared" si="73"/>
        <v>2.2716929200000004</v>
      </c>
      <c r="Z413" s="1">
        <f t="shared" si="74"/>
        <v>0</v>
      </c>
      <c r="AA413" s="1">
        <f t="shared" si="75"/>
        <v>0</v>
      </c>
      <c r="AB413" s="1">
        <f t="shared" si="76"/>
        <v>1</v>
      </c>
      <c r="AC413" s="1">
        <f t="shared" si="77"/>
        <v>1</v>
      </c>
      <c r="AD413" s="1">
        <f t="shared" si="78"/>
        <v>0</v>
      </c>
      <c r="AE413" s="1">
        <f t="shared" si="79"/>
        <v>0</v>
      </c>
      <c r="AF413" s="1">
        <f t="shared" si="80"/>
        <v>0</v>
      </c>
      <c r="AG413" s="1">
        <f t="shared" si="81"/>
        <v>1</v>
      </c>
      <c r="AH413" s="1">
        <f t="shared" si="82"/>
        <v>1</v>
      </c>
      <c r="AI413" s="1">
        <f t="shared" si="83"/>
        <v>0</v>
      </c>
      <c r="AJ413" s="1">
        <f>SUMXMY2(Z413:AI413, Occurrence!B$3:K$3)</f>
        <v>3</v>
      </c>
      <c r="AK413" s="1">
        <f t="shared" si="84"/>
        <v>7</v>
      </c>
    </row>
    <row r="414" spans="1:37">
      <c r="A414" s="1">
        <v>413</v>
      </c>
      <c r="B414" s="1">
        <v>4252412</v>
      </c>
      <c r="C414" s="6" t="s">
        <v>37</v>
      </c>
      <c r="D414" s="1">
        <v>0.31630000000000003</v>
      </c>
      <c r="E414" s="1">
        <v>3.5700000000000003E-2</v>
      </c>
      <c r="F414" s="1">
        <v>0.32990000000000003</v>
      </c>
      <c r="G414" s="1">
        <v>6.7299999999999999E-2</v>
      </c>
      <c r="H414" s="1">
        <v>2.9100000000000001E-2</v>
      </c>
      <c r="I414" s="1">
        <v>0.4027</v>
      </c>
      <c r="J414" s="1">
        <v>0.49869999999999998</v>
      </c>
      <c r="K414" s="1">
        <v>0.62980000000000003</v>
      </c>
      <c r="L414" s="1">
        <v>0.82469999999999999</v>
      </c>
      <c r="M414" s="1">
        <v>0.4209</v>
      </c>
      <c r="N414" s="1">
        <f>(Occurrence!B$3-D414)^2</f>
        <v>0.10004569000000002</v>
      </c>
      <c r="O414" s="1">
        <f>(Occurrence!C$3-E414)^2</f>
        <v>1.2744900000000001E-3</v>
      </c>
      <c r="P414" s="1">
        <f>(Occurrence!D$3-F414)^2</f>
        <v>0.44903400999999987</v>
      </c>
      <c r="Q414" s="1">
        <f>(Occurrence!E$3-G414)^2</f>
        <v>0.86992928999999997</v>
      </c>
      <c r="R414" s="1">
        <f>(Occurrence!F$3-H414)^2</f>
        <v>8.4681000000000003E-4</v>
      </c>
      <c r="S414" s="1">
        <f>(Occurrence!G$3-I414)^2</f>
        <v>0.16216728999999999</v>
      </c>
      <c r="T414" s="1">
        <f>(Occurrence!H$3-J414)^2</f>
        <v>0.25130169000000008</v>
      </c>
      <c r="U414" s="1">
        <f>(Occurrence!I$3-K414)^2</f>
        <v>0.13704803999999998</v>
      </c>
      <c r="V414" s="1">
        <f>(Occurrence!J$3-L414)^2</f>
        <v>0.68013009000000002</v>
      </c>
      <c r="W414" s="1">
        <f>(Occurrence!K$3-M414)^2</f>
        <v>0.33535680999999995</v>
      </c>
      <c r="X414" s="1">
        <f t="shared" si="73"/>
        <v>2.9871342099999998</v>
      </c>
      <c r="Z414" s="1">
        <f t="shared" si="74"/>
        <v>0</v>
      </c>
      <c r="AA414" s="1">
        <f t="shared" si="75"/>
        <v>0</v>
      </c>
      <c r="AB414" s="1">
        <f t="shared" si="76"/>
        <v>0</v>
      </c>
      <c r="AC414" s="1">
        <f t="shared" si="77"/>
        <v>0</v>
      </c>
      <c r="AD414" s="1">
        <f t="shared" si="78"/>
        <v>0</v>
      </c>
      <c r="AE414" s="1">
        <f t="shared" si="79"/>
        <v>0</v>
      </c>
      <c r="AF414" s="1">
        <f t="shared" si="80"/>
        <v>0</v>
      </c>
      <c r="AG414" s="1">
        <f t="shared" si="81"/>
        <v>1</v>
      </c>
      <c r="AH414" s="1">
        <f t="shared" si="82"/>
        <v>1</v>
      </c>
      <c r="AI414" s="1">
        <f t="shared" si="83"/>
        <v>0</v>
      </c>
      <c r="AJ414" s="1">
        <f>SUMXMY2(Z414:AI414, Occurrence!B$3:K$3)</f>
        <v>5</v>
      </c>
      <c r="AK414" s="1">
        <f t="shared" si="84"/>
        <v>5</v>
      </c>
    </row>
    <row r="415" spans="1:37">
      <c r="A415" s="1">
        <v>414</v>
      </c>
      <c r="B415" s="1">
        <v>4252413</v>
      </c>
      <c r="C415" s="6" t="s">
        <v>37</v>
      </c>
      <c r="D415" s="1">
        <v>0.1</v>
      </c>
      <c r="E415" s="1">
        <v>0.3</v>
      </c>
      <c r="F415" s="1">
        <v>0.4</v>
      </c>
      <c r="G415" s="1">
        <v>0.6</v>
      </c>
      <c r="H415" s="1">
        <v>1</v>
      </c>
      <c r="I415" s="1">
        <v>0.47</v>
      </c>
      <c r="J415" s="1">
        <v>0.23</v>
      </c>
      <c r="K415" s="1">
        <v>0.09</v>
      </c>
      <c r="L415" s="1">
        <v>0.7</v>
      </c>
      <c r="M415" s="1">
        <v>0.3</v>
      </c>
      <c r="N415" s="1">
        <f>(Occurrence!B$3-D415)^2</f>
        <v>1.0000000000000002E-2</v>
      </c>
      <c r="O415" s="1">
        <f>(Occurrence!C$3-E415)^2</f>
        <v>0.09</v>
      </c>
      <c r="P415" s="1">
        <f>(Occurrence!D$3-F415)^2</f>
        <v>0.36</v>
      </c>
      <c r="Q415" s="1">
        <f>(Occurrence!E$3-G415)^2</f>
        <v>0.16000000000000003</v>
      </c>
      <c r="R415" s="1">
        <f>(Occurrence!F$3-H415)^2</f>
        <v>1</v>
      </c>
      <c r="S415" s="1">
        <f>(Occurrence!G$3-I415)^2</f>
        <v>0.22089999999999999</v>
      </c>
      <c r="T415" s="1">
        <f>(Occurrence!H$3-J415)^2</f>
        <v>0.59289999999999998</v>
      </c>
      <c r="U415" s="1">
        <f>(Occurrence!I$3-K415)^2</f>
        <v>0.82810000000000006</v>
      </c>
      <c r="V415" s="1">
        <f>(Occurrence!J$3-L415)^2</f>
        <v>0.48999999999999994</v>
      </c>
      <c r="W415" s="1">
        <f>(Occurrence!K$3-M415)^2</f>
        <v>0.48999999999999994</v>
      </c>
      <c r="X415" s="1">
        <f t="shared" si="73"/>
        <v>4.2418999999999993</v>
      </c>
      <c r="Z415" s="1">
        <f t="shared" si="74"/>
        <v>0</v>
      </c>
      <c r="AA415" s="1">
        <f t="shared" si="75"/>
        <v>0</v>
      </c>
      <c r="AB415" s="1">
        <f t="shared" si="76"/>
        <v>0</v>
      </c>
      <c r="AC415" s="1">
        <f t="shared" si="77"/>
        <v>1</v>
      </c>
      <c r="AD415" s="1">
        <f t="shared" si="78"/>
        <v>1</v>
      </c>
      <c r="AE415" s="1">
        <f t="shared" si="79"/>
        <v>0</v>
      </c>
      <c r="AF415" s="1">
        <f t="shared" si="80"/>
        <v>0</v>
      </c>
      <c r="AG415" s="1">
        <f t="shared" si="81"/>
        <v>0</v>
      </c>
      <c r="AH415" s="1">
        <f t="shared" si="82"/>
        <v>1</v>
      </c>
      <c r="AI415" s="1">
        <f t="shared" si="83"/>
        <v>0</v>
      </c>
      <c r="AJ415" s="1">
        <f>SUMXMY2(Z415:AI415, Occurrence!B$3:K$3)</f>
        <v>6</v>
      </c>
      <c r="AK415" s="1">
        <f t="shared" si="84"/>
        <v>4</v>
      </c>
    </row>
    <row r="416" spans="1:37">
      <c r="A416" s="1">
        <v>415</v>
      </c>
      <c r="B416" s="1">
        <v>4252414</v>
      </c>
      <c r="C416" s="6" t="s">
        <v>37</v>
      </c>
      <c r="D416" s="1">
        <v>0.06</v>
      </c>
      <c r="E416" s="1">
        <v>0.15</v>
      </c>
      <c r="F416" s="1">
        <v>0.2</v>
      </c>
      <c r="G416" s="1">
        <v>0.85</v>
      </c>
      <c r="H416" s="1">
        <v>0.87</v>
      </c>
      <c r="I416" s="1">
        <v>0.55000000000000004</v>
      </c>
      <c r="J416" s="1">
        <v>0.4</v>
      </c>
      <c r="K416" s="1">
        <v>0.85</v>
      </c>
      <c r="L416" s="1">
        <v>0.1</v>
      </c>
      <c r="M416" s="1">
        <v>0.85</v>
      </c>
      <c r="N416" s="1">
        <f>(Occurrence!B$3-D416)^2</f>
        <v>3.5999999999999999E-3</v>
      </c>
      <c r="O416" s="1">
        <f>(Occurrence!C$3-E416)^2</f>
        <v>2.2499999999999999E-2</v>
      </c>
      <c r="P416" s="1">
        <f>(Occurrence!D$3-F416)^2</f>
        <v>0.64000000000000012</v>
      </c>
      <c r="Q416" s="1">
        <f>(Occurrence!E$3-G416)^2</f>
        <v>2.2500000000000006E-2</v>
      </c>
      <c r="R416" s="1">
        <f>(Occurrence!F$3-H416)^2</f>
        <v>0.75690000000000002</v>
      </c>
      <c r="S416" s="1">
        <f>(Occurrence!G$3-I416)^2</f>
        <v>0.30250000000000005</v>
      </c>
      <c r="T416" s="1">
        <f>(Occurrence!H$3-J416)^2</f>
        <v>0.36</v>
      </c>
      <c r="U416" s="1">
        <f>(Occurrence!I$3-K416)^2</f>
        <v>2.2500000000000006E-2</v>
      </c>
      <c r="V416" s="1">
        <f>(Occurrence!J$3-L416)^2</f>
        <v>1.0000000000000002E-2</v>
      </c>
      <c r="W416" s="1">
        <f>(Occurrence!K$3-M416)^2</f>
        <v>2.2500000000000006E-2</v>
      </c>
      <c r="X416" s="1">
        <f t="shared" si="73"/>
        <v>2.1629999999999998</v>
      </c>
      <c r="Z416" s="1">
        <f t="shared" si="74"/>
        <v>0</v>
      </c>
      <c r="AA416" s="1">
        <f t="shared" si="75"/>
        <v>0</v>
      </c>
      <c r="AB416" s="1">
        <f t="shared" si="76"/>
        <v>0</v>
      </c>
      <c r="AC416" s="1">
        <f t="shared" si="77"/>
        <v>1</v>
      </c>
      <c r="AD416" s="1">
        <f t="shared" si="78"/>
        <v>1</v>
      </c>
      <c r="AE416" s="1">
        <f t="shared" si="79"/>
        <v>1</v>
      </c>
      <c r="AF416" s="1">
        <f t="shared" si="80"/>
        <v>0</v>
      </c>
      <c r="AG416" s="1">
        <f t="shared" si="81"/>
        <v>1</v>
      </c>
      <c r="AH416" s="1">
        <f t="shared" si="82"/>
        <v>0</v>
      </c>
      <c r="AI416" s="1">
        <f t="shared" si="83"/>
        <v>1</v>
      </c>
      <c r="AJ416" s="1">
        <f>SUMXMY2(Z416:AI416, Occurrence!B$3:K$3)</f>
        <v>4</v>
      </c>
      <c r="AK416" s="1">
        <f t="shared" si="84"/>
        <v>6</v>
      </c>
    </row>
    <row r="417" spans="1:37">
      <c r="A417" s="1">
        <v>416</v>
      </c>
      <c r="B417" s="1">
        <v>4252415</v>
      </c>
      <c r="C417" s="6" t="s">
        <v>37</v>
      </c>
      <c r="D417" s="1">
        <v>0</v>
      </c>
      <c r="E417" s="1">
        <v>0.15</v>
      </c>
      <c r="F417" s="1">
        <v>0.75</v>
      </c>
      <c r="G417" s="1">
        <v>0.85</v>
      </c>
      <c r="H417" s="1">
        <v>0.25</v>
      </c>
      <c r="I417" s="1">
        <v>0.65</v>
      </c>
      <c r="J417" s="1">
        <v>0.7</v>
      </c>
      <c r="K417" s="1">
        <v>0.95</v>
      </c>
      <c r="L417" s="1">
        <v>0.3</v>
      </c>
      <c r="M417" s="1">
        <v>0.8</v>
      </c>
      <c r="N417" s="1">
        <f>(Occurrence!B$3-D417)^2</f>
        <v>0</v>
      </c>
      <c r="O417" s="1">
        <f>(Occurrence!C$3-E417)^2</f>
        <v>2.2499999999999999E-2</v>
      </c>
      <c r="P417" s="1">
        <f>(Occurrence!D$3-F417)^2</f>
        <v>6.25E-2</v>
      </c>
      <c r="Q417" s="1">
        <f>(Occurrence!E$3-G417)^2</f>
        <v>2.2500000000000006E-2</v>
      </c>
      <c r="R417" s="1">
        <f>(Occurrence!F$3-H417)^2</f>
        <v>6.25E-2</v>
      </c>
      <c r="S417" s="1">
        <f>(Occurrence!G$3-I417)^2</f>
        <v>0.42250000000000004</v>
      </c>
      <c r="T417" s="1">
        <f>(Occurrence!H$3-J417)^2</f>
        <v>9.0000000000000024E-2</v>
      </c>
      <c r="U417" s="1">
        <f>(Occurrence!I$3-K417)^2</f>
        <v>2.5000000000000044E-3</v>
      </c>
      <c r="V417" s="1">
        <f>(Occurrence!J$3-L417)^2</f>
        <v>0.09</v>
      </c>
      <c r="W417" s="1">
        <f>(Occurrence!K$3-M417)^2</f>
        <v>3.999999999999998E-2</v>
      </c>
      <c r="X417" s="1">
        <f t="shared" si="73"/>
        <v>0.81500000000000017</v>
      </c>
      <c r="Z417" s="1">
        <f t="shared" si="74"/>
        <v>0</v>
      </c>
      <c r="AA417" s="1">
        <f t="shared" si="75"/>
        <v>0</v>
      </c>
      <c r="AB417" s="1">
        <f t="shared" si="76"/>
        <v>1</v>
      </c>
      <c r="AC417" s="1">
        <f t="shared" si="77"/>
        <v>1</v>
      </c>
      <c r="AD417" s="1">
        <f t="shared" si="78"/>
        <v>0</v>
      </c>
      <c r="AE417" s="1">
        <f t="shared" si="79"/>
        <v>1</v>
      </c>
      <c r="AF417" s="1">
        <f t="shared" si="80"/>
        <v>1</v>
      </c>
      <c r="AG417" s="1">
        <f t="shared" si="81"/>
        <v>1</v>
      </c>
      <c r="AH417" s="1">
        <f t="shared" si="82"/>
        <v>0</v>
      </c>
      <c r="AI417" s="1">
        <f t="shared" si="83"/>
        <v>1</v>
      </c>
      <c r="AJ417" s="1">
        <f>SUMXMY2(Z417:AI417, Occurrence!B$3:K$3)</f>
        <v>1</v>
      </c>
      <c r="AK417" s="1">
        <f t="shared" si="84"/>
        <v>9</v>
      </c>
    </row>
    <row r="418" spans="1:37">
      <c r="A418" s="1">
        <v>417</v>
      </c>
      <c r="B418" s="1">
        <v>4252416</v>
      </c>
      <c r="C418" s="6" t="s">
        <v>37</v>
      </c>
      <c r="D418" s="1">
        <v>0.4</v>
      </c>
      <c r="E418" s="1">
        <v>0.6</v>
      </c>
      <c r="F418" s="1">
        <v>0.4</v>
      </c>
      <c r="G418" s="1">
        <v>0.6</v>
      </c>
      <c r="H418" s="1">
        <v>1</v>
      </c>
      <c r="I418" s="1">
        <v>0.55000000000000004</v>
      </c>
      <c r="J418" s="1">
        <v>0.47</v>
      </c>
      <c r="K418" s="1">
        <v>0.7</v>
      </c>
      <c r="L418" s="1">
        <v>0.4</v>
      </c>
      <c r="M418" s="1">
        <v>0.2</v>
      </c>
      <c r="N418" s="1">
        <f>(Occurrence!B$3-D418)^2</f>
        <v>0.16000000000000003</v>
      </c>
      <c r="O418" s="1">
        <f>(Occurrence!C$3-E418)^2</f>
        <v>0.36</v>
      </c>
      <c r="P418" s="1">
        <f>(Occurrence!D$3-F418)^2</f>
        <v>0.36</v>
      </c>
      <c r="Q418" s="1">
        <f>(Occurrence!E$3-G418)^2</f>
        <v>0.16000000000000003</v>
      </c>
      <c r="R418" s="1">
        <f>(Occurrence!F$3-H418)^2</f>
        <v>1</v>
      </c>
      <c r="S418" s="1">
        <f>(Occurrence!G$3-I418)^2</f>
        <v>0.30250000000000005</v>
      </c>
      <c r="T418" s="1">
        <f>(Occurrence!H$3-J418)^2</f>
        <v>0.28090000000000004</v>
      </c>
      <c r="U418" s="1">
        <f>(Occurrence!I$3-K418)^2</f>
        <v>9.0000000000000024E-2</v>
      </c>
      <c r="V418" s="1">
        <f>(Occurrence!J$3-L418)^2</f>
        <v>0.16000000000000003</v>
      </c>
      <c r="W418" s="1">
        <f>(Occurrence!K$3-M418)^2</f>
        <v>0.64000000000000012</v>
      </c>
      <c r="X418" s="1">
        <f t="shared" si="73"/>
        <v>3.5134000000000003</v>
      </c>
      <c r="Z418" s="1">
        <f t="shared" si="74"/>
        <v>0</v>
      </c>
      <c r="AA418" s="1">
        <f t="shared" si="75"/>
        <v>1</v>
      </c>
      <c r="AB418" s="1">
        <f t="shared" si="76"/>
        <v>0</v>
      </c>
      <c r="AC418" s="1">
        <f t="shared" si="77"/>
        <v>1</v>
      </c>
      <c r="AD418" s="1">
        <f t="shared" si="78"/>
        <v>1</v>
      </c>
      <c r="AE418" s="1">
        <f t="shared" si="79"/>
        <v>1</v>
      </c>
      <c r="AF418" s="1">
        <f t="shared" si="80"/>
        <v>0</v>
      </c>
      <c r="AG418" s="1">
        <f t="shared" si="81"/>
        <v>1</v>
      </c>
      <c r="AH418" s="1">
        <f t="shared" si="82"/>
        <v>0</v>
      </c>
      <c r="AI418" s="1">
        <f t="shared" si="83"/>
        <v>0</v>
      </c>
      <c r="AJ418" s="1">
        <f>SUMXMY2(Z418:AI418, Occurrence!B$3:K$3)</f>
        <v>6</v>
      </c>
      <c r="AK418" s="1">
        <f t="shared" si="84"/>
        <v>4</v>
      </c>
    </row>
    <row r="419" spans="1:37">
      <c r="A419" s="1">
        <v>418</v>
      </c>
      <c r="B419" s="1">
        <v>4252417</v>
      </c>
      <c r="C419" s="6" t="s">
        <v>37</v>
      </c>
      <c r="D419" s="1">
        <v>0.15</v>
      </c>
      <c r="E419" s="1">
        <v>0.18</v>
      </c>
      <c r="F419" s="1">
        <v>0.64</v>
      </c>
      <c r="G419" s="1">
        <v>0.78</v>
      </c>
      <c r="H419" s="1">
        <v>0.2</v>
      </c>
      <c r="I419" s="1">
        <v>0.35</v>
      </c>
      <c r="J419" s="1">
        <v>0.83</v>
      </c>
      <c r="K419" s="1">
        <v>0.99</v>
      </c>
      <c r="L419" s="1">
        <v>0.85</v>
      </c>
      <c r="M419" s="1">
        <v>0.55000000000000004</v>
      </c>
      <c r="N419" s="1">
        <f>(Occurrence!B$3-D419)^2</f>
        <v>2.2499999999999999E-2</v>
      </c>
      <c r="O419" s="1">
        <f>(Occurrence!C$3-E419)^2</f>
        <v>3.2399999999999998E-2</v>
      </c>
      <c r="P419" s="1">
        <f>(Occurrence!D$3-F419)^2</f>
        <v>0.12959999999999999</v>
      </c>
      <c r="Q419" s="1">
        <f>(Occurrence!E$3-G419)^2</f>
        <v>4.8399999999999992E-2</v>
      </c>
      <c r="R419" s="1">
        <f>(Occurrence!F$3-H419)^2</f>
        <v>4.0000000000000008E-2</v>
      </c>
      <c r="S419" s="1">
        <f>(Occurrence!G$3-I419)^2</f>
        <v>0.12249999999999998</v>
      </c>
      <c r="T419" s="1">
        <f>(Occurrence!H$3-J419)^2</f>
        <v>2.8900000000000012E-2</v>
      </c>
      <c r="U419" s="1">
        <f>(Occurrence!I$3-K419)^2</f>
        <v>1.0000000000000018E-4</v>
      </c>
      <c r="V419" s="1">
        <f>(Occurrence!J$3-L419)^2</f>
        <v>0.72249999999999992</v>
      </c>
      <c r="W419" s="1">
        <f>(Occurrence!K$3-M419)^2</f>
        <v>0.20249999999999996</v>
      </c>
      <c r="X419" s="1">
        <f t="shared" si="73"/>
        <v>1.3493999999999999</v>
      </c>
      <c r="Z419" s="1">
        <f t="shared" si="74"/>
        <v>0</v>
      </c>
      <c r="AA419" s="1">
        <f t="shared" si="75"/>
        <v>0</v>
      </c>
      <c r="AB419" s="1">
        <f t="shared" si="76"/>
        <v>1</v>
      </c>
      <c r="AC419" s="1">
        <f t="shared" si="77"/>
        <v>1</v>
      </c>
      <c r="AD419" s="1">
        <f t="shared" si="78"/>
        <v>0</v>
      </c>
      <c r="AE419" s="1">
        <f t="shared" si="79"/>
        <v>0</v>
      </c>
      <c r="AF419" s="1">
        <f t="shared" si="80"/>
        <v>1</v>
      </c>
      <c r="AG419" s="1">
        <f t="shared" si="81"/>
        <v>1</v>
      </c>
      <c r="AH419" s="1">
        <f t="shared" si="82"/>
        <v>1</v>
      </c>
      <c r="AI419" s="1">
        <f t="shared" si="83"/>
        <v>1</v>
      </c>
      <c r="AJ419" s="1">
        <f>SUMXMY2(Z419:AI419, Occurrence!B$3:K$3)</f>
        <v>1</v>
      </c>
      <c r="AK419" s="1">
        <f t="shared" si="84"/>
        <v>9</v>
      </c>
    </row>
    <row r="420" spans="1:37">
      <c r="A420" s="1">
        <v>419</v>
      </c>
      <c r="B420" s="1">
        <v>4252418</v>
      </c>
      <c r="C420" s="6" t="s">
        <v>37</v>
      </c>
      <c r="D420" s="1">
        <v>0.1</v>
      </c>
      <c r="E420" s="1">
        <v>0.2</v>
      </c>
      <c r="F420" s="1">
        <v>0.4</v>
      </c>
      <c r="G420" s="1">
        <v>0.5</v>
      </c>
      <c r="H420" s="1">
        <v>0.9</v>
      </c>
      <c r="I420" s="1">
        <v>0.7</v>
      </c>
      <c r="J420" s="1">
        <v>0.5</v>
      </c>
      <c r="K420" s="1">
        <v>0.3</v>
      </c>
      <c r="L420" s="1">
        <v>0.4</v>
      </c>
      <c r="M420" s="1">
        <v>0.5</v>
      </c>
      <c r="N420" s="1">
        <f>(Occurrence!B$3-D420)^2</f>
        <v>1.0000000000000002E-2</v>
      </c>
      <c r="O420" s="1">
        <f>(Occurrence!C$3-E420)^2</f>
        <v>4.0000000000000008E-2</v>
      </c>
      <c r="P420" s="1">
        <f>(Occurrence!D$3-F420)^2</f>
        <v>0.36</v>
      </c>
      <c r="Q420" s="1">
        <f>(Occurrence!E$3-G420)^2</f>
        <v>0.25</v>
      </c>
      <c r="R420" s="1">
        <f>(Occurrence!F$3-H420)^2</f>
        <v>0.81</v>
      </c>
      <c r="S420" s="1">
        <f>(Occurrence!G$3-I420)^2</f>
        <v>0.48999999999999994</v>
      </c>
      <c r="T420" s="1">
        <f>(Occurrence!H$3-J420)^2</f>
        <v>0.25</v>
      </c>
      <c r="U420" s="1">
        <f>(Occurrence!I$3-K420)^2</f>
        <v>0.48999999999999994</v>
      </c>
      <c r="V420" s="1">
        <f>(Occurrence!J$3-L420)^2</f>
        <v>0.16000000000000003</v>
      </c>
      <c r="W420" s="1">
        <f>(Occurrence!K$3-M420)^2</f>
        <v>0.25</v>
      </c>
      <c r="X420" s="1">
        <f t="shared" si="73"/>
        <v>3.11</v>
      </c>
      <c r="Z420" s="1">
        <f t="shared" si="74"/>
        <v>0</v>
      </c>
      <c r="AA420" s="1">
        <f t="shared" si="75"/>
        <v>0</v>
      </c>
      <c r="AB420" s="1">
        <f t="shared" si="76"/>
        <v>0</v>
      </c>
      <c r="AC420" s="1">
        <f t="shared" si="77"/>
        <v>1</v>
      </c>
      <c r="AD420" s="1">
        <f t="shared" si="78"/>
        <v>1</v>
      </c>
      <c r="AE420" s="1">
        <f t="shared" si="79"/>
        <v>1</v>
      </c>
      <c r="AF420" s="1">
        <f t="shared" si="80"/>
        <v>1</v>
      </c>
      <c r="AG420" s="1">
        <f t="shared" si="81"/>
        <v>0</v>
      </c>
      <c r="AH420" s="1">
        <f t="shared" si="82"/>
        <v>0</v>
      </c>
      <c r="AI420" s="1">
        <f t="shared" si="83"/>
        <v>1</v>
      </c>
      <c r="AJ420" s="1">
        <f>SUMXMY2(Z420:AI420, Occurrence!B$3:K$3)</f>
        <v>4</v>
      </c>
      <c r="AK420" s="1">
        <f t="shared" si="84"/>
        <v>6</v>
      </c>
    </row>
    <row r="421" spans="1:37">
      <c r="A421" s="1">
        <v>420</v>
      </c>
      <c r="B421" s="1">
        <v>4252419</v>
      </c>
      <c r="C421" s="6" t="s">
        <v>37</v>
      </c>
      <c r="D421" s="1">
        <v>0.1</v>
      </c>
      <c r="E421" s="1">
        <v>0.3</v>
      </c>
      <c r="F421" s="1">
        <v>0.5</v>
      </c>
      <c r="G421" s="1">
        <v>0.1</v>
      </c>
      <c r="H421" s="1">
        <v>0.9</v>
      </c>
      <c r="I421" s="1">
        <v>0.6</v>
      </c>
      <c r="J421" s="1">
        <v>0.4</v>
      </c>
      <c r="K421" s="1">
        <v>0.3</v>
      </c>
      <c r="L421" s="1">
        <v>0.6</v>
      </c>
      <c r="M421" s="1">
        <v>0.3</v>
      </c>
      <c r="N421" s="1">
        <f>(Occurrence!B$3-D421)^2</f>
        <v>1.0000000000000002E-2</v>
      </c>
      <c r="O421" s="1">
        <f>(Occurrence!C$3-E421)^2</f>
        <v>0.09</v>
      </c>
      <c r="P421" s="1">
        <f>(Occurrence!D$3-F421)^2</f>
        <v>0.25</v>
      </c>
      <c r="Q421" s="1">
        <f>(Occurrence!E$3-G421)^2</f>
        <v>0.81</v>
      </c>
      <c r="R421" s="1">
        <f>(Occurrence!F$3-H421)^2</f>
        <v>0.81</v>
      </c>
      <c r="S421" s="1">
        <f>(Occurrence!G$3-I421)^2</f>
        <v>0.36</v>
      </c>
      <c r="T421" s="1">
        <f>(Occurrence!H$3-J421)^2</f>
        <v>0.36</v>
      </c>
      <c r="U421" s="1">
        <f>(Occurrence!I$3-K421)^2</f>
        <v>0.48999999999999994</v>
      </c>
      <c r="V421" s="1">
        <f>(Occurrence!J$3-L421)^2</f>
        <v>0.36</v>
      </c>
      <c r="W421" s="1">
        <f>(Occurrence!K$3-M421)^2</f>
        <v>0.48999999999999994</v>
      </c>
      <c r="X421" s="1">
        <f t="shared" si="73"/>
        <v>4.0299999999999994</v>
      </c>
      <c r="Z421" s="1">
        <f t="shared" si="74"/>
        <v>0</v>
      </c>
      <c r="AA421" s="1">
        <f t="shared" si="75"/>
        <v>0</v>
      </c>
      <c r="AB421" s="1">
        <f t="shared" si="76"/>
        <v>1</v>
      </c>
      <c r="AC421" s="1">
        <f t="shared" si="77"/>
        <v>0</v>
      </c>
      <c r="AD421" s="1">
        <f t="shared" si="78"/>
        <v>1</v>
      </c>
      <c r="AE421" s="1">
        <f t="shared" si="79"/>
        <v>1</v>
      </c>
      <c r="AF421" s="1">
        <f t="shared" si="80"/>
        <v>0</v>
      </c>
      <c r="AG421" s="1">
        <f t="shared" si="81"/>
        <v>0</v>
      </c>
      <c r="AH421" s="1">
        <f t="shared" si="82"/>
        <v>1</v>
      </c>
      <c r="AI421" s="1">
        <f t="shared" si="83"/>
        <v>0</v>
      </c>
      <c r="AJ421" s="1">
        <f>SUMXMY2(Z421:AI421, Occurrence!B$3:K$3)</f>
        <v>7</v>
      </c>
      <c r="AK421" s="1">
        <f t="shared" si="84"/>
        <v>3</v>
      </c>
    </row>
    <row r="422" spans="1:37">
      <c r="A422" s="1">
        <v>421</v>
      </c>
      <c r="B422" s="1">
        <v>4252420</v>
      </c>
      <c r="C422" s="6" t="s">
        <v>37</v>
      </c>
      <c r="D422" s="1">
        <v>0.25</v>
      </c>
      <c r="E422" s="1">
        <v>0.5</v>
      </c>
      <c r="F422" s="1">
        <v>0.5</v>
      </c>
      <c r="G422" s="1">
        <v>0.75</v>
      </c>
      <c r="H422" s="1">
        <v>0.5</v>
      </c>
      <c r="I422" s="1">
        <v>0.3</v>
      </c>
      <c r="J422" s="1">
        <v>1</v>
      </c>
      <c r="K422" s="1">
        <v>1</v>
      </c>
      <c r="L422" s="1">
        <v>0.5</v>
      </c>
      <c r="M422" s="1">
        <v>1</v>
      </c>
      <c r="N422" s="1">
        <f>(Occurrence!B$3-D422)^2</f>
        <v>6.25E-2</v>
      </c>
      <c r="O422" s="1">
        <f>(Occurrence!C$3-E422)^2</f>
        <v>0.25</v>
      </c>
      <c r="P422" s="1">
        <f>(Occurrence!D$3-F422)^2</f>
        <v>0.25</v>
      </c>
      <c r="Q422" s="1">
        <f>(Occurrence!E$3-G422)^2</f>
        <v>6.25E-2</v>
      </c>
      <c r="R422" s="1">
        <f>(Occurrence!F$3-H422)^2</f>
        <v>0.25</v>
      </c>
      <c r="S422" s="1">
        <f>(Occurrence!G$3-I422)^2</f>
        <v>0.09</v>
      </c>
      <c r="T422" s="1">
        <f>(Occurrence!H$3-J422)^2</f>
        <v>0</v>
      </c>
      <c r="U422" s="1">
        <f>(Occurrence!I$3-K422)^2</f>
        <v>0</v>
      </c>
      <c r="V422" s="1">
        <f>(Occurrence!J$3-L422)^2</f>
        <v>0.25</v>
      </c>
      <c r="W422" s="1">
        <f>(Occurrence!K$3-M422)^2</f>
        <v>0</v>
      </c>
      <c r="X422" s="1">
        <f t="shared" si="73"/>
        <v>1.2149999999999999</v>
      </c>
      <c r="Z422" s="1">
        <f t="shared" si="74"/>
        <v>0</v>
      </c>
      <c r="AA422" s="1">
        <f t="shared" si="75"/>
        <v>1</v>
      </c>
      <c r="AB422" s="1">
        <f t="shared" si="76"/>
        <v>1</v>
      </c>
      <c r="AC422" s="1">
        <f t="shared" si="77"/>
        <v>1</v>
      </c>
      <c r="AD422" s="1">
        <f t="shared" si="78"/>
        <v>1</v>
      </c>
      <c r="AE422" s="1">
        <f t="shared" si="79"/>
        <v>0</v>
      </c>
      <c r="AF422" s="1">
        <f t="shared" si="80"/>
        <v>1</v>
      </c>
      <c r="AG422" s="1">
        <f t="shared" si="81"/>
        <v>1</v>
      </c>
      <c r="AH422" s="1">
        <f t="shared" si="82"/>
        <v>1</v>
      </c>
      <c r="AI422" s="1">
        <f t="shared" si="83"/>
        <v>1</v>
      </c>
      <c r="AJ422" s="1">
        <f>SUMXMY2(Z422:AI422, Occurrence!B$3:K$3)</f>
        <v>3</v>
      </c>
      <c r="AK422" s="1">
        <f t="shared" si="84"/>
        <v>7</v>
      </c>
    </row>
    <row r="423" spans="1:37">
      <c r="A423" s="1">
        <v>422</v>
      </c>
      <c r="B423" s="1">
        <v>4252421</v>
      </c>
      <c r="C423" s="6" t="s">
        <v>37</v>
      </c>
      <c r="D423" s="1">
        <v>0.12984000000000001</v>
      </c>
      <c r="E423" s="1">
        <v>0.17649999999999999</v>
      </c>
      <c r="F423" s="1">
        <v>0.71760000000000002</v>
      </c>
      <c r="G423" s="1">
        <v>0.8</v>
      </c>
      <c r="H423" s="1">
        <v>0.15290000000000001</v>
      </c>
      <c r="I423" s="1">
        <v>0.5</v>
      </c>
      <c r="J423" s="1">
        <v>0.75</v>
      </c>
      <c r="K423" s="1">
        <v>0.85</v>
      </c>
      <c r="L423" s="1">
        <v>0.4</v>
      </c>
      <c r="M423" s="1">
        <v>0.9</v>
      </c>
      <c r="N423" s="1">
        <f>(Occurrence!B$3-D423)^2</f>
        <v>1.6858425600000004E-2</v>
      </c>
      <c r="O423" s="1">
        <f>(Occurrence!C$3-E423)^2</f>
        <v>3.1152249999999996E-2</v>
      </c>
      <c r="P423" s="1">
        <f>(Occurrence!D$3-F423)^2</f>
        <v>7.9749759999999989E-2</v>
      </c>
      <c r="Q423" s="1">
        <f>(Occurrence!E$3-G423)^2</f>
        <v>3.999999999999998E-2</v>
      </c>
      <c r="R423" s="1">
        <f>(Occurrence!F$3-H423)^2</f>
        <v>2.3378410000000002E-2</v>
      </c>
      <c r="S423" s="1">
        <f>(Occurrence!G$3-I423)^2</f>
        <v>0.25</v>
      </c>
      <c r="T423" s="1">
        <f>(Occurrence!H$3-J423)^2</f>
        <v>6.25E-2</v>
      </c>
      <c r="U423" s="1">
        <f>(Occurrence!I$3-K423)^2</f>
        <v>2.2500000000000006E-2</v>
      </c>
      <c r="V423" s="1">
        <f>(Occurrence!J$3-L423)^2</f>
        <v>0.16000000000000003</v>
      </c>
      <c r="W423" s="1">
        <f>(Occurrence!K$3-M423)^2</f>
        <v>9.999999999999995E-3</v>
      </c>
      <c r="X423" s="1">
        <f t="shared" si="73"/>
        <v>0.69613884560000006</v>
      </c>
      <c r="Z423" s="1">
        <f t="shared" si="74"/>
        <v>0</v>
      </c>
      <c r="AA423" s="1">
        <f t="shared" si="75"/>
        <v>0</v>
      </c>
      <c r="AB423" s="1">
        <f t="shared" si="76"/>
        <v>1</v>
      </c>
      <c r="AC423" s="1">
        <f t="shared" si="77"/>
        <v>1</v>
      </c>
      <c r="AD423" s="1">
        <f t="shared" si="78"/>
        <v>0</v>
      </c>
      <c r="AE423" s="1">
        <f t="shared" si="79"/>
        <v>1</v>
      </c>
      <c r="AF423" s="1">
        <f t="shared" si="80"/>
        <v>1</v>
      </c>
      <c r="AG423" s="1">
        <f t="shared" si="81"/>
        <v>1</v>
      </c>
      <c r="AH423" s="1">
        <f t="shared" si="82"/>
        <v>0</v>
      </c>
      <c r="AI423" s="1">
        <f t="shared" si="83"/>
        <v>1</v>
      </c>
      <c r="AJ423" s="1">
        <f>SUMXMY2(Z423:AI423, Occurrence!B$3:K$3)</f>
        <v>1</v>
      </c>
      <c r="AK423" s="1">
        <f t="shared" si="84"/>
        <v>9</v>
      </c>
    </row>
    <row r="424" spans="1:37">
      <c r="A424" s="1">
        <v>423</v>
      </c>
      <c r="B424" s="1">
        <v>4252422</v>
      </c>
      <c r="C424" s="6" t="s">
        <v>37</v>
      </c>
      <c r="D424" s="1">
        <v>0.5</v>
      </c>
      <c r="E424" s="1">
        <v>0.25</v>
      </c>
      <c r="F424" s="1">
        <v>0.5</v>
      </c>
      <c r="G424" s="1">
        <v>0.75</v>
      </c>
      <c r="H424" s="1">
        <v>0.5</v>
      </c>
      <c r="I424" s="1">
        <v>1</v>
      </c>
      <c r="J424" s="1">
        <v>1</v>
      </c>
      <c r="K424" s="1">
        <v>1</v>
      </c>
      <c r="L424" s="1">
        <v>1</v>
      </c>
      <c r="M424" s="1">
        <v>1</v>
      </c>
      <c r="N424" s="1">
        <f>(Occurrence!B$3-D424)^2</f>
        <v>0.25</v>
      </c>
      <c r="O424" s="1">
        <f>(Occurrence!C$3-E424)^2</f>
        <v>6.25E-2</v>
      </c>
      <c r="P424" s="1">
        <f>(Occurrence!D$3-F424)^2</f>
        <v>0.25</v>
      </c>
      <c r="Q424" s="1">
        <f>(Occurrence!E$3-G424)^2</f>
        <v>6.25E-2</v>
      </c>
      <c r="R424" s="1">
        <f>(Occurrence!F$3-H424)^2</f>
        <v>0.25</v>
      </c>
      <c r="S424" s="1">
        <f>(Occurrence!G$3-I424)^2</f>
        <v>1</v>
      </c>
      <c r="T424" s="1">
        <f>(Occurrence!H$3-J424)^2</f>
        <v>0</v>
      </c>
      <c r="U424" s="1">
        <f>(Occurrence!I$3-K424)^2</f>
        <v>0</v>
      </c>
      <c r="V424" s="1">
        <f>(Occurrence!J$3-L424)^2</f>
        <v>1</v>
      </c>
      <c r="W424" s="1">
        <f>(Occurrence!K$3-M424)^2</f>
        <v>0</v>
      </c>
      <c r="X424" s="1">
        <f t="shared" si="73"/>
        <v>2.875</v>
      </c>
      <c r="Z424" s="1">
        <f t="shared" si="74"/>
        <v>1</v>
      </c>
      <c r="AA424" s="1">
        <f t="shared" si="75"/>
        <v>0</v>
      </c>
      <c r="AB424" s="1">
        <f t="shared" si="76"/>
        <v>1</v>
      </c>
      <c r="AC424" s="1">
        <f t="shared" si="77"/>
        <v>1</v>
      </c>
      <c r="AD424" s="1">
        <f t="shared" si="78"/>
        <v>1</v>
      </c>
      <c r="AE424" s="1">
        <f t="shared" si="79"/>
        <v>1</v>
      </c>
      <c r="AF424" s="1">
        <f t="shared" si="80"/>
        <v>1</v>
      </c>
      <c r="AG424" s="1">
        <f t="shared" si="81"/>
        <v>1</v>
      </c>
      <c r="AH424" s="1">
        <f t="shared" si="82"/>
        <v>1</v>
      </c>
      <c r="AI424" s="1">
        <f t="shared" si="83"/>
        <v>1</v>
      </c>
      <c r="AJ424" s="1">
        <f>SUMXMY2(Z424:AI424, Occurrence!B$3:K$3)</f>
        <v>4</v>
      </c>
      <c r="AK424" s="1">
        <f t="shared" si="84"/>
        <v>6</v>
      </c>
    </row>
    <row r="425" spans="1:37">
      <c r="A425" s="1">
        <v>424</v>
      </c>
      <c r="B425" s="1">
        <v>4252423</v>
      </c>
      <c r="C425" s="6" t="s">
        <v>37</v>
      </c>
      <c r="D425" s="1">
        <v>0.5</v>
      </c>
      <c r="E425" s="1">
        <v>0.25</v>
      </c>
      <c r="F425" s="1">
        <v>0.5</v>
      </c>
      <c r="G425" s="1">
        <v>0.75</v>
      </c>
      <c r="H425" s="1">
        <v>0.5</v>
      </c>
      <c r="I425" s="1">
        <v>0.85</v>
      </c>
      <c r="J425" s="1">
        <v>1</v>
      </c>
      <c r="K425" s="1">
        <v>1</v>
      </c>
      <c r="L425" s="1">
        <v>1</v>
      </c>
      <c r="M425" s="1">
        <v>1</v>
      </c>
      <c r="N425" s="1">
        <f>(Occurrence!B$3-D425)^2</f>
        <v>0.25</v>
      </c>
      <c r="O425" s="1">
        <f>(Occurrence!C$3-E425)^2</f>
        <v>6.25E-2</v>
      </c>
      <c r="P425" s="1">
        <f>(Occurrence!D$3-F425)^2</f>
        <v>0.25</v>
      </c>
      <c r="Q425" s="1">
        <f>(Occurrence!E$3-G425)^2</f>
        <v>6.25E-2</v>
      </c>
      <c r="R425" s="1">
        <f>(Occurrence!F$3-H425)^2</f>
        <v>0.25</v>
      </c>
      <c r="S425" s="1">
        <f>(Occurrence!G$3-I425)^2</f>
        <v>0.72249999999999992</v>
      </c>
      <c r="T425" s="1">
        <f>(Occurrence!H$3-J425)^2</f>
        <v>0</v>
      </c>
      <c r="U425" s="1">
        <f>(Occurrence!I$3-K425)^2</f>
        <v>0</v>
      </c>
      <c r="V425" s="1">
        <f>(Occurrence!J$3-L425)^2</f>
        <v>1</v>
      </c>
      <c r="W425" s="1">
        <f>(Occurrence!K$3-M425)^2</f>
        <v>0</v>
      </c>
      <c r="X425" s="1">
        <f t="shared" si="73"/>
        <v>2.5975000000000001</v>
      </c>
      <c r="Z425" s="1">
        <f t="shared" si="74"/>
        <v>1</v>
      </c>
      <c r="AA425" s="1">
        <f t="shared" si="75"/>
        <v>0</v>
      </c>
      <c r="AB425" s="1">
        <f t="shared" si="76"/>
        <v>1</v>
      </c>
      <c r="AC425" s="1">
        <f t="shared" si="77"/>
        <v>1</v>
      </c>
      <c r="AD425" s="1">
        <f t="shared" si="78"/>
        <v>1</v>
      </c>
      <c r="AE425" s="1">
        <f t="shared" si="79"/>
        <v>1</v>
      </c>
      <c r="AF425" s="1">
        <f t="shared" si="80"/>
        <v>1</v>
      </c>
      <c r="AG425" s="1">
        <f t="shared" si="81"/>
        <v>1</v>
      </c>
      <c r="AH425" s="1">
        <f t="shared" si="82"/>
        <v>1</v>
      </c>
      <c r="AI425" s="1">
        <f t="shared" si="83"/>
        <v>1</v>
      </c>
      <c r="AJ425" s="1">
        <f>SUMXMY2(Z425:AI425, Occurrence!B$3:K$3)</f>
        <v>4</v>
      </c>
      <c r="AK425" s="1">
        <f t="shared" si="84"/>
        <v>6</v>
      </c>
    </row>
    <row r="426" spans="1:37">
      <c r="A426" s="1">
        <v>425</v>
      </c>
      <c r="B426" s="1">
        <v>4252424</v>
      </c>
      <c r="C426" s="6" t="s">
        <v>37</v>
      </c>
      <c r="D426" s="1">
        <v>0.5</v>
      </c>
      <c r="E426" s="1">
        <v>0.25</v>
      </c>
      <c r="F426" s="1">
        <v>0.5</v>
      </c>
      <c r="G426" s="1">
        <v>0.75</v>
      </c>
      <c r="H426" s="1">
        <v>0.6</v>
      </c>
      <c r="I426" s="1">
        <v>0.75</v>
      </c>
      <c r="J426" s="1">
        <v>1</v>
      </c>
      <c r="K426" s="1">
        <v>1</v>
      </c>
      <c r="L426" s="1">
        <v>0.5</v>
      </c>
      <c r="M426" s="1">
        <v>1</v>
      </c>
      <c r="N426" s="1">
        <f>(Occurrence!B$3-D426)^2</f>
        <v>0.25</v>
      </c>
      <c r="O426" s="1">
        <f>(Occurrence!C$3-E426)^2</f>
        <v>6.25E-2</v>
      </c>
      <c r="P426" s="1">
        <f>(Occurrence!D$3-F426)^2</f>
        <v>0.25</v>
      </c>
      <c r="Q426" s="1">
        <f>(Occurrence!E$3-G426)^2</f>
        <v>6.25E-2</v>
      </c>
      <c r="R426" s="1">
        <f>(Occurrence!F$3-H426)^2</f>
        <v>0.36</v>
      </c>
      <c r="S426" s="1">
        <f>(Occurrence!G$3-I426)^2</f>
        <v>0.5625</v>
      </c>
      <c r="T426" s="1">
        <f>(Occurrence!H$3-J426)^2</f>
        <v>0</v>
      </c>
      <c r="U426" s="1">
        <f>(Occurrence!I$3-K426)^2</f>
        <v>0</v>
      </c>
      <c r="V426" s="1">
        <f>(Occurrence!J$3-L426)^2</f>
        <v>0.25</v>
      </c>
      <c r="W426" s="1">
        <f>(Occurrence!K$3-M426)^2</f>
        <v>0</v>
      </c>
      <c r="X426" s="1">
        <f t="shared" si="73"/>
        <v>1.7974999999999999</v>
      </c>
      <c r="Z426" s="1">
        <f t="shared" si="74"/>
        <v>1</v>
      </c>
      <c r="AA426" s="1">
        <f t="shared" si="75"/>
        <v>0</v>
      </c>
      <c r="AB426" s="1">
        <f t="shared" si="76"/>
        <v>1</v>
      </c>
      <c r="AC426" s="1">
        <f t="shared" si="77"/>
        <v>1</v>
      </c>
      <c r="AD426" s="1">
        <f t="shared" si="78"/>
        <v>1</v>
      </c>
      <c r="AE426" s="1">
        <f t="shared" si="79"/>
        <v>1</v>
      </c>
      <c r="AF426" s="1">
        <f t="shared" si="80"/>
        <v>1</v>
      </c>
      <c r="AG426" s="1">
        <f t="shared" si="81"/>
        <v>1</v>
      </c>
      <c r="AH426" s="1">
        <f t="shared" si="82"/>
        <v>1</v>
      </c>
      <c r="AI426" s="1">
        <f t="shared" si="83"/>
        <v>1</v>
      </c>
      <c r="AJ426" s="1">
        <f>SUMXMY2(Z426:AI426, Occurrence!B$3:K$3)</f>
        <v>4</v>
      </c>
      <c r="AK426" s="1">
        <f t="shared" si="84"/>
        <v>6</v>
      </c>
    </row>
    <row r="427" spans="1:37">
      <c r="A427" s="1">
        <v>426</v>
      </c>
      <c r="B427" s="1">
        <v>4252425</v>
      </c>
      <c r="C427" s="6" t="s">
        <v>37</v>
      </c>
      <c r="D427" s="1">
        <v>0.1</v>
      </c>
      <c r="E427" s="1">
        <v>0.15</v>
      </c>
      <c r="F427" s="1">
        <v>0.5</v>
      </c>
      <c r="G427" s="1">
        <v>0.6</v>
      </c>
      <c r="H427" s="1">
        <v>1</v>
      </c>
      <c r="I427" s="1">
        <v>0.4</v>
      </c>
      <c r="J427" s="1">
        <v>0.75</v>
      </c>
      <c r="K427" s="1">
        <v>0.94</v>
      </c>
      <c r="L427" s="1">
        <v>0.26</v>
      </c>
      <c r="M427" s="1">
        <v>0.85</v>
      </c>
      <c r="N427" s="1">
        <f>(Occurrence!B$3-D427)^2</f>
        <v>1.0000000000000002E-2</v>
      </c>
      <c r="O427" s="1">
        <f>(Occurrence!C$3-E427)^2</f>
        <v>2.2499999999999999E-2</v>
      </c>
      <c r="P427" s="1">
        <f>(Occurrence!D$3-F427)^2</f>
        <v>0.25</v>
      </c>
      <c r="Q427" s="1">
        <f>(Occurrence!E$3-G427)^2</f>
        <v>0.16000000000000003</v>
      </c>
      <c r="R427" s="1">
        <f>(Occurrence!F$3-H427)^2</f>
        <v>1</v>
      </c>
      <c r="S427" s="1">
        <f>(Occurrence!G$3-I427)^2</f>
        <v>0.16000000000000003</v>
      </c>
      <c r="T427" s="1">
        <f>(Occurrence!H$3-J427)^2</f>
        <v>6.25E-2</v>
      </c>
      <c r="U427" s="1">
        <f>(Occurrence!I$3-K427)^2</f>
        <v>3.6000000000000064E-3</v>
      </c>
      <c r="V427" s="1">
        <f>(Occurrence!J$3-L427)^2</f>
        <v>6.7600000000000007E-2</v>
      </c>
      <c r="W427" s="1">
        <f>(Occurrence!K$3-M427)^2</f>
        <v>2.2500000000000006E-2</v>
      </c>
      <c r="X427" s="1">
        <f t="shared" si="73"/>
        <v>1.7587000000000002</v>
      </c>
      <c r="Z427" s="1">
        <f t="shared" si="74"/>
        <v>0</v>
      </c>
      <c r="AA427" s="1">
        <f t="shared" si="75"/>
        <v>0</v>
      </c>
      <c r="AB427" s="1">
        <f t="shared" si="76"/>
        <v>1</v>
      </c>
      <c r="AC427" s="1">
        <f t="shared" si="77"/>
        <v>1</v>
      </c>
      <c r="AD427" s="1">
        <f t="shared" si="78"/>
        <v>1</v>
      </c>
      <c r="AE427" s="1">
        <f t="shared" si="79"/>
        <v>0</v>
      </c>
      <c r="AF427" s="1">
        <f t="shared" si="80"/>
        <v>1</v>
      </c>
      <c r="AG427" s="1">
        <f t="shared" si="81"/>
        <v>1</v>
      </c>
      <c r="AH427" s="1">
        <f t="shared" si="82"/>
        <v>0</v>
      </c>
      <c r="AI427" s="1">
        <f t="shared" si="83"/>
        <v>1</v>
      </c>
      <c r="AJ427" s="1">
        <f>SUMXMY2(Z427:AI427, Occurrence!B$3:K$3)</f>
        <v>1</v>
      </c>
      <c r="AK427" s="1">
        <f t="shared" si="84"/>
        <v>9</v>
      </c>
    </row>
    <row r="428" spans="1:37">
      <c r="A428" s="1">
        <v>427</v>
      </c>
      <c r="B428" s="1">
        <v>4252426</v>
      </c>
      <c r="C428" s="6" t="s">
        <v>37</v>
      </c>
      <c r="D428" s="1">
        <v>0.05</v>
      </c>
      <c r="E428" s="1">
        <v>0.1</v>
      </c>
      <c r="F428" s="1">
        <v>0.5</v>
      </c>
      <c r="G428" s="1">
        <v>0.9</v>
      </c>
      <c r="H428" s="1">
        <v>0.4</v>
      </c>
      <c r="I428" s="1">
        <v>0.6</v>
      </c>
      <c r="J428" s="1">
        <v>0.3</v>
      </c>
      <c r="K428" s="1">
        <v>0.1</v>
      </c>
      <c r="L428" s="1">
        <v>0.05</v>
      </c>
      <c r="M428" s="1">
        <v>0.15</v>
      </c>
      <c r="N428" s="1">
        <f>(Occurrence!B$3-D428)^2</f>
        <v>2.5000000000000005E-3</v>
      </c>
      <c r="O428" s="1">
        <f>(Occurrence!C$3-E428)^2</f>
        <v>1.0000000000000002E-2</v>
      </c>
      <c r="P428" s="1">
        <f>(Occurrence!D$3-F428)^2</f>
        <v>0.25</v>
      </c>
      <c r="Q428" s="1">
        <f>(Occurrence!E$3-G428)^2</f>
        <v>9.999999999999995E-3</v>
      </c>
      <c r="R428" s="1">
        <f>(Occurrence!F$3-H428)^2</f>
        <v>0.16000000000000003</v>
      </c>
      <c r="S428" s="1">
        <f>(Occurrence!G$3-I428)^2</f>
        <v>0.36</v>
      </c>
      <c r="T428" s="1">
        <f>(Occurrence!H$3-J428)^2</f>
        <v>0.48999999999999994</v>
      </c>
      <c r="U428" s="1">
        <f>(Occurrence!I$3-K428)^2</f>
        <v>0.81</v>
      </c>
      <c r="V428" s="1">
        <f>(Occurrence!J$3-L428)^2</f>
        <v>2.5000000000000005E-3</v>
      </c>
      <c r="W428" s="1">
        <f>(Occurrence!K$3-M428)^2</f>
        <v>0.72249999999999992</v>
      </c>
      <c r="X428" s="1">
        <f t="shared" si="73"/>
        <v>2.8174999999999999</v>
      </c>
      <c r="Z428" s="1">
        <f t="shared" si="74"/>
        <v>0</v>
      </c>
      <c r="AA428" s="1">
        <f t="shared" si="75"/>
        <v>0</v>
      </c>
      <c r="AB428" s="1">
        <f t="shared" si="76"/>
        <v>1</v>
      </c>
      <c r="AC428" s="1">
        <f t="shared" si="77"/>
        <v>1</v>
      </c>
      <c r="AD428" s="1">
        <f t="shared" si="78"/>
        <v>0</v>
      </c>
      <c r="AE428" s="1">
        <f t="shared" si="79"/>
        <v>1</v>
      </c>
      <c r="AF428" s="1">
        <f t="shared" si="80"/>
        <v>0</v>
      </c>
      <c r="AG428" s="1">
        <f t="shared" si="81"/>
        <v>0</v>
      </c>
      <c r="AH428" s="1">
        <f t="shared" si="82"/>
        <v>0</v>
      </c>
      <c r="AI428" s="1">
        <f t="shared" si="83"/>
        <v>0</v>
      </c>
      <c r="AJ428" s="1">
        <f>SUMXMY2(Z428:AI428, Occurrence!B$3:K$3)</f>
        <v>4</v>
      </c>
      <c r="AK428" s="1">
        <f t="shared" si="84"/>
        <v>6</v>
      </c>
    </row>
    <row r="429" spans="1:37">
      <c r="A429" s="1">
        <v>428</v>
      </c>
      <c r="B429" s="1">
        <v>4252427</v>
      </c>
      <c r="C429" s="6" t="s">
        <v>37</v>
      </c>
      <c r="D429" s="1">
        <v>0.5</v>
      </c>
      <c r="E429" s="1">
        <v>0.4</v>
      </c>
      <c r="F429" s="1">
        <v>0.5</v>
      </c>
      <c r="G429" s="1">
        <v>0.6</v>
      </c>
      <c r="H429" s="1">
        <v>1</v>
      </c>
      <c r="I429" s="1">
        <v>0</v>
      </c>
      <c r="J429" s="1">
        <v>0.5</v>
      </c>
      <c r="K429" s="1">
        <v>1</v>
      </c>
      <c r="L429" s="1">
        <v>0</v>
      </c>
      <c r="M429" s="1">
        <v>1</v>
      </c>
      <c r="N429" s="1">
        <f>(Occurrence!B$3-D429)^2</f>
        <v>0.25</v>
      </c>
      <c r="O429" s="1">
        <f>(Occurrence!C$3-E429)^2</f>
        <v>0.16000000000000003</v>
      </c>
      <c r="P429" s="1">
        <f>(Occurrence!D$3-F429)^2</f>
        <v>0.25</v>
      </c>
      <c r="Q429" s="1">
        <f>(Occurrence!E$3-G429)^2</f>
        <v>0.16000000000000003</v>
      </c>
      <c r="R429" s="1">
        <f>(Occurrence!F$3-H429)^2</f>
        <v>1</v>
      </c>
      <c r="S429" s="1">
        <f>(Occurrence!G$3-I429)^2</f>
        <v>0</v>
      </c>
      <c r="T429" s="1">
        <f>(Occurrence!H$3-J429)^2</f>
        <v>0.25</v>
      </c>
      <c r="U429" s="1">
        <f>(Occurrence!I$3-K429)^2</f>
        <v>0</v>
      </c>
      <c r="V429" s="1">
        <f>(Occurrence!J$3-L429)^2</f>
        <v>0</v>
      </c>
      <c r="W429" s="1">
        <f>(Occurrence!K$3-M429)^2</f>
        <v>0</v>
      </c>
      <c r="X429" s="1">
        <f t="shared" si="73"/>
        <v>2.0700000000000003</v>
      </c>
      <c r="Z429" s="1">
        <f t="shared" si="74"/>
        <v>1</v>
      </c>
      <c r="AA429" s="1">
        <f t="shared" si="75"/>
        <v>0</v>
      </c>
      <c r="AB429" s="1">
        <f t="shared" si="76"/>
        <v>1</v>
      </c>
      <c r="AC429" s="1">
        <f t="shared" si="77"/>
        <v>1</v>
      </c>
      <c r="AD429" s="1">
        <f t="shared" si="78"/>
        <v>1</v>
      </c>
      <c r="AE429" s="1">
        <f t="shared" si="79"/>
        <v>0</v>
      </c>
      <c r="AF429" s="1">
        <f t="shared" si="80"/>
        <v>1</v>
      </c>
      <c r="AG429" s="1">
        <f t="shared" si="81"/>
        <v>1</v>
      </c>
      <c r="AH429" s="1">
        <f t="shared" si="82"/>
        <v>0</v>
      </c>
      <c r="AI429" s="1">
        <f t="shared" si="83"/>
        <v>1</v>
      </c>
      <c r="AJ429" s="1">
        <f>SUMXMY2(Z429:AI429, Occurrence!B$3:K$3)</f>
        <v>2</v>
      </c>
      <c r="AK429" s="1">
        <f t="shared" si="84"/>
        <v>8</v>
      </c>
    </row>
    <row r="430" spans="1:37">
      <c r="A430" s="1">
        <v>429</v>
      </c>
      <c r="B430" s="1">
        <v>4252428</v>
      </c>
      <c r="C430" s="6" t="s">
        <v>37</v>
      </c>
      <c r="D430" s="1">
        <v>0.05</v>
      </c>
      <c r="E430" s="1">
        <v>0.2</v>
      </c>
      <c r="F430" s="1">
        <v>0.2</v>
      </c>
      <c r="G430" s="1">
        <v>0.8</v>
      </c>
      <c r="H430" s="1">
        <v>0</v>
      </c>
      <c r="I430" s="1">
        <v>0.7</v>
      </c>
      <c r="J430" s="1">
        <v>0.6</v>
      </c>
      <c r="K430" s="1">
        <v>0.9</v>
      </c>
      <c r="L430" s="1">
        <v>0.99</v>
      </c>
      <c r="M430" s="1">
        <v>0.6</v>
      </c>
      <c r="N430" s="1">
        <f>(Occurrence!B$3-D430)^2</f>
        <v>2.5000000000000005E-3</v>
      </c>
      <c r="O430" s="1">
        <f>(Occurrence!C$3-E430)^2</f>
        <v>4.0000000000000008E-2</v>
      </c>
      <c r="P430" s="1">
        <f>(Occurrence!D$3-F430)^2</f>
        <v>0.64000000000000012</v>
      </c>
      <c r="Q430" s="1">
        <f>(Occurrence!E$3-G430)^2</f>
        <v>3.999999999999998E-2</v>
      </c>
      <c r="R430" s="1">
        <f>(Occurrence!F$3-H430)^2</f>
        <v>0</v>
      </c>
      <c r="S430" s="1">
        <f>(Occurrence!G$3-I430)^2</f>
        <v>0.48999999999999994</v>
      </c>
      <c r="T430" s="1">
        <f>(Occurrence!H$3-J430)^2</f>
        <v>0.16000000000000003</v>
      </c>
      <c r="U430" s="1">
        <f>(Occurrence!I$3-K430)^2</f>
        <v>9.999999999999995E-3</v>
      </c>
      <c r="V430" s="1">
        <f>(Occurrence!J$3-L430)^2</f>
        <v>0.98009999999999997</v>
      </c>
      <c r="W430" s="1">
        <f>(Occurrence!K$3-M430)^2</f>
        <v>0.16000000000000003</v>
      </c>
      <c r="X430" s="1">
        <f t="shared" si="73"/>
        <v>2.5226000000000002</v>
      </c>
      <c r="Z430" s="1">
        <f t="shared" si="74"/>
        <v>0</v>
      </c>
      <c r="AA430" s="1">
        <f t="shared" si="75"/>
        <v>0</v>
      </c>
      <c r="AB430" s="1">
        <f t="shared" si="76"/>
        <v>0</v>
      </c>
      <c r="AC430" s="1">
        <f t="shared" si="77"/>
        <v>1</v>
      </c>
      <c r="AD430" s="1">
        <f t="shared" si="78"/>
        <v>0</v>
      </c>
      <c r="AE430" s="1">
        <f t="shared" si="79"/>
        <v>1</v>
      </c>
      <c r="AF430" s="1">
        <f t="shared" si="80"/>
        <v>1</v>
      </c>
      <c r="AG430" s="1">
        <f t="shared" si="81"/>
        <v>1</v>
      </c>
      <c r="AH430" s="1">
        <f t="shared" si="82"/>
        <v>1</v>
      </c>
      <c r="AI430" s="1">
        <f t="shared" si="83"/>
        <v>1</v>
      </c>
      <c r="AJ430" s="1">
        <f>SUMXMY2(Z430:AI430, Occurrence!B$3:K$3)</f>
        <v>3</v>
      </c>
      <c r="AK430" s="1">
        <f t="shared" si="84"/>
        <v>7</v>
      </c>
    </row>
    <row r="431" spans="1:37">
      <c r="A431" s="1">
        <v>430</v>
      </c>
      <c r="B431" s="1">
        <v>4252429</v>
      </c>
      <c r="C431" s="6" t="s">
        <v>37</v>
      </c>
      <c r="D431" s="1">
        <v>0.88100000000000001</v>
      </c>
      <c r="E431" s="1">
        <v>0.83330000000000004</v>
      </c>
      <c r="F431" s="1">
        <v>0.72619999999999996</v>
      </c>
      <c r="G431" s="1">
        <v>0.8095</v>
      </c>
      <c r="H431" s="1">
        <v>0.15479999999999999</v>
      </c>
      <c r="I431" s="1">
        <v>0.5</v>
      </c>
      <c r="J431" s="1">
        <v>0.5</v>
      </c>
      <c r="K431" s="1">
        <v>0.5</v>
      </c>
      <c r="L431" s="1">
        <v>0.5</v>
      </c>
      <c r="M431" s="1">
        <v>0.5</v>
      </c>
      <c r="N431" s="1">
        <f>(Occurrence!B$3-D431)^2</f>
        <v>0.77616099999999999</v>
      </c>
      <c r="O431" s="1">
        <f>(Occurrence!C$3-E431)^2</f>
        <v>0.69438889000000004</v>
      </c>
      <c r="P431" s="1">
        <f>(Occurrence!D$3-F431)^2</f>
        <v>7.4966440000000023E-2</v>
      </c>
      <c r="Q431" s="1">
        <f>(Occurrence!E$3-G431)^2</f>
        <v>3.6290250000000003E-2</v>
      </c>
      <c r="R431" s="1">
        <f>(Occurrence!F$3-H431)^2</f>
        <v>2.3963039999999998E-2</v>
      </c>
      <c r="S431" s="1">
        <f>(Occurrence!G$3-I431)^2</f>
        <v>0.25</v>
      </c>
      <c r="T431" s="1">
        <f>(Occurrence!H$3-J431)^2</f>
        <v>0.25</v>
      </c>
      <c r="U431" s="1">
        <f>(Occurrence!I$3-K431)^2</f>
        <v>0.25</v>
      </c>
      <c r="V431" s="1">
        <f>(Occurrence!J$3-L431)^2</f>
        <v>0.25</v>
      </c>
      <c r="W431" s="1">
        <f>(Occurrence!K$3-M431)^2</f>
        <v>0.25</v>
      </c>
      <c r="X431" s="1">
        <f t="shared" si="73"/>
        <v>2.8557696200000002</v>
      </c>
      <c r="Z431" s="1">
        <f t="shared" si="74"/>
        <v>1</v>
      </c>
      <c r="AA431" s="1">
        <f t="shared" si="75"/>
        <v>1</v>
      </c>
      <c r="AB431" s="1">
        <f t="shared" si="76"/>
        <v>1</v>
      </c>
      <c r="AC431" s="1">
        <f t="shared" si="77"/>
        <v>1</v>
      </c>
      <c r="AD431" s="1">
        <f t="shared" si="78"/>
        <v>0</v>
      </c>
      <c r="AE431" s="1">
        <f t="shared" si="79"/>
        <v>1</v>
      </c>
      <c r="AF431" s="1">
        <f t="shared" si="80"/>
        <v>1</v>
      </c>
      <c r="AG431" s="1">
        <f t="shared" si="81"/>
        <v>1</v>
      </c>
      <c r="AH431" s="1">
        <f t="shared" si="82"/>
        <v>1</v>
      </c>
      <c r="AI431" s="1">
        <f t="shared" si="83"/>
        <v>1</v>
      </c>
      <c r="AJ431" s="1">
        <f>SUMXMY2(Z431:AI431, Occurrence!B$3:K$3)</f>
        <v>4</v>
      </c>
      <c r="AK431" s="1">
        <f t="shared" si="84"/>
        <v>6</v>
      </c>
    </row>
    <row r="432" spans="1:37">
      <c r="A432" s="1">
        <v>431</v>
      </c>
      <c r="B432" s="1">
        <v>4252430</v>
      </c>
      <c r="C432" s="6" t="s">
        <v>37</v>
      </c>
      <c r="D432" s="1">
        <v>1</v>
      </c>
      <c r="E432" s="1">
        <v>1</v>
      </c>
      <c r="F432" s="1">
        <v>0.5</v>
      </c>
      <c r="G432" s="1">
        <v>0.5</v>
      </c>
      <c r="H432" s="1">
        <v>0.5</v>
      </c>
      <c r="I432" s="1">
        <v>0.9</v>
      </c>
      <c r="J432" s="1">
        <v>0.01</v>
      </c>
      <c r="K432" s="1">
        <v>0.4</v>
      </c>
      <c r="L432" s="1">
        <v>0.8</v>
      </c>
      <c r="M432" s="1">
        <v>0.4</v>
      </c>
      <c r="N432" s="1">
        <f>(Occurrence!B$3-D432)^2</f>
        <v>1</v>
      </c>
      <c r="O432" s="1">
        <f>(Occurrence!C$3-E432)^2</f>
        <v>1</v>
      </c>
      <c r="P432" s="1">
        <f>(Occurrence!D$3-F432)^2</f>
        <v>0.25</v>
      </c>
      <c r="Q432" s="1">
        <f>(Occurrence!E$3-G432)^2</f>
        <v>0.25</v>
      </c>
      <c r="R432" s="1">
        <f>(Occurrence!F$3-H432)^2</f>
        <v>0.25</v>
      </c>
      <c r="S432" s="1">
        <f>(Occurrence!G$3-I432)^2</f>
        <v>0.81</v>
      </c>
      <c r="T432" s="1">
        <f>(Occurrence!H$3-J432)^2</f>
        <v>0.98009999999999997</v>
      </c>
      <c r="U432" s="1">
        <f>(Occurrence!I$3-K432)^2</f>
        <v>0.36</v>
      </c>
      <c r="V432" s="1">
        <f>(Occurrence!J$3-L432)^2</f>
        <v>0.64000000000000012</v>
      </c>
      <c r="W432" s="1">
        <f>(Occurrence!K$3-M432)^2</f>
        <v>0.36</v>
      </c>
      <c r="X432" s="1">
        <f t="shared" si="73"/>
        <v>5.900100000000001</v>
      </c>
      <c r="Z432" s="1">
        <f t="shared" si="74"/>
        <v>1</v>
      </c>
      <c r="AA432" s="1">
        <f t="shared" si="75"/>
        <v>1</v>
      </c>
      <c r="AB432" s="1">
        <f t="shared" si="76"/>
        <v>1</v>
      </c>
      <c r="AC432" s="1">
        <f t="shared" si="77"/>
        <v>1</v>
      </c>
      <c r="AD432" s="1">
        <f t="shared" si="78"/>
        <v>1</v>
      </c>
      <c r="AE432" s="1">
        <f t="shared" si="79"/>
        <v>1</v>
      </c>
      <c r="AF432" s="1">
        <f t="shared" si="80"/>
        <v>0</v>
      </c>
      <c r="AG432" s="1">
        <f t="shared" si="81"/>
        <v>0</v>
      </c>
      <c r="AH432" s="1">
        <f t="shared" si="82"/>
        <v>1</v>
      </c>
      <c r="AI432" s="1">
        <f t="shared" si="83"/>
        <v>0</v>
      </c>
      <c r="AJ432" s="1">
        <f>SUMXMY2(Z432:AI432, Occurrence!B$3:K$3)</f>
        <v>8</v>
      </c>
      <c r="AK432" s="1">
        <f t="shared" si="84"/>
        <v>2</v>
      </c>
    </row>
    <row r="433" spans="1:37">
      <c r="A433" s="1">
        <v>432</v>
      </c>
      <c r="B433" s="1">
        <v>4252431</v>
      </c>
      <c r="C433" s="6" t="s">
        <v>37</v>
      </c>
      <c r="D433" s="1">
        <v>0.5</v>
      </c>
      <c r="E433" s="1">
        <v>0.5</v>
      </c>
      <c r="F433" s="1">
        <v>0.5</v>
      </c>
      <c r="G433" s="1">
        <v>0.5</v>
      </c>
      <c r="H433" s="1">
        <v>0.5</v>
      </c>
      <c r="I433" s="1">
        <v>0.5</v>
      </c>
      <c r="J433" s="1">
        <v>0.5</v>
      </c>
      <c r="K433" s="1">
        <v>0.5</v>
      </c>
      <c r="L433" s="1">
        <v>0.5</v>
      </c>
      <c r="M433" s="1">
        <v>0.5</v>
      </c>
      <c r="N433" s="1">
        <f>(Occurrence!B$3-D433)^2</f>
        <v>0.25</v>
      </c>
      <c r="O433" s="1">
        <f>(Occurrence!C$3-E433)^2</f>
        <v>0.25</v>
      </c>
      <c r="P433" s="1">
        <f>(Occurrence!D$3-F433)^2</f>
        <v>0.25</v>
      </c>
      <c r="Q433" s="1">
        <f>(Occurrence!E$3-G433)^2</f>
        <v>0.25</v>
      </c>
      <c r="R433" s="1">
        <f>(Occurrence!F$3-H433)^2</f>
        <v>0.25</v>
      </c>
      <c r="S433" s="1">
        <f>(Occurrence!G$3-I433)^2</f>
        <v>0.25</v>
      </c>
      <c r="T433" s="1">
        <f>(Occurrence!H$3-J433)^2</f>
        <v>0.25</v>
      </c>
      <c r="U433" s="1">
        <f>(Occurrence!I$3-K433)^2</f>
        <v>0.25</v>
      </c>
      <c r="V433" s="1">
        <f>(Occurrence!J$3-L433)^2</f>
        <v>0.25</v>
      </c>
      <c r="W433" s="1">
        <f>(Occurrence!K$3-M433)^2</f>
        <v>0.25</v>
      </c>
      <c r="X433" s="1">
        <f t="shared" si="73"/>
        <v>2.5</v>
      </c>
      <c r="Z433" s="1">
        <f t="shared" si="74"/>
        <v>1</v>
      </c>
      <c r="AA433" s="1">
        <f t="shared" si="75"/>
        <v>1</v>
      </c>
      <c r="AB433" s="1">
        <f t="shared" si="76"/>
        <v>1</v>
      </c>
      <c r="AC433" s="1">
        <f t="shared" si="77"/>
        <v>1</v>
      </c>
      <c r="AD433" s="1">
        <f t="shared" si="78"/>
        <v>1</v>
      </c>
      <c r="AE433" s="1">
        <f t="shared" si="79"/>
        <v>1</v>
      </c>
      <c r="AF433" s="1">
        <f t="shared" si="80"/>
        <v>1</v>
      </c>
      <c r="AG433" s="1">
        <f t="shared" si="81"/>
        <v>1</v>
      </c>
      <c r="AH433" s="1">
        <f t="shared" si="82"/>
        <v>1</v>
      </c>
      <c r="AI433" s="1">
        <f t="shared" si="83"/>
        <v>1</v>
      </c>
      <c r="AJ433" s="1">
        <f>SUMXMY2(Z433:AI433, Occurrence!B$3:K$3)</f>
        <v>5</v>
      </c>
      <c r="AK433" s="1">
        <f t="shared" si="84"/>
        <v>5</v>
      </c>
    </row>
    <row r="434" spans="1:37">
      <c r="A434" s="1">
        <v>433</v>
      </c>
      <c r="B434" s="1">
        <v>4252432</v>
      </c>
      <c r="C434" s="6" t="s">
        <v>37</v>
      </c>
      <c r="D434" s="1">
        <v>0.6</v>
      </c>
      <c r="E434" s="1">
        <v>0.2</v>
      </c>
      <c r="F434" s="1">
        <v>0.4</v>
      </c>
      <c r="G434" s="1">
        <v>0.9</v>
      </c>
      <c r="H434" s="1">
        <v>0.01</v>
      </c>
      <c r="I434" s="1">
        <v>0.25</v>
      </c>
      <c r="J434" s="1">
        <v>0.2</v>
      </c>
      <c r="K434" s="1">
        <v>0.3</v>
      </c>
      <c r="L434" s="1">
        <v>0.1</v>
      </c>
      <c r="M434" s="1">
        <v>0.7</v>
      </c>
      <c r="N434" s="1">
        <f>(Occurrence!B$3-D434)^2</f>
        <v>0.36</v>
      </c>
      <c r="O434" s="1">
        <f>(Occurrence!C$3-E434)^2</f>
        <v>4.0000000000000008E-2</v>
      </c>
      <c r="P434" s="1">
        <f>(Occurrence!D$3-F434)^2</f>
        <v>0.36</v>
      </c>
      <c r="Q434" s="1">
        <f>(Occurrence!E$3-G434)^2</f>
        <v>9.999999999999995E-3</v>
      </c>
      <c r="R434" s="1">
        <f>(Occurrence!F$3-H434)^2</f>
        <v>1E-4</v>
      </c>
      <c r="S434" s="1">
        <f>(Occurrence!G$3-I434)^2</f>
        <v>6.25E-2</v>
      </c>
      <c r="T434" s="1">
        <f>(Occurrence!H$3-J434)^2</f>
        <v>0.64000000000000012</v>
      </c>
      <c r="U434" s="1">
        <f>(Occurrence!I$3-K434)^2</f>
        <v>0.48999999999999994</v>
      </c>
      <c r="V434" s="1">
        <f>(Occurrence!J$3-L434)^2</f>
        <v>1.0000000000000002E-2</v>
      </c>
      <c r="W434" s="1">
        <f>(Occurrence!K$3-M434)^2</f>
        <v>9.0000000000000024E-2</v>
      </c>
      <c r="X434" s="1">
        <f t="shared" si="73"/>
        <v>2.0626000000000002</v>
      </c>
      <c r="Z434" s="1">
        <f t="shared" si="74"/>
        <v>1</v>
      </c>
      <c r="AA434" s="1">
        <f t="shared" si="75"/>
        <v>0</v>
      </c>
      <c r="AB434" s="1">
        <f t="shared" si="76"/>
        <v>0</v>
      </c>
      <c r="AC434" s="1">
        <f t="shared" si="77"/>
        <v>1</v>
      </c>
      <c r="AD434" s="1">
        <f t="shared" si="78"/>
        <v>0</v>
      </c>
      <c r="AE434" s="1">
        <f t="shared" si="79"/>
        <v>0</v>
      </c>
      <c r="AF434" s="1">
        <f t="shared" si="80"/>
        <v>0</v>
      </c>
      <c r="AG434" s="1">
        <f t="shared" si="81"/>
        <v>0</v>
      </c>
      <c r="AH434" s="1">
        <f t="shared" si="82"/>
        <v>0</v>
      </c>
      <c r="AI434" s="1">
        <f t="shared" si="83"/>
        <v>1</v>
      </c>
      <c r="AJ434" s="1">
        <f>SUMXMY2(Z434:AI434, Occurrence!B$3:K$3)</f>
        <v>4</v>
      </c>
      <c r="AK434" s="1">
        <f t="shared" si="84"/>
        <v>6</v>
      </c>
    </row>
    <row r="435" spans="1:37">
      <c r="A435" s="1">
        <v>434</v>
      </c>
      <c r="B435" s="1">
        <v>4252433</v>
      </c>
      <c r="C435" s="6" t="s">
        <v>37</v>
      </c>
      <c r="D435" s="1">
        <v>0.4</v>
      </c>
      <c r="E435" s="1">
        <v>0.23</v>
      </c>
      <c r="F435" s="1">
        <v>0.41</v>
      </c>
      <c r="G435" s="1">
        <v>0.69</v>
      </c>
      <c r="H435" s="1">
        <v>0.72</v>
      </c>
      <c r="I435" s="1">
        <v>0.86</v>
      </c>
      <c r="J435" s="1">
        <v>0.98</v>
      </c>
      <c r="K435" s="1">
        <v>0.61</v>
      </c>
      <c r="L435" s="1">
        <v>0.52</v>
      </c>
      <c r="M435" s="1">
        <v>0.96</v>
      </c>
      <c r="N435" s="1">
        <f>(Occurrence!B$3-D435)^2</f>
        <v>0.16000000000000003</v>
      </c>
      <c r="O435" s="1">
        <f>(Occurrence!C$3-E435)^2</f>
        <v>5.2900000000000003E-2</v>
      </c>
      <c r="P435" s="1">
        <f>(Occurrence!D$3-F435)^2</f>
        <v>0.34810000000000008</v>
      </c>
      <c r="Q435" s="1">
        <f>(Occurrence!E$3-G435)^2</f>
        <v>9.6100000000000033E-2</v>
      </c>
      <c r="R435" s="1">
        <f>(Occurrence!F$3-H435)^2</f>
        <v>0.51839999999999997</v>
      </c>
      <c r="S435" s="1">
        <f>(Occurrence!G$3-I435)^2</f>
        <v>0.73959999999999992</v>
      </c>
      <c r="T435" s="1">
        <f>(Occurrence!H$3-J435)^2</f>
        <v>4.0000000000000072E-4</v>
      </c>
      <c r="U435" s="1">
        <f>(Occurrence!I$3-K435)^2</f>
        <v>0.15210000000000001</v>
      </c>
      <c r="V435" s="1">
        <f>(Occurrence!J$3-L435)^2</f>
        <v>0.27040000000000003</v>
      </c>
      <c r="W435" s="1">
        <f>(Occurrence!K$3-M435)^2</f>
        <v>1.6000000000000029E-3</v>
      </c>
      <c r="X435" s="1">
        <f t="shared" si="73"/>
        <v>2.3395999999999999</v>
      </c>
      <c r="Z435" s="1">
        <f t="shared" si="74"/>
        <v>0</v>
      </c>
      <c r="AA435" s="1">
        <f t="shared" si="75"/>
        <v>0</v>
      </c>
      <c r="AB435" s="1">
        <f t="shared" si="76"/>
        <v>0</v>
      </c>
      <c r="AC435" s="1">
        <f t="shared" si="77"/>
        <v>1</v>
      </c>
      <c r="AD435" s="1">
        <f t="shared" si="78"/>
        <v>1</v>
      </c>
      <c r="AE435" s="1">
        <f t="shared" si="79"/>
        <v>1</v>
      </c>
      <c r="AF435" s="1">
        <f t="shared" si="80"/>
        <v>1</v>
      </c>
      <c r="AG435" s="1">
        <f t="shared" si="81"/>
        <v>1</v>
      </c>
      <c r="AH435" s="1">
        <f t="shared" si="82"/>
        <v>1</v>
      </c>
      <c r="AI435" s="1">
        <f t="shared" si="83"/>
        <v>1</v>
      </c>
      <c r="AJ435" s="1">
        <f>SUMXMY2(Z435:AI435, Occurrence!B$3:K$3)</f>
        <v>4</v>
      </c>
      <c r="AK435" s="1">
        <f t="shared" si="84"/>
        <v>6</v>
      </c>
    </row>
    <row r="436" spans="1:37">
      <c r="A436" s="1">
        <v>435</v>
      </c>
      <c r="B436" s="1">
        <v>4252434</v>
      </c>
      <c r="C436" s="6" t="s">
        <v>37</v>
      </c>
      <c r="D436" s="1">
        <v>0.35</v>
      </c>
      <c r="E436" s="1">
        <v>0.42</v>
      </c>
      <c r="F436" s="1">
        <v>0.5</v>
      </c>
      <c r="G436" s="1">
        <v>0.6</v>
      </c>
      <c r="H436" s="1">
        <v>0.5</v>
      </c>
      <c r="I436" s="1">
        <v>0</v>
      </c>
      <c r="J436" s="1">
        <v>1</v>
      </c>
      <c r="K436" s="1">
        <v>0.9</v>
      </c>
      <c r="L436" s="1">
        <v>0.9</v>
      </c>
      <c r="M436" s="1">
        <v>1</v>
      </c>
      <c r="N436" s="1">
        <f>(Occurrence!B$3-D436)^2</f>
        <v>0.12249999999999998</v>
      </c>
      <c r="O436" s="1">
        <f>(Occurrence!C$3-E436)^2</f>
        <v>0.17639999999999997</v>
      </c>
      <c r="P436" s="1">
        <f>(Occurrence!D$3-F436)^2</f>
        <v>0.25</v>
      </c>
      <c r="Q436" s="1">
        <f>(Occurrence!E$3-G436)^2</f>
        <v>0.16000000000000003</v>
      </c>
      <c r="R436" s="1">
        <f>(Occurrence!F$3-H436)^2</f>
        <v>0.25</v>
      </c>
      <c r="S436" s="1">
        <f>(Occurrence!G$3-I436)^2</f>
        <v>0</v>
      </c>
      <c r="T436" s="1">
        <f>(Occurrence!H$3-J436)^2</f>
        <v>0</v>
      </c>
      <c r="U436" s="1">
        <f>(Occurrence!I$3-K436)^2</f>
        <v>9.999999999999995E-3</v>
      </c>
      <c r="V436" s="1">
        <f>(Occurrence!J$3-L436)^2</f>
        <v>0.81</v>
      </c>
      <c r="W436" s="1">
        <f>(Occurrence!K$3-M436)^2</f>
        <v>0</v>
      </c>
      <c r="X436" s="1">
        <f t="shared" si="73"/>
        <v>1.7789000000000001</v>
      </c>
      <c r="Z436" s="1">
        <f t="shared" si="74"/>
        <v>0</v>
      </c>
      <c r="AA436" s="1">
        <f t="shared" si="75"/>
        <v>0</v>
      </c>
      <c r="AB436" s="1">
        <f t="shared" si="76"/>
        <v>1</v>
      </c>
      <c r="AC436" s="1">
        <f t="shared" si="77"/>
        <v>1</v>
      </c>
      <c r="AD436" s="1">
        <f t="shared" si="78"/>
        <v>1</v>
      </c>
      <c r="AE436" s="1">
        <f t="shared" si="79"/>
        <v>0</v>
      </c>
      <c r="AF436" s="1">
        <f t="shared" si="80"/>
        <v>1</v>
      </c>
      <c r="AG436" s="1">
        <f t="shared" si="81"/>
        <v>1</v>
      </c>
      <c r="AH436" s="1">
        <f t="shared" si="82"/>
        <v>1</v>
      </c>
      <c r="AI436" s="1">
        <f t="shared" si="83"/>
        <v>1</v>
      </c>
      <c r="AJ436" s="1">
        <f>SUMXMY2(Z436:AI436, Occurrence!B$3:K$3)</f>
        <v>2</v>
      </c>
      <c r="AK436" s="1">
        <f t="shared" si="84"/>
        <v>8</v>
      </c>
    </row>
    <row r="437" spans="1:37">
      <c r="A437" s="1">
        <v>436</v>
      </c>
      <c r="B437" s="1">
        <v>4252435</v>
      </c>
      <c r="C437" s="6" t="s">
        <v>37</v>
      </c>
      <c r="D437" s="1">
        <v>0.2</v>
      </c>
      <c r="E437" s="1">
        <v>0.3</v>
      </c>
      <c r="F437" s="1">
        <v>0.1</v>
      </c>
      <c r="G437" s="1">
        <v>0.2</v>
      </c>
      <c r="H437" s="1">
        <v>0.7</v>
      </c>
      <c r="I437" s="1">
        <v>0.3</v>
      </c>
      <c r="J437" s="1">
        <v>0.2</v>
      </c>
      <c r="K437" s="1">
        <v>0.6</v>
      </c>
      <c r="L437" s="1">
        <v>0.2</v>
      </c>
      <c r="M437" s="1">
        <v>0.4</v>
      </c>
      <c r="N437" s="1">
        <f>(Occurrence!B$3-D437)^2</f>
        <v>4.0000000000000008E-2</v>
      </c>
      <c r="O437" s="1">
        <f>(Occurrence!C$3-E437)^2</f>
        <v>0.09</v>
      </c>
      <c r="P437" s="1">
        <f>(Occurrence!D$3-F437)^2</f>
        <v>0.81</v>
      </c>
      <c r="Q437" s="1">
        <f>(Occurrence!E$3-G437)^2</f>
        <v>0.64000000000000012</v>
      </c>
      <c r="R437" s="1">
        <f>(Occurrence!F$3-H437)^2</f>
        <v>0.48999999999999994</v>
      </c>
      <c r="S437" s="1">
        <f>(Occurrence!G$3-I437)^2</f>
        <v>0.09</v>
      </c>
      <c r="T437" s="1">
        <f>(Occurrence!H$3-J437)^2</f>
        <v>0.64000000000000012</v>
      </c>
      <c r="U437" s="1">
        <f>(Occurrence!I$3-K437)^2</f>
        <v>0.16000000000000003</v>
      </c>
      <c r="V437" s="1">
        <f>(Occurrence!J$3-L437)^2</f>
        <v>4.0000000000000008E-2</v>
      </c>
      <c r="W437" s="1">
        <f>(Occurrence!K$3-M437)^2</f>
        <v>0.36</v>
      </c>
      <c r="X437" s="1">
        <f t="shared" si="73"/>
        <v>3.36</v>
      </c>
      <c r="Z437" s="1">
        <f t="shared" si="74"/>
        <v>0</v>
      </c>
      <c r="AA437" s="1">
        <f t="shared" si="75"/>
        <v>0</v>
      </c>
      <c r="AB437" s="1">
        <f t="shared" si="76"/>
        <v>0</v>
      </c>
      <c r="AC437" s="1">
        <f t="shared" si="77"/>
        <v>0</v>
      </c>
      <c r="AD437" s="1">
        <f t="shared" si="78"/>
        <v>1</v>
      </c>
      <c r="AE437" s="1">
        <f t="shared" si="79"/>
        <v>0</v>
      </c>
      <c r="AF437" s="1">
        <f t="shared" si="80"/>
        <v>0</v>
      </c>
      <c r="AG437" s="1">
        <f t="shared" si="81"/>
        <v>1</v>
      </c>
      <c r="AH437" s="1">
        <f t="shared" si="82"/>
        <v>0</v>
      </c>
      <c r="AI437" s="1">
        <f t="shared" si="83"/>
        <v>0</v>
      </c>
      <c r="AJ437" s="1">
        <f>SUMXMY2(Z437:AI437, Occurrence!B$3:K$3)</f>
        <v>5</v>
      </c>
      <c r="AK437" s="1">
        <f t="shared" si="84"/>
        <v>5</v>
      </c>
    </row>
    <row r="438" spans="1:37">
      <c r="A438" s="1">
        <v>437</v>
      </c>
      <c r="B438" s="1">
        <v>4252436</v>
      </c>
      <c r="C438" s="6" t="s">
        <v>37</v>
      </c>
      <c r="D438" s="1">
        <v>0.2</v>
      </c>
      <c r="E438" s="1">
        <v>0.3</v>
      </c>
      <c r="F438" s="1">
        <v>0.5</v>
      </c>
      <c r="G438" s="1">
        <v>0.6</v>
      </c>
      <c r="H438" s="1">
        <v>0.3</v>
      </c>
      <c r="I438" s="1">
        <v>0.4</v>
      </c>
      <c r="J438" s="1">
        <v>0.98</v>
      </c>
      <c r="K438" s="1">
        <v>0.8</v>
      </c>
      <c r="L438" s="1">
        <v>0.45</v>
      </c>
      <c r="M438" s="1">
        <v>0.6</v>
      </c>
      <c r="N438" s="1">
        <f>(Occurrence!B$3-D438)^2</f>
        <v>4.0000000000000008E-2</v>
      </c>
      <c r="O438" s="1">
        <f>(Occurrence!C$3-E438)^2</f>
        <v>0.09</v>
      </c>
      <c r="P438" s="1">
        <f>(Occurrence!D$3-F438)^2</f>
        <v>0.25</v>
      </c>
      <c r="Q438" s="1">
        <f>(Occurrence!E$3-G438)^2</f>
        <v>0.16000000000000003</v>
      </c>
      <c r="R438" s="1">
        <f>(Occurrence!F$3-H438)^2</f>
        <v>0.09</v>
      </c>
      <c r="S438" s="1">
        <f>(Occurrence!G$3-I438)^2</f>
        <v>0.16000000000000003</v>
      </c>
      <c r="T438" s="1">
        <f>(Occurrence!H$3-J438)^2</f>
        <v>4.0000000000000072E-4</v>
      </c>
      <c r="U438" s="1">
        <f>(Occurrence!I$3-K438)^2</f>
        <v>3.999999999999998E-2</v>
      </c>
      <c r="V438" s="1">
        <f>(Occurrence!J$3-L438)^2</f>
        <v>0.20250000000000001</v>
      </c>
      <c r="W438" s="1">
        <f>(Occurrence!K$3-M438)^2</f>
        <v>0.16000000000000003</v>
      </c>
      <c r="X438" s="1">
        <f t="shared" si="73"/>
        <v>1.1929000000000003</v>
      </c>
      <c r="Z438" s="1">
        <f t="shared" si="74"/>
        <v>0</v>
      </c>
      <c r="AA438" s="1">
        <f t="shared" si="75"/>
        <v>0</v>
      </c>
      <c r="AB438" s="1">
        <f t="shared" si="76"/>
        <v>1</v>
      </c>
      <c r="AC438" s="1">
        <f t="shared" si="77"/>
        <v>1</v>
      </c>
      <c r="AD438" s="1">
        <f t="shared" si="78"/>
        <v>0</v>
      </c>
      <c r="AE438" s="1">
        <f t="shared" si="79"/>
        <v>0</v>
      </c>
      <c r="AF438" s="1">
        <f t="shared" si="80"/>
        <v>1</v>
      </c>
      <c r="AG438" s="1">
        <f t="shared" si="81"/>
        <v>1</v>
      </c>
      <c r="AH438" s="1">
        <f t="shared" si="82"/>
        <v>0</v>
      </c>
      <c r="AI438" s="1">
        <f t="shared" si="83"/>
        <v>1</v>
      </c>
      <c r="AJ438" s="1">
        <f>SUMXMY2(Z438:AI438, Occurrence!B$3:K$3)</f>
        <v>0</v>
      </c>
      <c r="AK438" s="1">
        <f t="shared" si="84"/>
        <v>10</v>
      </c>
    </row>
    <row r="439" spans="1:37">
      <c r="A439" s="1">
        <v>438</v>
      </c>
      <c r="B439" s="1">
        <v>4252437</v>
      </c>
      <c r="C439" s="6" t="s">
        <v>37</v>
      </c>
      <c r="D439" s="1">
        <v>0.05</v>
      </c>
      <c r="E439" s="1">
        <v>0.06</v>
      </c>
      <c r="F439" s="1">
        <v>0.9</v>
      </c>
      <c r="G439" s="1">
        <v>0.95</v>
      </c>
      <c r="H439" s="1">
        <v>0.1</v>
      </c>
      <c r="I439" s="1">
        <v>0.17</v>
      </c>
      <c r="J439" s="1">
        <v>0.99</v>
      </c>
      <c r="K439" s="1">
        <v>0.87</v>
      </c>
      <c r="L439" s="1">
        <v>0.12</v>
      </c>
      <c r="M439" s="1">
        <v>0.9</v>
      </c>
      <c r="N439" s="1">
        <f>(Occurrence!B$3-D439)^2</f>
        <v>2.5000000000000005E-3</v>
      </c>
      <c r="O439" s="1">
        <f>(Occurrence!C$3-E439)^2</f>
        <v>3.5999999999999999E-3</v>
      </c>
      <c r="P439" s="1">
        <f>(Occurrence!D$3-F439)^2</f>
        <v>9.999999999999995E-3</v>
      </c>
      <c r="Q439" s="1">
        <f>(Occurrence!E$3-G439)^2</f>
        <v>2.5000000000000044E-3</v>
      </c>
      <c r="R439" s="1">
        <f>(Occurrence!F$3-H439)^2</f>
        <v>1.0000000000000002E-2</v>
      </c>
      <c r="S439" s="1">
        <f>(Occurrence!G$3-I439)^2</f>
        <v>2.8900000000000006E-2</v>
      </c>
      <c r="T439" s="1">
        <f>(Occurrence!H$3-J439)^2</f>
        <v>1.0000000000000018E-4</v>
      </c>
      <c r="U439" s="1">
        <f>(Occurrence!I$3-K439)^2</f>
        <v>1.6900000000000002E-2</v>
      </c>
      <c r="V439" s="1">
        <f>(Occurrence!J$3-L439)^2</f>
        <v>1.44E-2</v>
      </c>
      <c r="W439" s="1">
        <f>(Occurrence!K$3-M439)^2</f>
        <v>9.999999999999995E-3</v>
      </c>
      <c r="X439" s="1">
        <f t="shared" si="73"/>
        <v>9.8900000000000002E-2</v>
      </c>
      <c r="Z439" s="1">
        <f t="shared" si="74"/>
        <v>0</v>
      </c>
      <c r="AA439" s="1">
        <f t="shared" si="75"/>
        <v>0</v>
      </c>
      <c r="AB439" s="1">
        <f t="shared" si="76"/>
        <v>1</v>
      </c>
      <c r="AC439" s="1">
        <f t="shared" si="77"/>
        <v>1</v>
      </c>
      <c r="AD439" s="1">
        <f t="shared" si="78"/>
        <v>0</v>
      </c>
      <c r="AE439" s="1">
        <f t="shared" si="79"/>
        <v>0</v>
      </c>
      <c r="AF439" s="1">
        <f t="shared" si="80"/>
        <v>1</v>
      </c>
      <c r="AG439" s="1">
        <f t="shared" si="81"/>
        <v>1</v>
      </c>
      <c r="AH439" s="1">
        <f t="shared" si="82"/>
        <v>0</v>
      </c>
      <c r="AI439" s="1">
        <f t="shared" si="83"/>
        <v>1</v>
      </c>
      <c r="AJ439" s="1">
        <f>SUMXMY2(Z439:AI439, Occurrence!B$3:K$3)</f>
        <v>0</v>
      </c>
      <c r="AK439" s="1">
        <f t="shared" si="84"/>
        <v>10</v>
      </c>
    </row>
    <row r="440" spans="1:37">
      <c r="A440" s="1">
        <v>439</v>
      </c>
      <c r="B440" s="1">
        <v>4252438</v>
      </c>
      <c r="C440" s="6" t="s">
        <v>37</v>
      </c>
      <c r="D440" s="1">
        <v>0.05</v>
      </c>
      <c r="E440" s="1">
        <v>0.1</v>
      </c>
      <c r="F440" s="1">
        <v>0.7</v>
      </c>
      <c r="G440" s="1">
        <v>0.9</v>
      </c>
      <c r="H440" s="1">
        <v>0.1</v>
      </c>
      <c r="I440" s="1">
        <v>0.7</v>
      </c>
      <c r="J440" s="1">
        <v>0.75</v>
      </c>
      <c r="K440" s="1">
        <v>0.8</v>
      </c>
      <c r="L440" s="1">
        <v>0.1</v>
      </c>
      <c r="M440" s="1">
        <v>0.55000000000000004</v>
      </c>
      <c r="N440" s="1">
        <f>(Occurrence!B$3-D440)^2</f>
        <v>2.5000000000000005E-3</v>
      </c>
      <c r="O440" s="1">
        <f>(Occurrence!C$3-E440)^2</f>
        <v>1.0000000000000002E-2</v>
      </c>
      <c r="P440" s="1">
        <f>(Occurrence!D$3-F440)^2</f>
        <v>9.0000000000000024E-2</v>
      </c>
      <c r="Q440" s="1">
        <f>(Occurrence!E$3-G440)^2</f>
        <v>9.999999999999995E-3</v>
      </c>
      <c r="R440" s="1">
        <f>(Occurrence!F$3-H440)^2</f>
        <v>1.0000000000000002E-2</v>
      </c>
      <c r="S440" s="1">
        <f>(Occurrence!G$3-I440)^2</f>
        <v>0.48999999999999994</v>
      </c>
      <c r="T440" s="1">
        <f>(Occurrence!H$3-J440)^2</f>
        <v>6.25E-2</v>
      </c>
      <c r="U440" s="1">
        <f>(Occurrence!I$3-K440)^2</f>
        <v>3.999999999999998E-2</v>
      </c>
      <c r="V440" s="1">
        <f>(Occurrence!J$3-L440)^2</f>
        <v>1.0000000000000002E-2</v>
      </c>
      <c r="W440" s="1">
        <f>(Occurrence!K$3-M440)^2</f>
        <v>0.20249999999999996</v>
      </c>
      <c r="X440" s="1">
        <f t="shared" si="73"/>
        <v>0.92749999999999977</v>
      </c>
      <c r="Z440" s="1">
        <f t="shared" si="74"/>
        <v>0</v>
      </c>
      <c r="AA440" s="1">
        <f t="shared" si="75"/>
        <v>0</v>
      </c>
      <c r="AB440" s="1">
        <f t="shared" si="76"/>
        <v>1</v>
      </c>
      <c r="AC440" s="1">
        <f t="shared" si="77"/>
        <v>1</v>
      </c>
      <c r="AD440" s="1">
        <f t="shared" si="78"/>
        <v>0</v>
      </c>
      <c r="AE440" s="1">
        <f t="shared" si="79"/>
        <v>1</v>
      </c>
      <c r="AF440" s="1">
        <f t="shared" si="80"/>
        <v>1</v>
      </c>
      <c r="AG440" s="1">
        <f t="shared" si="81"/>
        <v>1</v>
      </c>
      <c r="AH440" s="1">
        <f t="shared" si="82"/>
        <v>0</v>
      </c>
      <c r="AI440" s="1">
        <f t="shared" si="83"/>
        <v>1</v>
      </c>
      <c r="AJ440" s="1">
        <f>SUMXMY2(Z440:AI440, Occurrence!B$3:K$3)</f>
        <v>1</v>
      </c>
      <c r="AK440" s="1">
        <f t="shared" si="84"/>
        <v>9</v>
      </c>
    </row>
    <row r="441" spans="1:37">
      <c r="A441" s="1">
        <v>440</v>
      </c>
      <c r="B441" s="1">
        <v>4252439</v>
      </c>
      <c r="C441" s="6" t="s">
        <v>37</v>
      </c>
      <c r="D441" s="1">
        <v>0.15</v>
      </c>
      <c r="E441" s="1">
        <v>0.79</v>
      </c>
      <c r="F441" s="1">
        <v>0.65</v>
      </c>
      <c r="G441" s="1">
        <v>0.8</v>
      </c>
      <c r="H441" s="1">
        <v>0.21</v>
      </c>
      <c r="I441" s="1">
        <v>0.26</v>
      </c>
      <c r="J441" s="1">
        <v>0.37</v>
      </c>
      <c r="K441" s="1">
        <v>0.86</v>
      </c>
      <c r="L441" s="1">
        <v>0.2</v>
      </c>
      <c r="M441" s="1">
        <v>0.74</v>
      </c>
      <c r="N441" s="1">
        <f>(Occurrence!B$3-D441)^2</f>
        <v>2.2499999999999999E-2</v>
      </c>
      <c r="O441" s="1">
        <f>(Occurrence!C$3-E441)^2</f>
        <v>0.6241000000000001</v>
      </c>
      <c r="P441" s="1">
        <f>(Occurrence!D$3-F441)^2</f>
        <v>0.12249999999999998</v>
      </c>
      <c r="Q441" s="1">
        <f>(Occurrence!E$3-G441)^2</f>
        <v>3.999999999999998E-2</v>
      </c>
      <c r="R441" s="1">
        <f>(Occurrence!F$3-H441)^2</f>
        <v>4.4099999999999993E-2</v>
      </c>
      <c r="S441" s="1">
        <f>(Occurrence!G$3-I441)^2</f>
        <v>6.7600000000000007E-2</v>
      </c>
      <c r="T441" s="1">
        <f>(Occurrence!H$3-J441)^2</f>
        <v>0.39690000000000003</v>
      </c>
      <c r="U441" s="1">
        <f>(Occurrence!I$3-K441)^2</f>
        <v>1.9600000000000003E-2</v>
      </c>
      <c r="V441" s="1">
        <f>(Occurrence!J$3-L441)^2</f>
        <v>4.0000000000000008E-2</v>
      </c>
      <c r="W441" s="1">
        <f>(Occurrence!K$3-M441)^2</f>
        <v>6.7600000000000007E-2</v>
      </c>
      <c r="X441" s="1">
        <f t="shared" si="73"/>
        <v>1.4449000000000001</v>
      </c>
      <c r="Z441" s="1">
        <f t="shared" si="74"/>
        <v>0</v>
      </c>
      <c r="AA441" s="1">
        <f t="shared" si="75"/>
        <v>1</v>
      </c>
      <c r="AB441" s="1">
        <f t="shared" si="76"/>
        <v>1</v>
      </c>
      <c r="AC441" s="1">
        <f t="shared" si="77"/>
        <v>1</v>
      </c>
      <c r="AD441" s="1">
        <f t="shared" si="78"/>
        <v>0</v>
      </c>
      <c r="AE441" s="1">
        <f t="shared" si="79"/>
        <v>0</v>
      </c>
      <c r="AF441" s="1">
        <f t="shared" si="80"/>
        <v>0</v>
      </c>
      <c r="AG441" s="1">
        <f t="shared" si="81"/>
        <v>1</v>
      </c>
      <c r="AH441" s="1">
        <f t="shared" si="82"/>
        <v>0</v>
      </c>
      <c r="AI441" s="1">
        <f t="shared" si="83"/>
        <v>1</v>
      </c>
      <c r="AJ441" s="1">
        <f>SUMXMY2(Z441:AI441, Occurrence!B$3:K$3)</f>
        <v>2</v>
      </c>
      <c r="AK441" s="1">
        <f t="shared" si="84"/>
        <v>8</v>
      </c>
    </row>
    <row r="442" spans="1:37">
      <c r="A442" s="1">
        <v>441</v>
      </c>
      <c r="B442" s="1">
        <v>4252440</v>
      </c>
      <c r="C442" s="6" t="s">
        <v>38</v>
      </c>
      <c r="D442" s="1">
        <v>0.5</v>
      </c>
      <c r="E442" s="1">
        <v>0.3</v>
      </c>
      <c r="F442" s="1">
        <v>0.5</v>
      </c>
      <c r="G442" s="1">
        <v>0.7</v>
      </c>
      <c r="H442" s="1">
        <v>0.6</v>
      </c>
      <c r="I442" s="1">
        <v>0.5</v>
      </c>
      <c r="J442" s="1">
        <v>0.4</v>
      </c>
      <c r="K442" s="1">
        <v>0.8</v>
      </c>
      <c r="L442" s="1">
        <v>0.9</v>
      </c>
      <c r="M442" s="1">
        <v>0.7</v>
      </c>
      <c r="N442" s="1">
        <f>(Occurrence!B$3-D442)^2</f>
        <v>0.25</v>
      </c>
      <c r="O442" s="1">
        <f>(Occurrence!C$3-E442)^2</f>
        <v>0.09</v>
      </c>
      <c r="P442" s="1">
        <f>(Occurrence!D$3-F442)^2</f>
        <v>0.25</v>
      </c>
      <c r="Q442" s="1">
        <f>(Occurrence!E$3-G442)^2</f>
        <v>9.0000000000000024E-2</v>
      </c>
      <c r="R442" s="1">
        <f>(Occurrence!F$3-H442)^2</f>
        <v>0.36</v>
      </c>
      <c r="S442" s="1">
        <f>(Occurrence!G$3-I442)^2</f>
        <v>0.25</v>
      </c>
      <c r="T442" s="1">
        <f>(Occurrence!H$3-J442)^2</f>
        <v>0.36</v>
      </c>
      <c r="U442" s="1">
        <f>(Occurrence!I$3-K442)^2</f>
        <v>3.999999999999998E-2</v>
      </c>
      <c r="V442" s="1">
        <f>(Occurrence!J$3-L442)^2</f>
        <v>0.81</v>
      </c>
      <c r="W442" s="1">
        <f>(Occurrence!K$3-M442)^2</f>
        <v>9.0000000000000024E-2</v>
      </c>
      <c r="X442" s="1">
        <f t="shared" si="73"/>
        <v>2.59</v>
      </c>
      <c r="Z442" s="1">
        <f t="shared" si="74"/>
        <v>1</v>
      </c>
      <c r="AA442" s="1">
        <f t="shared" si="75"/>
        <v>0</v>
      </c>
      <c r="AB442" s="1">
        <f t="shared" si="76"/>
        <v>1</v>
      </c>
      <c r="AC442" s="1">
        <f t="shared" si="77"/>
        <v>1</v>
      </c>
      <c r="AD442" s="1">
        <f t="shared" si="78"/>
        <v>1</v>
      </c>
      <c r="AE442" s="1">
        <f t="shared" si="79"/>
        <v>1</v>
      </c>
      <c r="AF442" s="1">
        <f t="shared" si="80"/>
        <v>0</v>
      </c>
      <c r="AG442" s="1">
        <f t="shared" si="81"/>
        <v>1</v>
      </c>
      <c r="AH442" s="1">
        <f t="shared" si="82"/>
        <v>1</v>
      </c>
      <c r="AI442" s="1">
        <f t="shared" si="83"/>
        <v>1</v>
      </c>
      <c r="AJ442" s="1">
        <f>SUMXMY2(Z442:AI442, Occurrence!B$3:K$3)</f>
        <v>5</v>
      </c>
      <c r="AK442" s="1">
        <f t="shared" si="84"/>
        <v>5</v>
      </c>
    </row>
    <row r="443" spans="1:37">
      <c r="A443" s="1">
        <v>442</v>
      </c>
      <c r="B443" s="1">
        <v>4252441</v>
      </c>
      <c r="C443" s="6" t="s">
        <v>38</v>
      </c>
      <c r="D443" s="1">
        <v>0.02</v>
      </c>
      <c r="E443" s="1">
        <v>0.2</v>
      </c>
      <c r="F443" s="1">
        <v>0.2</v>
      </c>
      <c r="G443" s="1">
        <v>0.6</v>
      </c>
      <c r="H443" s="1">
        <v>0.78</v>
      </c>
      <c r="I443" s="1">
        <v>0.3</v>
      </c>
      <c r="J443" s="1">
        <v>0.5</v>
      </c>
      <c r="K443" s="1">
        <v>0.4</v>
      </c>
      <c r="L443" s="1">
        <v>0.87</v>
      </c>
      <c r="M443" s="1">
        <v>0.64</v>
      </c>
      <c r="N443" s="1">
        <f>(Occurrence!B$3-D443)^2</f>
        <v>4.0000000000000002E-4</v>
      </c>
      <c r="O443" s="1">
        <f>(Occurrence!C$3-E443)^2</f>
        <v>4.0000000000000008E-2</v>
      </c>
      <c r="P443" s="1">
        <f>(Occurrence!D$3-F443)^2</f>
        <v>0.64000000000000012</v>
      </c>
      <c r="Q443" s="1">
        <f>(Occurrence!E$3-G443)^2</f>
        <v>0.16000000000000003</v>
      </c>
      <c r="R443" s="1">
        <f>(Occurrence!F$3-H443)^2</f>
        <v>0.60840000000000005</v>
      </c>
      <c r="S443" s="1">
        <f>(Occurrence!G$3-I443)^2</f>
        <v>0.09</v>
      </c>
      <c r="T443" s="1">
        <f>(Occurrence!H$3-J443)^2</f>
        <v>0.25</v>
      </c>
      <c r="U443" s="1">
        <f>(Occurrence!I$3-K443)^2</f>
        <v>0.36</v>
      </c>
      <c r="V443" s="1">
        <f>(Occurrence!J$3-L443)^2</f>
        <v>0.75690000000000002</v>
      </c>
      <c r="W443" s="1">
        <f>(Occurrence!K$3-M443)^2</f>
        <v>0.12959999999999999</v>
      </c>
      <c r="X443" s="1">
        <f t="shared" si="73"/>
        <v>3.0353000000000003</v>
      </c>
      <c r="Z443" s="1">
        <f t="shared" si="74"/>
        <v>0</v>
      </c>
      <c r="AA443" s="1">
        <f t="shared" si="75"/>
        <v>0</v>
      </c>
      <c r="AB443" s="1">
        <f t="shared" si="76"/>
        <v>0</v>
      </c>
      <c r="AC443" s="1">
        <f t="shared" si="77"/>
        <v>1</v>
      </c>
      <c r="AD443" s="1">
        <f t="shared" si="78"/>
        <v>1</v>
      </c>
      <c r="AE443" s="1">
        <f t="shared" si="79"/>
        <v>0</v>
      </c>
      <c r="AF443" s="1">
        <f t="shared" si="80"/>
        <v>1</v>
      </c>
      <c r="AG443" s="1">
        <f t="shared" si="81"/>
        <v>0</v>
      </c>
      <c r="AH443" s="1">
        <f t="shared" si="82"/>
        <v>1</v>
      </c>
      <c r="AI443" s="1">
        <f t="shared" si="83"/>
        <v>1</v>
      </c>
      <c r="AJ443" s="1">
        <f>SUMXMY2(Z443:AI443, Occurrence!B$3:K$3)</f>
        <v>4</v>
      </c>
      <c r="AK443" s="1">
        <f t="shared" si="84"/>
        <v>6</v>
      </c>
    </row>
    <row r="444" spans="1:37">
      <c r="A444" s="1">
        <v>443</v>
      </c>
      <c r="B444" s="1">
        <v>4252442</v>
      </c>
      <c r="C444" s="6" t="s">
        <v>38</v>
      </c>
      <c r="D444" s="1">
        <v>0.23</v>
      </c>
      <c r="E444" s="1">
        <v>0.1</v>
      </c>
      <c r="F444" s="1">
        <v>0.75</v>
      </c>
      <c r="G444" s="1">
        <v>0.3</v>
      </c>
      <c r="H444" s="1">
        <v>0.3</v>
      </c>
      <c r="I444" s="1">
        <v>0.2</v>
      </c>
      <c r="J444" s="1">
        <v>0.5</v>
      </c>
      <c r="K444" s="1">
        <v>0.01</v>
      </c>
      <c r="L444" s="1">
        <v>0.2</v>
      </c>
      <c r="M444" s="1">
        <v>0.8</v>
      </c>
      <c r="N444" s="1">
        <f>(Occurrence!B$3-D444)^2</f>
        <v>5.2900000000000003E-2</v>
      </c>
      <c r="O444" s="1">
        <f>(Occurrence!C$3-E444)^2</f>
        <v>1.0000000000000002E-2</v>
      </c>
      <c r="P444" s="1">
        <f>(Occurrence!D$3-F444)^2</f>
        <v>6.25E-2</v>
      </c>
      <c r="Q444" s="1">
        <f>(Occurrence!E$3-G444)^2</f>
        <v>0.48999999999999994</v>
      </c>
      <c r="R444" s="1">
        <f>(Occurrence!F$3-H444)^2</f>
        <v>0.09</v>
      </c>
      <c r="S444" s="1">
        <f>(Occurrence!G$3-I444)^2</f>
        <v>4.0000000000000008E-2</v>
      </c>
      <c r="T444" s="1">
        <f>(Occurrence!H$3-J444)^2</f>
        <v>0.25</v>
      </c>
      <c r="U444" s="1">
        <f>(Occurrence!I$3-K444)^2</f>
        <v>0.98009999999999997</v>
      </c>
      <c r="V444" s="1">
        <f>(Occurrence!J$3-L444)^2</f>
        <v>4.0000000000000008E-2</v>
      </c>
      <c r="W444" s="1">
        <f>(Occurrence!K$3-M444)^2</f>
        <v>3.999999999999998E-2</v>
      </c>
      <c r="X444" s="1">
        <f t="shared" si="73"/>
        <v>2.0554999999999999</v>
      </c>
      <c r="Z444" s="1">
        <f t="shared" si="74"/>
        <v>0</v>
      </c>
      <c r="AA444" s="1">
        <f t="shared" si="75"/>
        <v>0</v>
      </c>
      <c r="AB444" s="1">
        <f t="shared" si="76"/>
        <v>1</v>
      </c>
      <c r="AC444" s="1">
        <f t="shared" si="77"/>
        <v>0</v>
      </c>
      <c r="AD444" s="1">
        <f t="shared" si="78"/>
        <v>0</v>
      </c>
      <c r="AE444" s="1">
        <f t="shared" si="79"/>
        <v>0</v>
      </c>
      <c r="AF444" s="1">
        <f t="shared" si="80"/>
        <v>1</v>
      </c>
      <c r="AG444" s="1">
        <f t="shared" si="81"/>
        <v>0</v>
      </c>
      <c r="AH444" s="1">
        <f t="shared" si="82"/>
        <v>0</v>
      </c>
      <c r="AI444" s="1">
        <f t="shared" si="83"/>
        <v>1</v>
      </c>
      <c r="AJ444" s="1">
        <f>SUMXMY2(Z444:AI444, Occurrence!B$3:K$3)</f>
        <v>2</v>
      </c>
      <c r="AK444" s="1">
        <f t="shared" si="84"/>
        <v>8</v>
      </c>
    </row>
    <row r="445" spans="1:37">
      <c r="A445" s="1">
        <v>444</v>
      </c>
      <c r="B445" s="1">
        <v>4252443</v>
      </c>
      <c r="C445" s="6" t="s">
        <v>38</v>
      </c>
      <c r="D445" s="1">
        <v>0.75</v>
      </c>
      <c r="E445" s="1">
        <v>0.5</v>
      </c>
      <c r="F445" s="1">
        <v>0.25</v>
      </c>
      <c r="G445" s="1">
        <v>0.25</v>
      </c>
      <c r="H445" s="1">
        <v>1</v>
      </c>
      <c r="I445" s="1">
        <v>0.25</v>
      </c>
      <c r="J445" s="1">
        <v>0.75</v>
      </c>
      <c r="K445" s="1">
        <v>0.85</v>
      </c>
      <c r="L445" s="1">
        <v>0.5</v>
      </c>
      <c r="M445" s="1">
        <v>0.8</v>
      </c>
      <c r="N445" s="1">
        <f>(Occurrence!B$3-D445)^2</f>
        <v>0.5625</v>
      </c>
      <c r="O445" s="1">
        <f>(Occurrence!C$3-E445)^2</f>
        <v>0.25</v>
      </c>
      <c r="P445" s="1">
        <f>(Occurrence!D$3-F445)^2</f>
        <v>0.5625</v>
      </c>
      <c r="Q445" s="1">
        <f>(Occurrence!E$3-G445)^2</f>
        <v>0.5625</v>
      </c>
      <c r="R445" s="1">
        <f>(Occurrence!F$3-H445)^2</f>
        <v>1</v>
      </c>
      <c r="S445" s="1">
        <f>(Occurrence!G$3-I445)^2</f>
        <v>6.25E-2</v>
      </c>
      <c r="T445" s="1">
        <f>(Occurrence!H$3-J445)^2</f>
        <v>6.25E-2</v>
      </c>
      <c r="U445" s="1">
        <f>(Occurrence!I$3-K445)^2</f>
        <v>2.2500000000000006E-2</v>
      </c>
      <c r="V445" s="1">
        <f>(Occurrence!J$3-L445)^2</f>
        <v>0.25</v>
      </c>
      <c r="W445" s="1">
        <f>(Occurrence!K$3-M445)^2</f>
        <v>3.999999999999998E-2</v>
      </c>
      <c r="X445" s="1">
        <f t="shared" si="73"/>
        <v>3.375</v>
      </c>
      <c r="Z445" s="1">
        <f t="shared" si="74"/>
        <v>1</v>
      </c>
      <c r="AA445" s="1">
        <f t="shared" si="75"/>
        <v>1</v>
      </c>
      <c r="AB445" s="1">
        <f t="shared" si="76"/>
        <v>0</v>
      </c>
      <c r="AC445" s="1">
        <f t="shared" si="77"/>
        <v>0</v>
      </c>
      <c r="AD445" s="1">
        <f t="shared" si="78"/>
        <v>1</v>
      </c>
      <c r="AE445" s="1">
        <f t="shared" si="79"/>
        <v>0</v>
      </c>
      <c r="AF445" s="1">
        <f t="shared" si="80"/>
        <v>1</v>
      </c>
      <c r="AG445" s="1">
        <f t="shared" si="81"/>
        <v>1</v>
      </c>
      <c r="AH445" s="1">
        <f t="shared" si="82"/>
        <v>1</v>
      </c>
      <c r="AI445" s="1">
        <f t="shared" si="83"/>
        <v>1</v>
      </c>
      <c r="AJ445" s="1">
        <f>SUMXMY2(Z445:AI445, Occurrence!B$3:K$3)</f>
        <v>6</v>
      </c>
      <c r="AK445" s="1">
        <f t="shared" si="84"/>
        <v>4</v>
      </c>
    </row>
    <row r="446" spans="1:37">
      <c r="A446" s="1">
        <v>445</v>
      </c>
      <c r="B446" s="1">
        <v>4252444</v>
      </c>
      <c r="C446" s="6" t="s">
        <v>38</v>
      </c>
      <c r="D446" s="1">
        <v>0.25</v>
      </c>
      <c r="E446" s="1">
        <v>0.35</v>
      </c>
      <c r="F446" s="1">
        <v>0.65</v>
      </c>
      <c r="G446" s="1">
        <v>0.75</v>
      </c>
      <c r="H446" s="1">
        <v>0.2</v>
      </c>
      <c r="I446" s="1">
        <v>0.8</v>
      </c>
      <c r="J446" s="1">
        <v>0</v>
      </c>
      <c r="K446" s="1">
        <v>0.8</v>
      </c>
      <c r="L446" s="1">
        <v>0.2</v>
      </c>
      <c r="M446" s="1">
        <v>0.8</v>
      </c>
      <c r="N446" s="1">
        <f>(Occurrence!B$3-D446)^2</f>
        <v>6.25E-2</v>
      </c>
      <c r="O446" s="1">
        <f>(Occurrence!C$3-E446)^2</f>
        <v>0.12249999999999998</v>
      </c>
      <c r="P446" s="1">
        <f>(Occurrence!D$3-F446)^2</f>
        <v>0.12249999999999998</v>
      </c>
      <c r="Q446" s="1">
        <f>(Occurrence!E$3-G446)^2</f>
        <v>6.25E-2</v>
      </c>
      <c r="R446" s="1">
        <f>(Occurrence!F$3-H446)^2</f>
        <v>4.0000000000000008E-2</v>
      </c>
      <c r="S446" s="1">
        <f>(Occurrence!G$3-I446)^2</f>
        <v>0.64000000000000012</v>
      </c>
      <c r="T446" s="1">
        <f>(Occurrence!H$3-J446)^2</f>
        <v>1</v>
      </c>
      <c r="U446" s="1">
        <f>(Occurrence!I$3-K446)^2</f>
        <v>3.999999999999998E-2</v>
      </c>
      <c r="V446" s="1">
        <f>(Occurrence!J$3-L446)^2</f>
        <v>4.0000000000000008E-2</v>
      </c>
      <c r="W446" s="1">
        <f>(Occurrence!K$3-M446)^2</f>
        <v>3.999999999999998E-2</v>
      </c>
      <c r="X446" s="1">
        <f t="shared" si="73"/>
        <v>2.1700000000000004</v>
      </c>
      <c r="Z446" s="1">
        <f t="shared" si="74"/>
        <v>0</v>
      </c>
      <c r="AA446" s="1">
        <f t="shared" si="75"/>
        <v>0</v>
      </c>
      <c r="AB446" s="1">
        <f t="shared" si="76"/>
        <v>1</v>
      </c>
      <c r="AC446" s="1">
        <f t="shared" si="77"/>
        <v>1</v>
      </c>
      <c r="AD446" s="1">
        <f t="shared" si="78"/>
        <v>0</v>
      </c>
      <c r="AE446" s="1">
        <f t="shared" si="79"/>
        <v>1</v>
      </c>
      <c r="AF446" s="1">
        <f t="shared" si="80"/>
        <v>0</v>
      </c>
      <c r="AG446" s="1">
        <f t="shared" si="81"/>
        <v>1</v>
      </c>
      <c r="AH446" s="1">
        <f t="shared" si="82"/>
        <v>0</v>
      </c>
      <c r="AI446" s="1">
        <f t="shared" si="83"/>
        <v>1</v>
      </c>
      <c r="AJ446" s="1">
        <f>SUMXMY2(Z446:AI446, Occurrence!B$3:K$3)</f>
        <v>2</v>
      </c>
      <c r="AK446" s="1">
        <f t="shared" si="84"/>
        <v>8</v>
      </c>
    </row>
    <row r="447" spans="1:37">
      <c r="A447" s="1">
        <v>446</v>
      </c>
      <c r="B447" s="1">
        <v>4252445</v>
      </c>
      <c r="C447" s="6" t="s">
        <v>38</v>
      </c>
      <c r="D447" s="1">
        <v>0.2</v>
      </c>
      <c r="E447" s="1">
        <v>0.4</v>
      </c>
      <c r="F447" s="1">
        <v>0.4</v>
      </c>
      <c r="G447" s="1">
        <v>0.2</v>
      </c>
      <c r="H447" s="1">
        <v>0.5</v>
      </c>
      <c r="I447" s="1">
        <v>0.5</v>
      </c>
      <c r="J447" s="1">
        <v>0</v>
      </c>
      <c r="K447" s="1">
        <v>0.8</v>
      </c>
      <c r="L447" s="1">
        <v>0.2</v>
      </c>
      <c r="M447" s="1">
        <v>0.8</v>
      </c>
      <c r="N447" s="1">
        <f>(Occurrence!B$3-D447)^2</f>
        <v>4.0000000000000008E-2</v>
      </c>
      <c r="O447" s="1">
        <f>(Occurrence!C$3-E447)^2</f>
        <v>0.16000000000000003</v>
      </c>
      <c r="P447" s="1">
        <f>(Occurrence!D$3-F447)^2</f>
        <v>0.36</v>
      </c>
      <c r="Q447" s="1">
        <f>(Occurrence!E$3-G447)^2</f>
        <v>0.64000000000000012</v>
      </c>
      <c r="R447" s="1">
        <f>(Occurrence!F$3-H447)^2</f>
        <v>0.25</v>
      </c>
      <c r="S447" s="1">
        <f>(Occurrence!G$3-I447)^2</f>
        <v>0.25</v>
      </c>
      <c r="T447" s="1">
        <f>(Occurrence!H$3-J447)^2</f>
        <v>1</v>
      </c>
      <c r="U447" s="1">
        <f>(Occurrence!I$3-K447)^2</f>
        <v>3.999999999999998E-2</v>
      </c>
      <c r="V447" s="1">
        <f>(Occurrence!J$3-L447)^2</f>
        <v>4.0000000000000008E-2</v>
      </c>
      <c r="W447" s="1">
        <f>(Occurrence!K$3-M447)^2</f>
        <v>3.999999999999998E-2</v>
      </c>
      <c r="X447" s="1">
        <f t="shared" si="73"/>
        <v>2.8200000000000003</v>
      </c>
      <c r="Z447" s="1">
        <f t="shared" si="74"/>
        <v>0</v>
      </c>
      <c r="AA447" s="1">
        <f t="shared" si="75"/>
        <v>0</v>
      </c>
      <c r="AB447" s="1">
        <f t="shared" si="76"/>
        <v>0</v>
      </c>
      <c r="AC447" s="1">
        <f t="shared" si="77"/>
        <v>0</v>
      </c>
      <c r="AD447" s="1">
        <f t="shared" si="78"/>
        <v>1</v>
      </c>
      <c r="AE447" s="1">
        <f t="shared" si="79"/>
        <v>1</v>
      </c>
      <c r="AF447" s="1">
        <f t="shared" si="80"/>
        <v>0</v>
      </c>
      <c r="AG447" s="1">
        <f t="shared" si="81"/>
        <v>1</v>
      </c>
      <c r="AH447" s="1">
        <f t="shared" si="82"/>
        <v>0</v>
      </c>
      <c r="AI447" s="1">
        <f t="shared" si="83"/>
        <v>1</v>
      </c>
      <c r="AJ447" s="1">
        <f>SUMXMY2(Z447:AI447, Occurrence!B$3:K$3)</f>
        <v>5</v>
      </c>
      <c r="AK447" s="1">
        <f t="shared" si="84"/>
        <v>5</v>
      </c>
    </row>
    <row r="448" spans="1:37">
      <c r="A448" s="1">
        <v>447</v>
      </c>
      <c r="B448" s="1">
        <v>4252446</v>
      </c>
      <c r="C448" s="6" t="s">
        <v>38</v>
      </c>
      <c r="D448" s="1">
        <v>0.44</v>
      </c>
      <c r="E448" s="1">
        <v>0.54</v>
      </c>
      <c r="F448" s="1">
        <v>0.21</v>
      </c>
      <c r="G448" s="1">
        <v>0.53</v>
      </c>
      <c r="H448" s="1">
        <v>0.62</v>
      </c>
      <c r="I448" s="1">
        <v>0.1</v>
      </c>
      <c r="J448" s="1">
        <v>0.13</v>
      </c>
      <c r="K448" s="1">
        <v>0.89</v>
      </c>
      <c r="L448" s="1">
        <v>0.64</v>
      </c>
      <c r="M448" s="1">
        <v>0.92</v>
      </c>
      <c r="N448" s="1">
        <f>(Occurrence!B$3-D448)^2</f>
        <v>0.19359999999999999</v>
      </c>
      <c r="O448" s="1">
        <f>(Occurrence!C$3-E448)^2</f>
        <v>0.29160000000000003</v>
      </c>
      <c r="P448" s="1">
        <f>(Occurrence!D$3-F448)^2</f>
        <v>0.6241000000000001</v>
      </c>
      <c r="Q448" s="1">
        <f>(Occurrence!E$3-G448)^2</f>
        <v>0.22089999999999999</v>
      </c>
      <c r="R448" s="1">
        <f>(Occurrence!F$3-H448)^2</f>
        <v>0.38440000000000002</v>
      </c>
      <c r="S448" s="1">
        <f>(Occurrence!G$3-I448)^2</f>
        <v>1.0000000000000002E-2</v>
      </c>
      <c r="T448" s="1">
        <f>(Occurrence!H$3-J448)^2</f>
        <v>0.75690000000000002</v>
      </c>
      <c r="U448" s="1">
        <f>(Occurrence!I$3-K448)^2</f>
        <v>1.2099999999999998E-2</v>
      </c>
      <c r="V448" s="1">
        <f>(Occurrence!J$3-L448)^2</f>
        <v>0.40960000000000002</v>
      </c>
      <c r="W448" s="1">
        <f>(Occurrence!K$3-M448)^2</f>
        <v>6.3999999999999934E-3</v>
      </c>
      <c r="X448" s="1">
        <f t="shared" si="73"/>
        <v>2.9096000000000002</v>
      </c>
      <c r="Z448" s="1">
        <f t="shared" si="74"/>
        <v>0</v>
      </c>
      <c r="AA448" s="1">
        <f t="shared" si="75"/>
        <v>1</v>
      </c>
      <c r="AB448" s="1">
        <f t="shared" si="76"/>
        <v>0</v>
      </c>
      <c r="AC448" s="1">
        <f t="shared" si="77"/>
        <v>1</v>
      </c>
      <c r="AD448" s="1">
        <f t="shared" si="78"/>
        <v>1</v>
      </c>
      <c r="AE448" s="1">
        <f t="shared" si="79"/>
        <v>0</v>
      </c>
      <c r="AF448" s="1">
        <f t="shared" si="80"/>
        <v>0</v>
      </c>
      <c r="AG448" s="1">
        <f t="shared" si="81"/>
        <v>1</v>
      </c>
      <c r="AH448" s="1">
        <f t="shared" si="82"/>
        <v>1</v>
      </c>
      <c r="AI448" s="1">
        <f t="shared" si="83"/>
        <v>1</v>
      </c>
      <c r="AJ448" s="1">
        <f>SUMXMY2(Z448:AI448, Occurrence!B$3:K$3)</f>
        <v>5</v>
      </c>
      <c r="AK448" s="1">
        <f t="shared" si="84"/>
        <v>5</v>
      </c>
    </row>
    <row r="449" spans="1:37">
      <c r="A449" s="1">
        <v>448</v>
      </c>
      <c r="B449" s="1">
        <v>4252447</v>
      </c>
      <c r="C449" s="6" t="s">
        <v>38</v>
      </c>
      <c r="D449" s="1">
        <v>0.2</v>
      </c>
      <c r="E449" s="1">
        <v>0.3</v>
      </c>
      <c r="F449" s="1">
        <v>0.2</v>
      </c>
      <c r="G449" s="1">
        <v>0.3</v>
      </c>
      <c r="H449" s="1">
        <v>0.6</v>
      </c>
      <c r="I449" s="1">
        <v>0.1</v>
      </c>
      <c r="J449" s="1">
        <v>0.23</v>
      </c>
      <c r="K449" s="1">
        <v>0.9</v>
      </c>
      <c r="L449" s="1">
        <v>0.6</v>
      </c>
      <c r="M449" s="1">
        <v>0.89</v>
      </c>
      <c r="N449" s="1">
        <f>(Occurrence!B$3-D449)^2</f>
        <v>4.0000000000000008E-2</v>
      </c>
      <c r="O449" s="1">
        <f>(Occurrence!C$3-E449)^2</f>
        <v>0.09</v>
      </c>
      <c r="P449" s="1">
        <f>(Occurrence!D$3-F449)^2</f>
        <v>0.64000000000000012</v>
      </c>
      <c r="Q449" s="1">
        <f>(Occurrence!E$3-G449)^2</f>
        <v>0.48999999999999994</v>
      </c>
      <c r="R449" s="1">
        <f>(Occurrence!F$3-H449)^2</f>
        <v>0.36</v>
      </c>
      <c r="S449" s="1">
        <f>(Occurrence!G$3-I449)^2</f>
        <v>1.0000000000000002E-2</v>
      </c>
      <c r="T449" s="1">
        <f>(Occurrence!H$3-J449)^2</f>
        <v>0.59289999999999998</v>
      </c>
      <c r="U449" s="1">
        <f>(Occurrence!I$3-K449)^2</f>
        <v>9.999999999999995E-3</v>
      </c>
      <c r="V449" s="1">
        <f>(Occurrence!J$3-L449)^2</f>
        <v>0.36</v>
      </c>
      <c r="W449" s="1">
        <f>(Occurrence!K$3-M449)^2</f>
        <v>1.2099999999999998E-2</v>
      </c>
      <c r="X449" s="1">
        <f t="shared" si="73"/>
        <v>2.6049999999999995</v>
      </c>
      <c r="Z449" s="1">
        <f t="shared" si="74"/>
        <v>0</v>
      </c>
      <c r="AA449" s="1">
        <f t="shared" si="75"/>
        <v>0</v>
      </c>
      <c r="AB449" s="1">
        <f t="shared" si="76"/>
        <v>0</v>
      </c>
      <c r="AC449" s="1">
        <f t="shared" si="77"/>
        <v>0</v>
      </c>
      <c r="AD449" s="1">
        <f t="shared" si="78"/>
        <v>1</v>
      </c>
      <c r="AE449" s="1">
        <f t="shared" si="79"/>
        <v>0</v>
      </c>
      <c r="AF449" s="1">
        <f t="shared" si="80"/>
        <v>0</v>
      </c>
      <c r="AG449" s="1">
        <f t="shared" si="81"/>
        <v>1</v>
      </c>
      <c r="AH449" s="1">
        <f t="shared" si="82"/>
        <v>1</v>
      </c>
      <c r="AI449" s="1">
        <f t="shared" si="83"/>
        <v>1</v>
      </c>
      <c r="AJ449" s="1">
        <f>SUMXMY2(Z449:AI449, Occurrence!B$3:K$3)</f>
        <v>5</v>
      </c>
      <c r="AK449" s="1">
        <f t="shared" si="84"/>
        <v>5</v>
      </c>
    </row>
    <row r="450" spans="1:37">
      <c r="A450" s="1">
        <v>449</v>
      </c>
      <c r="B450" s="1">
        <v>4252448</v>
      </c>
      <c r="C450" s="6" t="s">
        <v>38</v>
      </c>
      <c r="D450" s="1">
        <v>0.05</v>
      </c>
      <c r="E450" s="1">
        <v>0.2</v>
      </c>
      <c r="F450" s="1">
        <v>0.5</v>
      </c>
      <c r="G450" s="1">
        <v>0.7</v>
      </c>
      <c r="H450" s="1">
        <v>0.8</v>
      </c>
      <c r="I450" s="1">
        <v>0.4</v>
      </c>
      <c r="J450" s="1">
        <v>0.7</v>
      </c>
      <c r="K450" s="1">
        <v>0.9</v>
      </c>
      <c r="L450" s="1">
        <v>0.3</v>
      </c>
      <c r="M450" s="1">
        <v>0.8</v>
      </c>
      <c r="N450" s="1">
        <f>(Occurrence!B$3-D450)^2</f>
        <v>2.5000000000000005E-3</v>
      </c>
      <c r="O450" s="1">
        <f>(Occurrence!C$3-E450)^2</f>
        <v>4.0000000000000008E-2</v>
      </c>
      <c r="P450" s="1">
        <f>(Occurrence!D$3-F450)^2</f>
        <v>0.25</v>
      </c>
      <c r="Q450" s="1">
        <f>(Occurrence!E$3-G450)^2</f>
        <v>9.0000000000000024E-2</v>
      </c>
      <c r="R450" s="1">
        <f>(Occurrence!F$3-H450)^2</f>
        <v>0.64000000000000012</v>
      </c>
      <c r="S450" s="1">
        <f>(Occurrence!G$3-I450)^2</f>
        <v>0.16000000000000003</v>
      </c>
      <c r="T450" s="1">
        <f>(Occurrence!H$3-J450)^2</f>
        <v>9.0000000000000024E-2</v>
      </c>
      <c r="U450" s="1">
        <f>(Occurrence!I$3-K450)^2</f>
        <v>9.999999999999995E-3</v>
      </c>
      <c r="V450" s="1">
        <f>(Occurrence!J$3-L450)^2</f>
        <v>0.09</v>
      </c>
      <c r="W450" s="1">
        <f>(Occurrence!K$3-M450)^2</f>
        <v>3.999999999999998E-2</v>
      </c>
      <c r="X450" s="1">
        <f t="shared" si="73"/>
        <v>1.4125000000000003</v>
      </c>
      <c r="Z450" s="1">
        <f t="shared" si="74"/>
        <v>0</v>
      </c>
      <c r="AA450" s="1">
        <f t="shared" si="75"/>
        <v>0</v>
      </c>
      <c r="AB450" s="1">
        <f t="shared" si="76"/>
        <v>1</v>
      </c>
      <c r="AC450" s="1">
        <f t="shared" si="77"/>
        <v>1</v>
      </c>
      <c r="AD450" s="1">
        <f t="shared" si="78"/>
        <v>1</v>
      </c>
      <c r="AE450" s="1">
        <f t="shared" si="79"/>
        <v>0</v>
      </c>
      <c r="AF450" s="1">
        <f t="shared" si="80"/>
        <v>1</v>
      </c>
      <c r="AG450" s="1">
        <f t="shared" si="81"/>
        <v>1</v>
      </c>
      <c r="AH450" s="1">
        <f t="shared" si="82"/>
        <v>0</v>
      </c>
      <c r="AI450" s="1">
        <f t="shared" si="83"/>
        <v>1</v>
      </c>
      <c r="AJ450" s="1">
        <f>SUMXMY2(Z450:AI450, Occurrence!B$3:K$3)</f>
        <v>1</v>
      </c>
      <c r="AK450" s="1">
        <f t="shared" si="84"/>
        <v>9</v>
      </c>
    </row>
    <row r="451" spans="1:37">
      <c r="A451" s="1">
        <v>450</v>
      </c>
      <c r="B451" s="1">
        <v>4252449</v>
      </c>
      <c r="C451" s="6" t="s">
        <v>38</v>
      </c>
      <c r="D451" s="1">
        <v>0.2</v>
      </c>
      <c r="E451" s="1">
        <v>0.4</v>
      </c>
      <c r="F451" s="1">
        <v>0.3</v>
      </c>
      <c r="G451" s="1">
        <v>0.6</v>
      </c>
      <c r="H451" s="1">
        <v>1</v>
      </c>
      <c r="I451" s="1">
        <v>0.5</v>
      </c>
      <c r="J451" s="1">
        <v>0</v>
      </c>
      <c r="K451" s="1">
        <v>0.8</v>
      </c>
      <c r="L451" s="1">
        <v>0.15</v>
      </c>
      <c r="M451" s="1">
        <v>0.6</v>
      </c>
      <c r="N451" s="1">
        <f>(Occurrence!B$3-D451)^2</f>
        <v>4.0000000000000008E-2</v>
      </c>
      <c r="O451" s="1">
        <f>(Occurrence!C$3-E451)^2</f>
        <v>0.16000000000000003</v>
      </c>
      <c r="P451" s="1">
        <f>(Occurrence!D$3-F451)^2</f>
        <v>0.48999999999999994</v>
      </c>
      <c r="Q451" s="1">
        <f>(Occurrence!E$3-G451)^2</f>
        <v>0.16000000000000003</v>
      </c>
      <c r="R451" s="1">
        <f>(Occurrence!F$3-H451)^2</f>
        <v>1</v>
      </c>
      <c r="S451" s="1">
        <f>(Occurrence!G$3-I451)^2</f>
        <v>0.25</v>
      </c>
      <c r="T451" s="1">
        <f>(Occurrence!H$3-J451)^2</f>
        <v>1</v>
      </c>
      <c r="U451" s="1">
        <f>(Occurrence!I$3-K451)^2</f>
        <v>3.999999999999998E-2</v>
      </c>
      <c r="V451" s="1">
        <f>(Occurrence!J$3-L451)^2</f>
        <v>2.2499999999999999E-2</v>
      </c>
      <c r="W451" s="1">
        <f>(Occurrence!K$3-M451)^2</f>
        <v>0.16000000000000003</v>
      </c>
      <c r="X451" s="1">
        <f t="shared" ref="X451:X514" si="85">SUM(N451:W451)</f>
        <v>3.3225000000000002</v>
      </c>
      <c r="Z451" s="1">
        <f t="shared" ref="Z451:Z514" si="86">ROUND(D451, 0)</f>
        <v>0</v>
      </c>
      <c r="AA451" s="1">
        <f t="shared" ref="AA451:AA514" si="87">ROUND(E451, 0)</f>
        <v>0</v>
      </c>
      <c r="AB451" s="1">
        <f t="shared" ref="AB451:AB514" si="88">ROUND(F451, 0)</f>
        <v>0</v>
      </c>
      <c r="AC451" s="1">
        <f t="shared" ref="AC451:AC514" si="89">ROUND(G451, 0)</f>
        <v>1</v>
      </c>
      <c r="AD451" s="1">
        <f t="shared" ref="AD451:AD514" si="90">ROUND(H451, 0)</f>
        <v>1</v>
      </c>
      <c r="AE451" s="1">
        <f t="shared" ref="AE451:AE514" si="91">ROUND(I451, 0)</f>
        <v>1</v>
      </c>
      <c r="AF451" s="1">
        <f t="shared" ref="AF451:AF514" si="92">ROUND(J451, 0)</f>
        <v>0</v>
      </c>
      <c r="AG451" s="1">
        <f t="shared" ref="AG451:AG514" si="93">ROUND(K451, 0)</f>
        <v>1</v>
      </c>
      <c r="AH451" s="1">
        <f t="shared" ref="AH451:AH514" si="94">ROUND(L451, 0)</f>
        <v>0</v>
      </c>
      <c r="AI451" s="1">
        <f t="shared" ref="AI451:AI514" si="95">ROUND(M451, 0)</f>
        <v>1</v>
      </c>
      <c r="AJ451" s="1">
        <f>SUMXMY2(Z451:AI451, Occurrence!B$3:K$3)</f>
        <v>4</v>
      </c>
      <c r="AK451" s="1">
        <f t="shared" ref="AK451:AK514" si="96">10-AJ451</f>
        <v>6</v>
      </c>
    </row>
    <row r="452" spans="1:37">
      <c r="A452" s="1">
        <v>451</v>
      </c>
      <c r="B452" s="1">
        <v>4252450</v>
      </c>
      <c r="C452" s="6" t="s">
        <v>38</v>
      </c>
      <c r="D452" s="1">
        <v>0.2</v>
      </c>
      <c r="E452" s="1">
        <v>0.4</v>
      </c>
      <c r="F452" s="1">
        <v>0.3</v>
      </c>
      <c r="G452" s="1">
        <v>0.6</v>
      </c>
      <c r="H452" s="1">
        <v>0.1</v>
      </c>
      <c r="I452" s="1">
        <v>0.5</v>
      </c>
      <c r="J452" s="1">
        <v>0</v>
      </c>
      <c r="K452" s="1">
        <v>0.8</v>
      </c>
      <c r="L452" s="1">
        <v>0.1</v>
      </c>
      <c r="M452" s="1">
        <v>0.44</v>
      </c>
      <c r="N452" s="1">
        <f>(Occurrence!B$3-D452)^2</f>
        <v>4.0000000000000008E-2</v>
      </c>
      <c r="O452" s="1">
        <f>(Occurrence!C$3-E452)^2</f>
        <v>0.16000000000000003</v>
      </c>
      <c r="P452" s="1">
        <f>(Occurrence!D$3-F452)^2</f>
        <v>0.48999999999999994</v>
      </c>
      <c r="Q452" s="1">
        <f>(Occurrence!E$3-G452)^2</f>
        <v>0.16000000000000003</v>
      </c>
      <c r="R452" s="1">
        <f>(Occurrence!F$3-H452)^2</f>
        <v>1.0000000000000002E-2</v>
      </c>
      <c r="S452" s="1">
        <f>(Occurrence!G$3-I452)^2</f>
        <v>0.25</v>
      </c>
      <c r="T452" s="1">
        <f>(Occurrence!H$3-J452)^2</f>
        <v>1</v>
      </c>
      <c r="U452" s="1">
        <f>(Occurrence!I$3-K452)^2</f>
        <v>3.999999999999998E-2</v>
      </c>
      <c r="V452" s="1">
        <f>(Occurrence!J$3-L452)^2</f>
        <v>1.0000000000000002E-2</v>
      </c>
      <c r="W452" s="1">
        <f>(Occurrence!K$3-M452)^2</f>
        <v>0.31360000000000005</v>
      </c>
      <c r="X452" s="1">
        <f t="shared" si="85"/>
        <v>2.4735999999999998</v>
      </c>
      <c r="Z452" s="1">
        <f t="shared" si="86"/>
        <v>0</v>
      </c>
      <c r="AA452" s="1">
        <f t="shared" si="87"/>
        <v>0</v>
      </c>
      <c r="AB452" s="1">
        <f t="shared" si="88"/>
        <v>0</v>
      </c>
      <c r="AC452" s="1">
        <f t="shared" si="89"/>
        <v>1</v>
      </c>
      <c r="AD452" s="1">
        <f t="shared" si="90"/>
        <v>0</v>
      </c>
      <c r="AE452" s="1">
        <f t="shared" si="91"/>
        <v>1</v>
      </c>
      <c r="AF452" s="1">
        <f t="shared" si="92"/>
        <v>0</v>
      </c>
      <c r="AG452" s="1">
        <f t="shared" si="93"/>
        <v>1</v>
      </c>
      <c r="AH452" s="1">
        <f t="shared" si="94"/>
        <v>0</v>
      </c>
      <c r="AI452" s="1">
        <f t="shared" si="95"/>
        <v>0</v>
      </c>
      <c r="AJ452" s="1">
        <f>SUMXMY2(Z452:AI452, Occurrence!B$3:K$3)</f>
        <v>4</v>
      </c>
      <c r="AK452" s="1">
        <f t="shared" si="96"/>
        <v>6</v>
      </c>
    </row>
    <row r="453" spans="1:37">
      <c r="A453" s="1">
        <v>452</v>
      </c>
      <c r="B453" s="1">
        <v>4252451</v>
      </c>
      <c r="C453" s="6" t="s">
        <v>38</v>
      </c>
      <c r="D453" s="1">
        <v>0.13</v>
      </c>
      <c r="E453" s="1">
        <v>0.15</v>
      </c>
      <c r="F453" s="1">
        <v>0.68</v>
      </c>
      <c r="G453" s="1">
        <v>0.8</v>
      </c>
      <c r="H453" s="1">
        <v>0.17</v>
      </c>
      <c r="I453" s="1">
        <v>0.04</v>
      </c>
      <c r="J453" s="1">
        <v>0.1</v>
      </c>
      <c r="K453" s="1">
        <v>0.1</v>
      </c>
      <c r="L453" s="1">
        <v>0.7</v>
      </c>
      <c r="M453" s="1">
        <v>0.8</v>
      </c>
      <c r="N453" s="1">
        <f>(Occurrence!B$3-D453)^2</f>
        <v>1.6900000000000002E-2</v>
      </c>
      <c r="O453" s="1">
        <f>(Occurrence!C$3-E453)^2</f>
        <v>2.2499999999999999E-2</v>
      </c>
      <c r="P453" s="1">
        <f>(Occurrence!D$3-F453)^2</f>
        <v>0.10239999999999996</v>
      </c>
      <c r="Q453" s="1">
        <f>(Occurrence!E$3-G453)^2</f>
        <v>3.999999999999998E-2</v>
      </c>
      <c r="R453" s="1">
        <f>(Occurrence!F$3-H453)^2</f>
        <v>2.8900000000000006E-2</v>
      </c>
      <c r="S453" s="1">
        <f>(Occurrence!G$3-I453)^2</f>
        <v>1.6000000000000001E-3</v>
      </c>
      <c r="T453" s="1">
        <f>(Occurrence!H$3-J453)^2</f>
        <v>0.81</v>
      </c>
      <c r="U453" s="1">
        <f>(Occurrence!I$3-K453)^2</f>
        <v>0.81</v>
      </c>
      <c r="V453" s="1">
        <f>(Occurrence!J$3-L453)^2</f>
        <v>0.48999999999999994</v>
      </c>
      <c r="W453" s="1">
        <f>(Occurrence!K$3-M453)^2</f>
        <v>3.999999999999998E-2</v>
      </c>
      <c r="X453" s="1">
        <f t="shared" si="85"/>
        <v>2.3622999999999998</v>
      </c>
      <c r="Z453" s="1">
        <f t="shared" si="86"/>
        <v>0</v>
      </c>
      <c r="AA453" s="1">
        <f t="shared" si="87"/>
        <v>0</v>
      </c>
      <c r="AB453" s="1">
        <f t="shared" si="88"/>
        <v>1</v>
      </c>
      <c r="AC453" s="1">
        <f t="shared" si="89"/>
        <v>1</v>
      </c>
      <c r="AD453" s="1">
        <f t="shared" si="90"/>
        <v>0</v>
      </c>
      <c r="AE453" s="1">
        <f t="shared" si="91"/>
        <v>0</v>
      </c>
      <c r="AF453" s="1">
        <f t="shared" si="92"/>
        <v>0</v>
      </c>
      <c r="AG453" s="1">
        <f t="shared" si="93"/>
        <v>0</v>
      </c>
      <c r="AH453" s="1">
        <f t="shared" si="94"/>
        <v>1</v>
      </c>
      <c r="AI453" s="1">
        <f t="shared" si="95"/>
        <v>1</v>
      </c>
      <c r="AJ453" s="1">
        <f>SUMXMY2(Z453:AI453, Occurrence!B$3:K$3)</f>
        <v>3</v>
      </c>
      <c r="AK453" s="1">
        <f t="shared" si="96"/>
        <v>7</v>
      </c>
    </row>
    <row r="454" spans="1:37">
      <c r="A454" s="1">
        <v>453</v>
      </c>
      <c r="B454" s="1">
        <v>4252452</v>
      </c>
      <c r="C454" s="6" t="s">
        <v>38</v>
      </c>
      <c r="D454" s="1">
        <v>0.05</v>
      </c>
      <c r="E454" s="1">
        <v>0.1</v>
      </c>
      <c r="F454" s="1">
        <v>0.7</v>
      </c>
      <c r="G454" s="1">
        <v>0.8</v>
      </c>
      <c r="H454" s="1">
        <v>0.25</v>
      </c>
      <c r="I454" s="1">
        <v>0.06</v>
      </c>
      <c r="J454" s="1">
        <v>0.25</v>
      </c>
      <c r="K454" s="1">
        <v>0.8</v>
      </c>
      <c r="L454" s="1">
        <v>0.4</v>
      </c>
      <c r="M454" s="1">
        <v>0.5</v>
      </c>
      <c r="N454" s="1">
        <f>(Occurrence!B$3-D454)^2</f>
        <v>2.5000000000000005E-3</v>
      </c>
      <c r="O454" s="1">
        <f>(Occurrence!C$3-E454)^2</f>
        <v>1.0000000000000002E-2</v>
      </c>
      <c r="P454" s="1">
        <f>(Occurrence!D$3-F454)^2</f>
        <v>9.0000000000000024E-2</v>
      </c>
      <c r="Q454" s="1">
        <f>(Occurrence!E$3-G454)^2</f>
        <v>3.999999999999998E-2</v>
      </c>
      <c r="R454" s="1">
        <f>(Occurrence!F$3-H454)^2</f>
        <v>6.25E-2</v>
      </c>
      <c r="S454" s="1">
        <f>(Occurrence!G$3-I454)^2</f>
        <v>3.5999999999999999E-3</v>
      </c>
      <c r="T454" s="1">
        <f>(Occurrence!H$3-J454)^2</f>
        <v>0.5625</v>
      </c>
      <c r="U454" s="1">
        <f>(Occurrence!I$3-K454)^2</f>
        <v>3.999999999999998E-2</v>
      </c>
      <c r="V454" s="1">
        <f>(Occurrence!J$3-L454)^2</f>
        <v>0.16000000000000003</v>
      </c>
      <c r="W454" s="1">
        <f>(Occurrence!K$3-M454)^2</f>
        <v>0.25</v>
      </c>
      <c r="X454" s="1">
        <f t="shared" si="85"/>
        <v>1.2210999999999999</v>
      </c>
      <c r="Z454" s="1">
        <f t="shared" si="86"/>
        <v>0</v>
      </c>
      <c r="AA454" s="1">
        <f t="shared" si="87"/>
        <v>0</v>
      </c>
      <c r="AB454" s="1">
        <f t="shared" si="88"/>
        <v>1</v>
      </c>
      <c r="AC454" s="1">
        <f t="shared" si="89"/>
        <v>1</v>
      </c>
      <c r="AD454" s="1">
        <f t="shared" si="90"/>
        <v>0</v>
      </c>
      <c r="AE454" s="1">
        <f t="shared" si="91"/>
        <v>0</v>
      </c>
      <c r="AF454" s="1">
        <f t="shared" si="92"/>
        <v>0</v>
      </c>
      <c r="AG454" s="1">
        <f t="shared" si="93"/>
        <v>1</v>
      </c>
      <c r="AH454" s="1">
        <f t="shared" si="94"/>
        <v>0</v>
      </c>
      <c r="AI454" s="1">
        <f t="shared" si="95"/>
        <v>1</v>
      </c>
      <c r="AJ454" s="1">
        <f>SUMXMY2(Z454:AI454, Occurrence!B$3:K$3)</f>
        <v>1</v>
      </c>
      <c r="AK454" s="1">
        <f t="shared" si="96"/>
        <v>9</v>
      </c>
    </row>
    <row r="455" spans="1:37">
      <c r="A455" s="1">
        <v>454</v>
      </c>
      <c r="B455" s="1">
        <v>4252453</v>
      </c>
      <c r="C455" s="6" t="s">
        <v>38</v>
      </c>
      <c r="D455" s="1">
        <v>0.2</v>
      </c>
      <c r="E455" s="1">
        <v>0.3</v>
      </c>
      <c r="F455" s="1">
        <v>0.2</v>
      </c>
      <c r="G455" s="1">
        <v>0.3</v>
      </c>
      <c r="H455" s="1">
        <v>0.6</v>
      </c>
      <c r="I455" s="1">
        <v>0.15</v>
      </c>
      <c r="J455" s="1">
        <v>0.75</v>
      </c>
      <c r="K455" s="1">
        <v>0.92</v>
      </c>
      <c r="L455" s="1">
        <v>0.06</v>
      </c>
      <c r="M455" s="1">
        <v>0.43</v>
      </c>
      <c r="N455" s="1">
        <f>(Occurrence!B$3-D455)^2</f>
        <v>4.0000000000000008E-2</v>
      </c>
      <c r="O455" s="1">
        <f>(Occurrence!C$3-E455)^2</f>
        <v>0.09</v>
      </c>
      <c r="P455" s="1">
        <f>(Occurrence!D$3-F455)^2</f>
        <v>0.64000000000000012</v>
      </c>
      <c r="Q455" s="1">
        <f>(Occurrence!E$3-G455)^2</f>
        <v>0.48999999999999994</v>
      </c>
      <c r="R455" s="1">
        <f>(Occurrence!F$3-H455)^2</f>
        <v>0.36</v>
      </c>
      <c r="S455" s="1">
        <f>(Occurrence!G$3-I455)^2</f>
        <v>2.2499999999999999E-2</v>
      </c>
      <c r="T455" s="1">
        <f>(Occurrence!H$3-J455)^2</f>
        <v>6.25E-2</v>
      </c>
      <c r="U455" s="1">
        <f>(Occurrence!I$3-K455)^2</f>
        <v>6.3999999999999934E-3</v>
      </c>
      <c r="V455" s="1">
        <f>(Occurrence!J$3-L455)^2</f>
        <v>3.5999999999999999E-3</v>
      </c>
      <c r="W455" s="1">
        <f>(Occurrence!K$3-M455)^2</f>
        <v>0.32490000000000008</v>
      </c>
      <c r="X455" s="1">
        <f t="shared" si="85"/>
        <v>2.0399000000000003</v>
      </c>
      <c r="Z455" s="1">
        <f t="shared" si="86"/>
        <v>0</v>
      </c>
      <c r="AA455" s="1">
        <f t="shared" si="87"/>
        <v>0</v>
      </c>
      <c r="AB455" s="1">
        <f t="shared" si="88"/>
        <v>0</v>
      </c>
      <c r="AC455" s="1">
        <f t="shared" si="89"/>
        <v>0</v>
      </c>
      <c r="AD455" s="1">
        <f t="shared" si="90"/>
        <v>1</v>
      </c>
      <c r="AE455" s="1">
        <f t="shared" si="91"/>
        <v>0</v>
      </c>
      <c r="AF455" s="1">
        <f t="shared" si="92"/>
        <v>1</v>
      </c>
      <c r="AG455" s="1">
        <f t="shared" si="93"/>
        <v>1</v>
      </c>
      <c r="AH455" s="1">
        <f t="shared" si="94"/>
        <v>0</v>
      </c>
      <c r="AI455" s="1">
        <f t="shared" si="95"/>
        <v>0</v>
      </c>
      <c r="AJ455" s="1">
        <f>SUMXMY2(Z455:AI455, Occurrence!B$3:K$3)</f>
        <v>4</v>
      </c>
      <c r="AK455" s="1">
        <f t="shared" si="96"/>
        <v>6</v>
      </c>
    </row>
    <row r="456" spans="1:37">
      <c r="A456" s="1">
        <v>455</v>
      </c>
      <c r="B456" s="1">
        <v>4252454</v>
      </c>
      <c r="C456" s="6" t="s">
        <v>38</v>
      </c>
      <c r="D456" s="1">
        <v>0.13</v>
      </c>
      <c r="E456" s="1">
        <v>0.16</v>
      </c>
      <c r="F456" s="1">
        <v>0.68</v>
      </c>
      <c r="G456" s="1">
        <v>0.8</v>
      </c>
      <c r="H456" s="1">
        <v>0.19</v>
      </c>
      <c r="I456" s="1">
        <v>0</v>
      </c>
      <c r="J456" s="1">
        <v>0.1</v>
      </c>
      <c r="K456" s="1">
        <v>0.2</v>
      </c>
      <c r="L456" s="1">
        <v>0.1</v>
      </c>
      <c r="M456" s="1">
        <v>0.1</v>
      </c>
      <c r="N456" s="1">
        <f>(Occurrence!B$3-D456)^2</f>
        <v>1.6900000000000002E-2</v>
      </c>
      <c r="O456" s="1">
        <f>(Occurrence!C$3-E456)^2</f>
        <v>2.5600000000000001E-2</v>
      </c>
      <c r="P456" s="1">
        <f>(Occurrence!D$3-F456)^2</f>
        <v>0.10239999999999996</v>
      </c>
      <c r="Q456" s="1">
        <f>(Occurrence!E$3-G456)^2</f>
        <v>3.999999999999998E-2</v>
      </c>
      <c r="R456" s="1">
        <f>(Occurrence!F$3-H456)^2</f>
        <v>3.61E-2</v>
      </c>
      <c r="S456" s="1">
        <f>(Occurrence!G$3-I456)^2</f>
        <v>0</v>
      </c>
      <c r="T456" s="1">
        <f>(Occurrence!H$3-J456)^2</f>
        <v>0.81</v>
      </c>
      <c r="U456" s="1">
        <f>(Occurrence!I$3-K456)^2</f>
        <v>0.64000000000000012</v>
      </c>
      <c r="V456" s="1">
        <f>(Occurrence!J$3-L456)^2</f>
        <v>1.0000000000000002E-2</v>
      </c>
      <c r="W456" s="1">
        <f>(Occurrence!K$3-M456)^2</f>
        <v>0.81</v>
      </c>
      <c r="X456" s="1">
        <f t="shared" si="85"/>
        <v>2.4910000000000001</v>
      </c>
      <c r="Z456" s="1">
        <f t="shared" si="86"/>
        <v>0</v>
      </c>
      <c r="AA456" s="1">
        <f t="shared" si="87"/>
        <v>0</v>
      </c>
      <c r="AB456" s="1">
        <f t="shared" si="88"/>
        <v>1</v>
      </c>
      <c r="AC456" s="1">
        <f t="shared" si="89"/>
        <v>1</v>
      </c>
      <c r="AD456" s="1">
        <f t="shared" si="90"/>
        <v>0</v>
      </c>
      <c r="AE456" s="1">
        <f t="shared" si="91"/>
        <v>0</v>
      </c>
      <c r="AF456" s="1">
        <f t="shared" si="92"/>
        <v>0</v>
      </c>
      <c r="AG456" s="1">
        <f t="shared" si="93"/>
        <v>0</v>
      </c>
      <c r="AH456" s="1">
        <f t="shared" si="94"/>
        <v>0</v>
      </c>
      <c r="AI456" s="1">
        <f t="shared" si="95"/>
        <v>0</v>
      </c>
      <c r="AJ456" s="1">
        <f>SUMXMY2(Z456:AI456, Occurrence!B$3:K$3)</f>
        <v>3</v>
      </c>
      <c r="AK456" s="1">
        <f t="shared" si="96"/>
        <v>7</v>
      </c>
    </row>
    <row r="457" spans="1:37">
      <c r="A457" s="1">
        <v>456</v>
      </c>
      <c r="B457" s="1">
        <v>4252455</v>
      </c>
      <c r="C457" s="6" t="s">
        <v>38</v>
      </c>
      <c r="D457" s="1">
        <v>0.13</v>
      </c>
      <c r="E457" s="1">
        <v>0.18</v>
      </c>
      <c r="F457" s="1">
        <v>0.64</v>
      </c>
      <c r="G457" s="1">
        <v>0.78</v>
      </c>
      <c r="H457" s="1">
        <v>0.17</v>
      </c>
      <c r="I457" s="1">
        <v>0.1</v>
      </c>
      <c r="J457" s="1">
        <v>0.1</v>
      </c>
      <c r="K457" s="1">
        <v>0.1</v>
      </c>
      <c r="L457" s="1">
        <v>0.6</v>
      </c>
      <c r="M457" s="1">
        <v>0.3</v>
      </c>
      <c r="N457" s="1">
        <f>(Occurrence!B$3-D457)^2</f>
        <v>1.6900000000000002E-2</v>
      </c>
      <c r="O457" s="1">
        <f>(Occurrence!C$3-E457)^2</f>
        <v>3.2399999999999998E-2</v>
      </c>
      <c r="P457" s="1">
        <f>(Occurrence!D$3-F457)^2</f>
        <v>0.12959999999999999</v>
      </c>
      <c r="Q457" s="1">
        <f>(Occurrence!E$3-G457)^2</f>
        <v>4.8399999999999992E-2</v>
      </c>
      <c r="R457" s="1">
        <f>(Occurrence!F$3-H457)^2</f>
        <v>2.8900000000000006E-2</v>
      </c>
      <c r="S457" s="1">
        <f>(Occurrence!G$3-I457)^2</f>
        <v>1.0000000000000002E-2</v>
      </c>
      <c r="T457" s="1">
        <f>(Occurrence!H$3-J457)^2</f>
        <v>0.81</v>
      </c>
      <c r="U457" s="1">
        <f>(Occurrence!I$3-K457)^2</f>
        <v>0.81</v>
      </c>
      <c r="V457" s="1">
        <f>(Occurrence!J$3-L457)^2</f>
        <v>0.36</v>
      </c>
      <c r="W457" s="1">
        <f>(Occurrence!K$3-M457)^2</f>
        <v>0.48999999999999994</v>
      </c>
      <c r="X457" s="1">
        <f t="shared" si="85"/>
        <v>2.7361999999999997</v>
      </c>
      <c r="Z457" s="1">
        <f t="shared" si="86"/>
        <v>0</v>
      </c>
      <c r="AA457" s="1">
        <f t="shared" si="87"/>
        <v>0</v>
      </c>
      <c r="AB457" s="1">
        <f t="shared" si="88"/>
        <v>1</v>
      </c>
      <c r="AC457" s="1">
        <f t="shared" si="89"/>
        <v>1</v>
      </c>
      <c r="AD457" s="1">
        <f t="shared" si="90"/>
        <v>0</v>
      </c>
      <c r="AE457" s="1">
        <f t="shared" si="91"/>
        <v>0</v>
      </c>
      <c r="AF457" s="1">
        <f t="shared" si="92"/>
        <v>0</v>
      </c>
      <c r="AG457" s="1">
        <f t="shared" si="93"/>
        <v>0</v>
      </c>
      <c r="AH457" s="1">
        <f t="shared" si="94"/>
        <v>1</v>
      </c>
      <c r="AI457" s="1">
        <f t="shared" si="95"/>
        <v>0</v>
      </c>
      <c r="AJ457" s="1">
        <f>SUMXMY2(Z457:AI457, Occurrence!B$3:K$3)</f>
        <v>4</v>
      </c>
      <c r="AK457" s="1">
        <f t="shared" si="96"/>
        <v>6</v>
      </c>
    </row>
    <row r="458" spans="1:37">
      <c r="A458" s="1">
        <v>457</v>
      </c>
      <c r="B458" s="1">
        <v>4252456</v>
      </c>
      <c r="C458" s="6" t="s">
        <v>38</v>
      </c>
      <c r="D458" s="1">
        <v>0.108</v>
      </c>
      <c r="E458" s="1">
        <v>6.6000000000000003E-2</v>
      </c>
      <c r="F458" s="1">
        <v>0.40100000000000002</v>
      </c>
      <c r="G458" s="1">
        <v>0.35599999999999998</v>
      </c>
      <c r="H458" s="1">
        <v>0.49099999999999999</v>
      </c>
      <c r="I458" s="1">
        <v>0.05</v>
      </c>
      <c r="J458" s="1">
        <v>3.4000000000000002E-2</v>
      </c>
      <c r="K458" s="1">
        <v>0.12</v>
      </c>
      <c r="L458" s="1">
        <v>0.47</v>
      </c>
      <c r="M458" s="1">
        <v>0.09</v>
      </c>
      <c r="N458" s="1">
        <f>(Occurrence!B$3-D458)^2</f>
        <v>1.1663999999999999E-2</v>
      </c>
      <c r="O458" s="1">
        <f>(Occurrence!C$3-E458)^2</f>
        <v>4.3560000000000005E-3</v>
      </c>
      <c r="P458" s="1">
        <f>(Occurrence!D$3-F458)^2</f>
        <v>0.35880099999999998</v>
      </c>
      <c r="Q458" s="1">
        <f>(Occurrence!E$3-G458)^2</f>
        <v>0.41473600000000005</v>
      </c>
      <c r="R458" s="1">
        <f>(Occurrence!F$3-H458)^2</f>
        <v>0.24108099999999999</v>
      </c>
      <c r="S458" s="1">
        <f>(Occurrence!G$3-I458)^2</f>
        <v>2.5000000000000005E-3</v>
      </c>
      <c r="T458" s="1">
        <f>(Occurrence!H$3-J458)^2</f>
        <v>0.93315599999999999</v>
      </c>
      <c r="U458" s="1">
        <f>(Occurrence!I$3-K458)^2</f>
        <v>0.77439999999999998</v>
      </c>
      <c r="V458" s="1">
        <f>(Occurrence!J$3-L458)^2</f>
        <v>0.22089999999999999</v>
      </c>
      <c r="W458" s="1">
        <f>(Occurrence!K$3-M458)^2</f>
        <v>0.82810000000000006</v>
      </c>
      <c r="X458" s="1">
        <f t="shared" si="85"/>
        <v>3.7896939999999999</v>
      </c>
      <c r="Z458" s="1">
        <f t="shared" si="86"/>
        <v>0</v>
      </c>
      <c r="AA458" s="1">
        <f t="shared" si="87"/>
        <v>0</v>
      </c>
      <c r="AB458" s="1">
        <f t="shared" si="88"/>
        <v>0</v>
      </c>
      <c r="AC458" s="1">
        <f t="shared" si="89"/>
        <v>0</v>
      </c>
      <c r="AD458" s="1">
        <f t="shared" si="90"/>
        <v>0</v>
      </c>
      <c r="AE458" s="1">
        <f t="shared" si="91"/>
        <v>0</v>
      </c>
      <c r="AF458" s="1">
        <f t="shared" si="92"/>
        <v>0</v>
      </c>
      <c r="AG458" s="1">
        <f t="shared" si="93"/>
        <v>0</v>
      </c>
      <c r="AH458" s="1">
        <f t="shared" si="94"/>
        <v>0</v>
      </c>
      <c r="AI458" s="1">
        <f t="shared" si="95"/>
        <v>0</v>
      </c>
      <c r="AJ458" s="1">
        <f>SUMXMY2(Z458:AI458, Occurrence!B$3:K$3)</f>
        <v>5</v>
      </c>
      <c r="AK458" s="1">
        <f t="shared" si="96"/>
        <v>5</v>
      </c>
    </row>
    <row r="459" spans="1:37">
      <c r="A459" s="1">
        <v>458</v>
      </c>
      <c r="B459" s="1">
        <v>4252457</v>
      </c>
      <c r="C459" s="6" t="s">
        <v>38</v>
      </c>
      <c r="D459" s="1">
        <v>0.15</v>
      </c>
      <c r="E459" s="1">
        <v>0.4</v>
      </c>
      <c r="F459" s="1">
        <v>0.64</v>
      </c>
      <c r="G459" s="1">
        <v>0.6</v>
      </c>
      <c r="H459" s="1">
        <v>0.21</v>
      </c>
      <c r="I459" s="1">
        <v>0.7</v>
      </c>
      <c r="J459" s="1">
        <v>0.65</v>
      </c>
      <c r="K459" s="1">
        <v>0.7</v>
      </c>
      <c r="L459" s="1">
        <v>0.4</v>
      </c>
      <c r="M459" s="1">
        <v>0.38</v>
      </c>
      <c r="N459" s="1">
        <f>(Occurrence!B$3-D459)^2</f>
        <v>2.2499999999999999E-2</v>
      </c>
      <c r="O459" s="1">
        <f>(Occurrence!C$3-E459)^2</f>
        <v>0.16000000000000003</v>
      </c>
      <c r="P459" s="1">
        <f>(Occurrence!D$3-F459)^2</f>
        <v>0.12959999999999999</v>
      </c>
      <c r="Q459" s="1">
        <f>(Occurrence!E$3-G459)^2</f>
        <v>0.16000000000000003</v>
      </c>
      <c r="R459" s="1">
        <f>(Occurrence!F$3-H459)^2</f>
        <v>4.4099999999999993E-2</v>
      </c>
      <c r="S459" s="1">
        <f>(Occurrence!G$3-I459)^2</f>
        <v>0.48999999999999994</v>
      </c>
      <c r="T459" s="1">
        <f>(Occurrence!H$3-J459)^2</f>
        <v>0.12249999999999998</v>
      </c>
      <c r="U459" s="1">
        <f>(Occurrence!I$3-K459)^2</f>
        <v>9.0000000000000024E-2</v>
      </c>
      <c r="V459" s="1">
        <f>(Occurrence!J$3-L459)^2</f>
        <v>0.16000000000000003</v>
      </c>
      <c r="W459" s="1">
        <f>(Occurrence!K$3-M459)^2</f>
        <v>0.38440000000000002</v>
      </c>
      <c r="X459" s="1">
        <f t="shared" si="85"/>
        <v>1.7631000000000003</v>
      </c>
      <c r="Z459" s="1">
        <f t="shared" si="86"/>
        <v>0</v>
      </c>
      <c r="AA459" s="1">
        <f t="shared" si="87"/>
        <v>0</v>
      </c>
      <c r="AB459" s="1">
        <f t="shared" si="88"/>
        <v>1</v>
      </c>
      <c r="AC459" s="1">
        <f t="shared" si="89"/>
        <v>1</v>
      </c>
      <c r="AD459" s="1">
        <f t="shared" si="90"/>
        <v>0</v>
      </c>
      <c r="AE459" s="1">
        <f t="shared" si="91"/>
        <v>1</v>
      </c>
      <c r="AF459" s="1">
        <f t="shared" si="92"/>
        <v>1</v>
      </c>
      <c r="AG459" s="1">
        <f t="shared" si="93"/>
        <v>1</v>
      </c>
      <c r="AH459" s="1">
        <f t="shared" si="94"/>
        <v>0</v>
      </c>
      <c r="AI459" s="1">
        <f t="shared" si="95"/>
        <v>0</v>
      </c>
      <c r="AJ459" s="1">
        <f>SUMXMY2(Z459:AI459, Occurrence!B$3:K$3)</f>
        <v>2</v>
      </c>
      <c r="AK459" s="1">
        <f t="shared" si="96"/>
        <v>8</v>
      </c>
    </row>
    <row r="460" spans="1:37">
      <c r="A460" s="1">
        <v>459</v>
      </c>
      <c r="B460" s="1">
        <v>4252458</v>
      </c>
      <c r="C460" s="6" t="s">
        <v>38</v>
      </c>
      <c r="D460" s="1">
        <v>0.15</v>
      </c>
      <c r="E460" s="1">
        <v>0.08</v>
      </c>
      <c r="F460" s="1">
        <v>0.77</v>
      </c>
      <c r="G460" s="1">
        <v>0.12</v>
      </c>
      <c r="H460" s="1">
        <v>0.43</v>
      </c>
      <c r="I460" s="1">
        <v>0.32</v>
      </c>
      <c r="J460" s="1">
        <v>0.22</v>
      </c>
      <c r="K460" s="1">
        <v>0.14000000000000001</v>
      </c>
      <c r="L460" s="1">
        <v>0.54</v>
      </c>
      <c r="M460" s="1">
        <v>0.43</v>
      </c>
      <c r="N460" s="1">
        <f>(Occurrence!B$3-D460)^2</f>
        <v>2.2499999999999999E-2</v>
      </c>
      <c r="O460" s="1">
        <f>(Occurrence!C$3-E460)^2</f>
        <v>6.4000000000000003E-3</v>
      </c>
      <c r="P460" s="1">
        <f>(Occurrence!D$3-F460)^2</f>
        <v>5.2899999999999989E-2</v>
      </c>
      <c r="Q460" s="1">
        <f>(Occurrence!E$3-G460)^2</f>
        <v>0.77439999999999998</v>
      </c>
      <c r="R460" s="1">
        <f>(Occurrence!F$3-H460)^2</f>
        <v>0.18489999999999998</v>
      </c>
      <c r="S460" s="1">
        <f>(Occurrence!G$3-I460)^2</f>
        <v>0.1024</v>
      </c>
      <c r="T460" s="1">
        <f>(Occurrence!H$3-J460)^2</f>
        <v>0.60840000000000005</v>
      </c>
      <c r="U460" s="1">
        <f>(Occurrence!I$3-K460)^2</f>
        <v>0.73959999999999992</v>
      </c>
      <c r="V460" s="1">
        <f>(Occurrence!J$3-L460)^2</f>
        <v>0.29160000000000003</v>
      </c>
      <c r="W460" s="1">
        <f>(Occurrence!K$3-M460)^2</f>
        <v>0.32490000000000008</v>
      </c>
      <c r="X460" s="1">
        <f t="shared" si="85"/>
        <v>3.1079999999999997</v>
      </c>
      <c r="Z460" s="1">
        <f t="shared" si="86"/>
        <v>0</v>
      </c>
      <c r="AA460" s="1">
        <f t="shared" si="87"/>
        <v>0</v>
      </c>
      <c r="AB460" s="1">
        <f t="shared" si="88"/>
        <v>1</v>
      </c>
      <c r="AC460" s="1">
        <f t="shared" si="89"/>
        <v>0</v>
      </c>
      <c r="AD460" s="1">
        <f t="shared" si="90"/>
        <v>0</v>
      </c>
      <c r="AE460" s="1">
        <f t="shared" si="91"/>
        <v>0</v>
      </c>
      <c r="AF460" s="1">
        <f t="shared" si="92"/>
        <v>0</v>
      </c>
      <c r="AG460" s="1">
        <f t="shared" si="93"/>
        <v>0</v>
      </c>
      <c r="AH460" s="1">
        <f t="shared" si="94"/>
        <v>1</v>
      </c>
      <c r="AI460" s="1">
        <f t="shared" si="95"/>
        <v>0</v>
      </c>
      <c r="AJ460" s="1">
        <f>SUMXMY2(Z460:AI460, Occurrence!B$3:K$3)</f>
        <v>5</v>
      </c>
      <c r="AK460" s="1">
        <f t="shared" si="96"/>
        <v>5</v>
      </c>
    </row>
    <row r="461" spans="1:37">
      <c r="A461" s="1">
        <v>460</v>
      </c>
      <c r="B461" s="1">
        <v>4252459</v>
      </c>
      <c r="C461" s="6" t="s">
        <v>38</v>
      </c>
      <c r="D461" s="1">
        <v>0.13</v>
      </c>
      <c r="E461" s="1">
        <v>0.15</v>
      </c>
      <c r="F461" s="1">
        <v>0.68</v>
      </c>
      <c r="G461" s="1">
        <v>0.75</v>
      </c>
      <c r="H461" s="1">
        <v>0.19</v>
      </c>
      <c r="I461" s="1">
        <v>0.5</v>
      </c>
      <c r="J461" s="1">
        <v>0.1</v>
      </c>
      <c r="K461" s="1">
        <v>0.7</v>
      </c>
      <c r="L461" s="1">
        <v>0.96</v>
      </c>
      <c r="M461" s="1">
        <v>0.65</v>
      </c>
      <c r="N461" s="1">
        <f>(Occurrence!B$3-D461)^2</f>
        <v>1.6900000000000002E-2</v>
      </c>
      <c r="O461" s="1">
        <f>(Occurrence!C$3-E461)^2</f>
        <v>2.2499999999999999E-2</v>
      </c>
      <c r="P461" s="1">
        <f>(Occurrence!D$3-F461)^2</f>
        <v>0.10239999999999996</v>
      </c>
      <c r="Q461" s="1">
        <f>(Occurrence!E$3-G461)^2</f>
        <v>6.25E-2</v>
      </c>
      <c r="R461" s="1">
        <f>(Occurrence!F$3-H461)^2</f>
        <v>3.61E-2</v>
      </c>
      <c r="S461" s="1">
        <f>(Occurrence!G$3-I461)^2</f>
        <v>0.25</v>
      </c>
      <c r="T461" s="1">
        <f>(Occurrence!H$3-J461)^2</f>
        <v>0.81</v>
      </c>
      <c r="U461" s="1">
        <f>(Occurrence!I$3-K461)^2</f>
        <v>9.0000000000000024E-2</v>
      </c>
      <c r="V461" s="1">
        <f>(Occurrence!J$3-L461)^2</f>
        <v>0.92159999999999997</v>
      </c>
      <c r="W461" s="1">
        <f>(Occurrence!K$3-M461)^2</f>
        <v>0.12249999999999998</v>
      </c>
      <c r="X461" s="1">
        <f t="shared" si="85"/>
        <v>2.4345000000000003</v>
      </c>
      <c r="Z461" s="1">
        <f t="shared" si="86"/>
        <v>0</v>
      </c>
      <c r="AA461" s="1">
        <f t="shared" si="87"/>
        <v>0</v>
      </c>
      <c r="AB461" s="1">
        <f t="shared" si="88"/>
        <v>1</v>
      </c>
      <c r="AC461" s="1">
        <f t="shared" si="89"/>
        <v>1</v>
      </c>
      <c r="AD461" s="1">
        <f t="shared" si="90"/>
        <v>0</v>
      </c>
      <c r="AE461" s="1">
        <f t="shared" si="91"/>
        <v>1</v>
      </c>
      <c r="AF461" s="1">
        <f t="shared" si="92"/>
        <v>0</v>
      </c>
      <c r="AG461" s="1">
        <f t="shared" si="93"/>
        <v>1</v>
      </c>
      <c r="AH461" s="1">
        <f t="shared" si="94"/>
        <v>1</v>
      </c>
      <c r="AI461" s="1">
        <f t="shared" si="95"/>
        <v>1</v>
      </c>
      <c r="AJ461" s="1">
        <f>SUMXMY2(Z461:AI461, Occurrence!B$3:K$3)</f>
        <v>3</v>
      </c>
      <c r="AK461" s="1">
        <f t="shared" si="96"/>
        <v>7</v>
      </c>
    </row>
    <row r="462" spans="1:37">
      <c r="A462" s="1">
        <v>461</v>
      </c>
      <c r="B462" s="1">
        <v>4252460</v>
      </c>
      <c r="C462" s="6" t="s">
        <v>38</v>
      </c>
      <c r="D462" s="1">
        <v>0.12</v>
      </c>
      <c r="E462" s="1">
        <v>5.5E-2</v>
      </c>
      <c r="F462" s="1">
        <v>1.0999999999999999E-2</v>
      </c>
      <c r="G462" s="1">
        <v>3.1E-2</v>
      </c>
      <c r="H462" s="1">
        <v>1.4E-2</v>
      </c>
      <c r="I462" s="1">
        <v>2.1000000000000001E-2</v>
      </c>
      <c r="J462" s="1">
        <v>0.224</v>
      </c>
      <c r="K462" s="1">
        <v>3.3000000000000002E-2</v>
      </c>
      <c r="L462" s="1">
        <v>0.31</v>
      </c>
      <c r="M462" s="1">
        <v>0.43099999999999999</v>
      </c>
      <c r="N462" s="1">
        <f>(Occurrence!B$3-D462)^2</f>
        <v>1.44E-2</v>
      </c>
      <c r="O462" s="1">
        <f>(Occurrence!C$3-E462)^2</f>
        <v>3.0249999999999999E-3</v>
      </c>
      <c r="P462" s="1">
        <f>(Occurrence!D$3-F462)^2</f>
        <v>0.97812100000000002</v>
      </c>
      <c r="Q462" s="1">
        <f>(Occurrence!E$3-G462)^2</f>
        <v>0.93896099999999993</v>
      </c>
      <c r="R462" s="1">
        <f>(Occurrence!F$3-H462)^2</f>
        <v>1.9600000000000002E-4</v>
      </c>
      <c r="S462" s="1">
        <f>(Occurrence!G$3-I462)^2</f>
        <v>4.4100000000000004E-4</v>
      </c>
      <c r="T462" s="1">
        <f>(Occurrence!H$3-J462)^2</f>
        <v>0.60217600000000004</v>
      </c>
      <c r="U462" s="1">
        <f>(Occurrence!I$3-K462)^2</f>
        <v>0.93508899999999995</v>
      </c>
      <c r="V462" s="1">
        <f>(Occurrence!J$3-L462)^2</f>
        <v>9.6100000000000005E-2</v>
      </c>
      <c r="W462" s="1">
        <f>(Occurrence!K$3-M462)^2</f>
        <v>0.32376099999999997</v>
      </c>
      <c r="X462" s="1">
        <f t="shared" si="85"/>
        <v>3.8922699999999999</v>
      </c>
      <c r="Z462" s="1">
        <f t="shared" si="86"/>
        <v>0</v>
      </c>
      <c r="AA462" s="1">
        <f t="shared" si="87"/>
        <v>0</v>
      </c>
      <c r="AB462" s="1">
        <f t="shared" si="88"/>
        <v>0</v>
      </c>
      <c r="AC462" s="1">
        <f t="shared" si="89"/>
        <v>0</v>
      </c>
      <c r="AD462" s="1">
        <f t="shared" si="90"/>
        <v>0</v>
      </c>
      <c r="AE462" s="1">
        <f t="shared" si="91"/>
        <v>0</v>
      </c>
      <c r="AF462" s="1">
        <f t="shared" si="92"/>
        <v>0</v>
      </c>
      <c r="AG462" s="1">
        <f t="shared" si="93"/>
        <v>0</v>
      </c>
      <c r="AH462" s="1">
        <f t="shared" si="94"/>
        <v>0</v>
      </c>
      <c r="AI462" s="1">
        <f t="shared" si="95"/>
        <v>0</v>
      </c>
      <c r="AJ462" s="1">
        <f>SUMXMY2(Z462:AI462, Occurrence!B$3:K$3)</f>
        <v>5</v>
      </c>
      <c r="AK462" s="1">
        <f t="shared" si="96"/>
        <v>5</v>
      </c>
    </row>
    <row r="463" spans="1:37">
      <c r="A463" s="1">
        <v>462</v>
      </c>
      <c r="B463" s="1">
        <v>4252461</v>
      </c>
      <c r="C463" s="6" t="s">
        <v>38</v>
      </c>
      <c r="D463" s="1">
        <v>0.4</v>
      </c>
      <c r="E463" s="1">
        <v>0.3</v>
      </c>
      <c r="F463" s="1">
        <v>0.6</v>
      </c>
      <c r="G463" s="1">
        <v>0.7</v>
      </c>
      <c r="H463" s="1">
        <v>0.9</v>
      </c>
      <c r="I463" s="1">
        <v>0.1</v>
      </c>
      <c r="J463" s="1">
        <v>0.7</v>
      </c>
      <c r="K463" s="1">
        <v>0.8</v>
      </c>
      <c r="L463" s="1">
        <v>0.4</v>
      </c>
      <c r="M463" s="1">
        <v>0.5</v>
      </c>
      <c r="N463" s="1">
        <f>(Occurrence!B$3-D463)^2</f>
        <v>0.16000000000000003</v>
      </c>
      <c r="O463" s="1">
        <f>(Occurrence!C$3-E463)^2</f>
        <v>0.09</v>
      </c>
      <c r="P463" s="1">
        <f>(Occurrence!D$3-F463)^2</f>
        <v>0.16000000000000003</v>
      </c>
      <c r="Q463" s="1">
        <f>(Occurrence!E$3-G463)^2</f>
        <v>9.0000000000000024E-2</v>
      </c>
      <c r="R463" s="1">
        <f>(Occurrence!F$3-H463)^2</f>
        <v>0.81</v>
      </c>
      <c r="S463" s="1">
        <f>(Occurrence!G$3-I463)^2</f>
        <v>1.0000000000000002E-2</v>
      </c>
      <c r="T463" s="1">
        <f>(Occurrence!H$3-J463)^2</f>
        <v>9.0000000000000024E-2</v>
      </c>
      <c r="U463" s="1">
        <f>(Occurrence!I$3-K463)^2</f>
        <v>3.999999999999998E-2</v>
      </c>
      <c r="V463" s="1">
        <f>(Occurrence!J$3-L463)^2</f>
        <v>0.16000000000000003</v>
      </c>
      <c r="W463" s="1">
        <f>(Occurrence!K$3-M463)^2</f>
        <v>0.25</v>
      </c>
      <c r="X463" s="1">
        <f t="shared" si="85"/>
        <v>1.8600000000000003</v>
      </c>
      <c r="Z463" s="1">
        <f t="shared" si="86"/>
        <v>0</v>
      </c>
      <c r="AA463" s="1">
        <f t="shared" si="87"/>
        <v>0</v>
      </c>
      <c r="AB463" s="1">
        <f t="shared" si="88"/>
        <v>1</v>
      </c>
      <c r="AC463" s="1">
        <f t="shared" si="89"/>
        <v>1</v>
      </c>
      <c r="AD463" s="1">
        <f t="shared" si="90"/>
        <v>1</v>
      </c>
      <c r="AE463" s="1">
        <f t="shared" si="91"/>
        <v>0</v>
      </c>
      <c r="AF463" s="1">
        <f t="shared" si="92"/>
        <v>1</v>
      </c>
      <c r="AG463" s="1">
        <f t="shared" si="93"/>
        <v>1</v>
      </c>
      <c r="AH463" s="1">
        <f t="shared" si="94"/>
        <v>0</v>
      </c>
      <c r="AI463" s="1">
        <f t="shared" si="95"/>
        <v>1</v>
      </c>
      <c r="AJ463" s="1">
        <f>SUMXMY2(Z463:AI463, Occurrence!B$3:K$3)</f>
        <v>1</v>
      </c>
      <c r="AK463" s="1">
        <f t="shared" si="96"/>
        <v>9</v>
      </c>
    </row>
    <row r="464" spans="1:37">
      <c r="A464" s="1">
        <v>463</v>
      </c>
      <c r="B464" s="1">
        <v>4252462</v>
      </c>
      <c r="C464" s="6" t="s">
        <v>38</v>
      </c>
      <c r="D464" s="1">
        <v>0.35</v>
      </c>
      <c r="E464" s="1">
        <v>0.28000000000000003</v>
      </c>
      <c r="F464" s="1">
        <v>0.33</v>
      </c>
      <c r="G464" s="1">
        <v>0.75</v>
      </c>
      <c r="H464" s="1">
        <v>0.8</v>
      </c>
      <c r="I464" s="1">
        <v>0.2</v>
      </c>
      <c r="J464" s="1">
        <v>0.5</v>
      </c>
      <c r="K464" s="1">
        <v>0.4</v>
      </c>
      <c r="L464" s="1">
        <v>0.6</v>
      </c>
      <c r="M464" s="1">
        <v>0.8</v>
      </c>
      <c r="N464" s="1">
        <f>(Occurrence!B$3-D464)^2</f>
        <v>0.12249999999999998</v>
      </c>
      <c r="O464" s="1">
        <f>(Occurrence!C$3-E464)^2</f>
        <v>7.8400000000000011E-2</v>
      </c>
      <c r="P464" s="1">
        <f>(Occurrence!D$3-F464)^2</f>
        <v>0.44889999999999991</v>
      </c>
      <c r="Q464" s="1">
        <f>(Occurrence!E$3-G464)^2</f>
        <v>6.25E-2</v>
      </c>
      <c r="R464" s="1">
        <f>(Occurrence!F$3-H464)^2</f>
        <v>0.64000000000000012</v>
      </c>
      <c r="S464" s="1">
        <f>(Occurrence!G$3-I464)^2</f>
        <v>4.0000000000000008E-2</v>
      </c>
      <c r="T464" s="1">
        <f>(Occurrence!H$3-J464)^2</f>
        <v>0.25</v>
      </c>
      <c r="U464" s="1">
        <f>(Occurrence!I$3-K464)^2</f>
        <v>0.36</v>
      </c>
      <c r="V464" s="1">
        <f>(Occurrence!J$3-L464)^2</f>
        <v>0.36</v>
      </c>
      <c r="W464" s="1">
        <f>(Occurrence!K$3-M464)^2</f>
        <v>3.999999999999998E-2</v>
      </c>
      <c r="X464" s="1">
        <f t="shared" si="85"/>
        <v>2.4022999999999999</v>
      </c>
      <c r="Z464" s="1">
        <f t="shared" si="86"/>
        <v>0</v>
      </c>
      <c r="AA464" s="1">
        <f t="shared" si="87"/>
        <v>0</v>
      </c>
      <c r="AB464" s="1">
        <f t="shared" si="88"/>
        <v>0</v>
      </c>
      <c r="AC464" s="1">
        <f t="shared" si="89"/>
        <v>1</v>
      </c>
      <c r="AD464" s="1">
        <f t="shared" si="90"/>
        <v>1</v>
      </c>
      <c r="AE464" s="1">
        <f t="shared" si="91"/>
        <v>0</v>
      </c>
      <c r="AF464" s="1">
        <f t="shared" si="92"/>
        <v>1</v>
      </c>
      <c r="AG464" s="1">
        <f t="shared" si="93"/>
        <v>0</v>
      </c>
      <c r="AH464" s="1">
        <f t="shared" si="94"/>
        <v>1</v>
      </c>
      <c r="AI464" s="1">
        <f t="shared" si="95"/>
        <v>1</v>
      </c>
      <c r="AJ464" s="1">
        <f>SUMXMY2(Z464:AI464, Occurrence!B$3:K$3)</f>
        <v>4</v>
      </c>
      <c r="AK464" s="1">
        <f t="shared" si="96"/>
        <v>6</v>
      </c>
    </row>
    <row r="465" spans="1:37">
      <c r="A465" s="1">
        <v>464</v>
      </c>
      <c r="B465" s="1">
        <v>4252463</v>
      </c>
      <c r="C465" s="6" t="s">
        <v>38</v>
      </c>
      <c r="D465" s="1">
        <v>0.33</v>
      </c>
      <c r="E465" s="1">
        <v>0.35</v>
      </c>
      <c r="F465" s="1">
        <v>0.5</v>
      </c>
      <c r="G465" s="1">
        <v>0.6</v>
      </c>
      <c r="H465" s="1">
        <v>0.83333332999999998</v>
      </c>
      <c r="I465" s="1">
        <v>0.1</v>
      </c>
      <c r="J465" s="1">
        <v>0.4</v>
      </c>
      <c r="K465" s="1">
        <v>0.15</v>
      </c>
      <c r="L465" s="1">
        <v>0.85</v>
      </c>
      <c r="M465" s="1">
        <v>0.17</v>
      </c>
      <c r="N465" s="1">
        <f>(Occurrence!B$3-D465)^2</f>
        <v>0.10890000000000001</v>
      </c>
      <c r="O465" s="1">
        <f>(Occurrence!C$3-E465)^2</f>
        <v>0.12249999999999998</v>
      </c>
      <c r="P465" s="1">
        <f>(Occurrence!D$3-F465)^2</f>
        <v>0.25</v>
      </c>
      <c r="Q465" s="1">
        <f>(Occurrence!E$3-G465)^2</f>
        <v>0.16000000000000003</v>
      </c>
      <c r="R465" s="1">
        <f>(Occurrence!F$3-H465)^2</f>
        <v>0.69444443888888885</v>
      </c>
      <c r="S465" s="1">
        <f>(Occurrence!G$3-I465)^2</f>
        <v>1.0000000000000002E-2</v>
      </c>
      <c r="T465" s="1">
        <f>(Occurrence!H$3-J465)^2</f>
        <v>0.36</v>
      </c>
      <c r="U465" s="1">
        <f>(Occurrence!I$3-K465)^2</f>
        <v>0.72249999999999992</v>
      </c>
      <c r="V465" s="1">
        <f>(Occurrence!J$3-L465)^2</f>
        <v>0.72249999999999992</v>
      </c>
      <c r="W465" s="1">
        <f>(Occurrence!K$3-M465)^2</f>
        <v>0.68889999999999996</v>
      </c>
      <c r="X465" s="1">
        <f t="shared" si="85"/>
        <v>3.8397444388888888</v>
      </c>
      <c r="Z465" s="1">
        <f t="shared" si="86"/>
        <v>0</v>
      </c>
      <c r="AA465" s="1">
        <f t="shared" si="87"/>
        <v>0</v>
      </c>
      <c r="AB465" s="1">
        <f t="shared" si="88"/>
        <v>1</v>
      </c>
      <c r="AC465" s="1">
        <f t="shared" si="89"/>
        <v>1</v>
      </c>
      <c r="AD465" s="1">
        <f t="shared" si="90"/>
        <v>1</v>
      </c>
      <c r="AE465" s="1">
        <f t="shared" si="91"/>
        <v>0</v>
      </c>
      <c r="AF465" s="1">
        <f t="shared" si="92"/>
        <v>0</v>
      </c>
      <c r="AG465" s="1">
        <f t="shared" si="93"/>
        <v>0</v>
      </c>
      <c r="AH465" s="1">
        <f t="shared" si="94"/>
        <v>1</v>
      </c>
      <c r="AI465" s="1">
        <f t="shared" si="95"/>
        <v>0</v>
      </c>
      <c r="AJ465" s="1">
        <f>SUMXMY2(Z465:AI465, Occurrence!B$3:K$3)</f>
        <v>5</v>
      </c>
      <c r="AK465" s="1">
        <f t="shared" si="96"/>
        <v>5</v>
      </c>
    </row>
    <row r="466" spans="1:37">
      <c r="A466" s="1">
        <v>465</v>
      </c>
      <c r="B466" s="1">
        <v>4252464</v>
      </c>
      <c r="C466" s="6" t="s">
        <v>38</v>
      </c>
      <c r="D466" s="1">
        <v>0.25119999999999998</v>
      </c>
      <c r="E466" s="1">
        <v>0.78910000000000002</v>
      </c>
      <c r="F466" s="1">
        <v>0.78910000000000002</v>
      </c>
      <c r="G466" s="1">
        <v>0.25119999999999998</v>
      </c>
      <c r="H466" s="1">
        <v>0.54320000000000002</v>
      </c>
      <c r="I466" s="1">
        <v>0.21340000000000001</v>
      </c>
      <c r="J466" s="1">
        <v>0.89759999999999995</v>
      </c>
      <c r="K466" s="1">
        <v>0.78920000000000001</v>
      </c>
      <c r="L466" s="1">
        <v>1</v>
      </c>
      <c r="M466" s="1">
        <v>1</v>
      </c>
      <c r="N466" s="1">
        <f>(Occurrence!B$3-D466)^2</f>
        <v>6.3101439999999995E-2</v>
      </c>
      <c r="O466" s="1">
        <f>(Occurrence!C$3-E466)^2</f>
        <v>0.62267881000000003</v>
      </c>
      <c r="P466" s="1">
        <f>(Occurrence!D$3-F466)^2</f>
        <v>4.4478809999999987E-2</v>
      </c>
      <c r="Q466" s="1">
        <f>(Occurrence!E$3-G466)^2</f>
        <v>0.56070144</v>
      </c>
      <c r="R466" s="1">
        <f>(Occurrence!F$3-H466)^2</f>
        <v>0.29506624000000004</v>
      </c>
      <c r="S466" s="1">
        <f>(Occurrence!G$3-I466)^2</f>
        <v>4.553956E-2</v>
      </c>
      <c r="T466" s="1">
        <f>(Occurrence!H$3-J466)^2</f>
        <v>1.0485760000000009E-2</v>
      </c>
      <c r="U466" s="1">
        <f>(Occurrence!I$3-K466)^2</f>
        <v>4.4436639999999993E-2</v>
      </c>
      <c r="V466" s="1">
        <f>(Occurrence!J$3-L466)^2</f>
        <v>1</v>
      </c>
      <c r="W466" s="1">
        <f>(Occurrence!K$3-M466)^2</f>
        <v>0</v>
      </c>
      <c r="X466" s="1">
        <f t="shared" si="85"/>
        <v>2.6864887</v>
      </c>
      <c r="Z466" s="1">
        <f t="shared" si="86"/>
        <v>0</v>
      </c>
      <c r="AA466" s="1">
        <f t="shared" si="87"/>
        <v>1</v>
      </c>
      <c r="AB466" s="1">
        <f t="shared" si="88"/>
        <v>1</v>
      </c>
      <c r="AC466" s="1">
        <f t="shared" si="89"/>
        <v>0</v>
      </c>
      <c r="AD466" s="1">
        <f t="shared" si="90"/>
        <v>1</v>
      </c>
      <c r="AE466" s="1">
        <f t="shared" si="91"/>
        <v>0</v>
      </c>
      <c r="AF466" s="1">
        <f t="shared" si="92"/>
        <v>1</v>
      </c>
      <c r="AG466" s="1">
        <f t="shared" si="93"/>
        <v>1</v>
      </c>
      <c r="AH466" s="1">
        <f t="shared" si="94"/>
        <v>1</v>
      </c>
      <c r="AI466" s="1">
        <f t="shared" si="95"/>
        <v>1</v>
      </c>
      <c r="AJ466" s="1">
        <f>SUMXMY2(Z466:AI466, Occurrence!B$3:K$3)</f>
        <v>4</v>
      </c>
      <c r="AK466" s="1">
        <f t="shared" si="96"/>
        <v>6</v>
      </c>
    </row>
    <row r="467" spans="1:37">
      <c r="A467" s="1">
        <v>466</v>
      </c>
      <c r="B467" s="1">
        <v>4252465</v>
      </c>
      <c r="C467" s="6" t="s">
        <v>38</v>
      </c>
      <c r="D467" s="1">
        <v>0.15</v>
      </c>
      <c r="E467" s="1">
        <v>0.78</v>
      </c>
      <c r="F467" s="1">
        <v>0.5</v>
      </c>
      <c r="G467" s="1">
        <v>0.6</v>
      </c>
      <c r="H467" s="1">
        <v>0.35</v>
      </c>
      <c r="I467" s="1">
        <v>0.39</v>
      </c>
      <c r="J467" s="1">
        <v>0.45</v>
      </c>
      <c r="K467" s="1">
        <v>0.85</v>
      </c>
      <c r="L467" s="1">
        <v>0.4</v>
      </c>
      <c r="M467" s="1">
        <v>0.49</v>
      </c>
      <c r="N467" s="1">
        <f>(Occurrence!B$3-D467)^2</f>
        <v>2.2499999999999999E-2</v>
      </c>
      <c r="O467" s="1">
        <f>(Occurrence!C$3-E467)^2</f>
        <v>0.60840000000000005</v>
      </c>
      <c r="P467" s="1">
        <f>(Occurrence!D$3-F467)^2</f>
        <v>0.25</v>
      </c>
      <c r="Q467" s="1">
        <f>(Occurrence!E$3-G467)^2</f>
        <v>0.16000000000000003</v>
      </c>
      <c r="R467" s="1">
        <f>(Occurrence!F$3-H467)^2</f>
        <v>0.12249999999999998</v>
      </c>
      <c r="S467" s="1">
        <f>(Occurrence!G$3-I467)^2</f>
        <v>0.15210000000000001</v>
      </c>
      <c r="T467" s="1">
        <f>(Occurrence!H$3-J467)^2</f>
        <v>0.30250000000000005</v>
      </c>
      <c r="U467" s="1">
        <f>(Occurrence!I$3-K467)^2</f>
        <v>2.2500000000000006E-2</v>
      </c>
      <c r="V467" s="1">
        <f>(Occurrence!J$3-L467)^2</f>
        <v>0.16000000000000003</v>
      </c>
      <c r="W467" s="1">
        <f>(Occurrence!K$3-M467)^2</f>
        <v>0.2601</v>
      </c>
      <c r="X467" s="1">
        <f t="shared" si="85"/>
        <v>2.0606</v>
      </c>
      <c r="Z467" s="1">
        <f t="shared" si="86"/>
        <v>0</v>
      </c>
      <c r="AA467" s="1">
        <f t="shared" si="87"/>
        <v>1</v>
      </c>
      <c r="AB467" s="1">
        <f t="shared" si="88"/>
        <v>1</v>
      </c>
      <c r="AC467" s="1">
        <f t="shared" si="89"/>
        <v>1</v>
      </c>
      <c r="AD467" s="1">
        <f t="shared" si="90"/>
        <v>0</v>
      </c>
      <c r="AE467" s="1">
        <f t="shared" si="91"/>
        <v>0</v>
      </c>
      <c r="AF467" s="1">
        <f t="shared" si="92"/>
        <v>0</v>
      </c>
      <c r="AG467" s="1">
        <f t="shared" si="93"/>
        <v>1</v>
      </c>
      <c r="AH467" s="1">
        <f t="shared" si="94"/>
        <v>0</v>
      </c>
      <c r="AI467" s="1">
        <f t="shared" si="95"/>
        <v>0</v>
      </c>
      <c r="AJ467" s="1">
        <f>SUMXMY2(Z467:AI467, Occurrence!B$3:K$3)</f>
        <v>3</v>
      </c>
      <c r="AK467" s="1">
        <f t="shared" si="96"/>
        <v>7</v>
      </c>
    </row>
    <row r="468" spans="1:37">
      <c r="A468" s="1">
        <v>467</v>
      </c>
      <c r="B468" s="1">
        <v>4252466</v>
      </c>
      <c r="C468" s="6" t="s">
        <v>38</v>
      </c>
      <c r="D468" s="1">
        <v>0</v>
      </c>
      <c r="E468" s="1">
        <v>0</v>
      </c>
      <c r="F468" s="1">
        <v>0.75</v>
      </c>
      <c r="G468" s="1">
        <v>1</v>
      </c>
      <c r="H468" s="1">
        <v>1</v>
      </c>
      <c r="I468" s="1">
        <v>0.5</v>
      </c>
      <c r="J468" s="1">
        <v>0.1</v>
      </c>
      <c r="K468" s="1">
        <v>0.15</v>
      </c>
      <c r="L468" s="1">
        <v>0.6</v>
      </c>
      <c r="M468" s="1">
        <v>0.35</v>
      </c>
      <c r="N468" s="1">
        <f>(Occurrence!B$3-D468)^2</f>
        <v>0</v>
      </c>
      <c r="O468" s="1">
        <f>(Occurrence!C$3-E468)^2</f>
        <v>0</v>
      </c>
      <c r="P468" s="1">
        <f>(Occurrence!D$3-F468)^2</f>
        <v>6.25E-2</v>
      </c>
      <c r="Q468" s="1">
        <f>(Occurrence!E$3-G468)^2</f>
        <v>0</v>
      </c>
      <c r="R468" s="1">
        <f>(Occurrence!F$3-H468)^2</f>
        <v>1</v>
      </c>
      <c r="S468" s="1">
        <f>(Occurrence!G$3-I468)^2</f>
        <v>0.25</v>
      </c>
      <c r="T468" s="1">
        <f>(Occurrence!H$3-J468)^2</f>
        <v>0.81</v>
      </c>
      <c r="U468" s="1">
        <f>(Occurrence!I$3-K468)^2</f>
        <v>0.72249999999999992</v>
      </c>
      <c r="V468" s="1">
        <f>(Occurrence!J$3-L468)^2</f>
        <v>0.36</v>
      </c>
      <c r="W468" s="1">
        <f>(Occurrence!K$3-M468)^2</f>
        <v>0.42250000000000004</v>
      </c>
      <c r="X468" s="1">
        <f t="shared" si="85"/>
        <v>3.6274999999999995</v>
      </c>
      <c r="Z468" s="1">
        <f t="shared" si="86"/>
        <v>0</v>
      </c>
      <c r="AA468" s="1">
        <f t="shared" si="87"/>
        <v>0</v>
      </c>
      <c r="AB468" s="1">
        <f t="shared" si="88"/>
        <v>1</v>
      </c>
      <c r="AC468" s="1">
        <f t="shared" si="89"/>
        <v>1</v>
      </c>
      <c r="AD468" s="1">
        <f t="shared" si="90"/>
        <v>1</v>
      </c>
      <c r="AE468" s="1">
        <f t="shared" si="91"/>
        <v>1</v>
      </c>
      <c r="AF468" s="1">
        <f t="shared" si="92"/>
        <v>0</v>
      </c>
      <c r="AG468" s="1">
        <f t="shared" si="93"/>
        <v>0</v>
      </c>
      <c r="AH468" s="1">
        <f t="shared" si="94"/>
        <v>1</v>
      </c>
      <c r="AI468" s="1">
        <f t="shared" si="95"/>
        <v>0</v>
      </c>
      <c r="AJ468" s="1">
        <f>SUMXMY2(Z468:AI468, Occurrence!B$3:K$3)</f>
        <v>6</v>
      </c>
      <c r="AK468" s="1">
        <f t="shared" si="96"/>
        <v>4</v>
      </c>
    </row>
    <row r="469" spans="1:37">
      <c r="A469" s="1">
        <v>468</v>
      </c>
      <c r="B469" s="1">
        <v>4252467</v>
      </c>
      <c r="C469" s="6" t="s">
        <v>38</v>
      </c>
      <c r="D469" s="1">
        <v>0.72140000000000004</v>
      </c>
      <c r="E469" s="1">
        <v>0.64280000000000004</v>
      </c>
      <c r="F469" s="1">
        <v>0.49590000000000001</v>
      </c>
      <c r="G469" s="1">
        <v>0.5978</v>
      </c>
      <c r="H469" s="1">
        <v>0.22559999999999999</v>
      </c>
      <c r="I469" s="1">
        <v>0.85029999999999994</v>
      </c>
      <c r="J469" s="1">
        <v>0.77769999999999995</v>
      </c>
      <c r="K469" s="1">
        <v>0.95430000000000004</v>
      </c>
      <c r="L469" s="1">
        <v>0.56469999999999998</v>
      </c>
      <c r="M469" s="1">
        <v>0.33250000000000002</v>
      </c>
      <c r="N469" s="1">
        <f>(Occurrence!B$3-D469)^2</f>
        <v>0.52041796000000007</v>
      </c>
      <c r="O469" s="1">
        <f>(Occurrence!C$3-E469)^2</f>
        <v>0.41319184000000003</v>
      </c>
      <c r="P469" s="1">
        <f>(Occurrence!D$3-F469)^2</f>
        <v>0.25411680999999997</v>
      </c>
      <c r="Q469" s="1">
        <f>(Occurrence!E$3-G469)^2</f>
        <v>0.16176483999999999</v>
      </c>
      <c r="R469" s="1">
        <f>(Occurrence!F$3-H469)^2</f>
        <v>5.0895360000000001E-2</v>
      </c>
      <c r="S469" s="1">
        <f>(Occurrence!G$3-I469)^2</f>
        <v>0.72301008999999994</v>
      </c>
      <c r="T469" s="1">
        <f>(Occurrence!H$3-J469)^2</f>
        <v>4.9417290000000023E-2</v>
      </c>
      <c r="U469" s="1">
        <f>(Occurrence!I$3-K469)^2</f>
        <v>2.0884899999999967E-3</v>
      </c>
      <c r="V469" s="1">
        <f>(Occurrence!J$3-L469)^2</f>
        <v>0.31888608999999996</v>
      </c>
      <c r="W469" s="1">
        <f>(Occurrence!K$3-M469)^2</f>
        <v>0.44555624999999999</v>
      </c>
      <c r="X469" s="1">
        <f t="shared" si="85"/>
        <v>2.9393450199999998</v>
      </c>
      <c r="Z469" s="1">
        <f t="shared" si="86"/>
        <v>1</v>
      </c>
      <c r="AA469" s="1">
        <f t="shared" si="87"/>
        <v>1</v>
      </c>
      <c r="AB469" s="1">
        <f t="shared" si="88"/>
        <v>0</v>
      </c>
      <c r="AC469" s="1">
        <f t="shared" si="89"/>
        <v>1</v>
      </c>
      <c r="AD469" s="1">
        <f t="shared" si="90"/>
        <v>0</v>
      </c>
      <c r="AE469" s="1">
        <f t="shared" si="91"/>
        <v>1</v>
      </c>
      <c r="AF469" s="1">
        <f t="shared" si="92"/>
        <v>1</v>
      </c>
      <c r="AG469" s="1">
        <f t="shared" si="93"/>
        <v>1</v>
      </c>
      <c r="AH469" s="1">
        <f t="shared" si="94"/>
        <v>1</v>
      </c>
      <c r="AI469" s="1">
        <f t="shared" si="95"/>
        <v>0</v>
      </c>
      <c r="AJ469" s="1">
        <f>SUMXMY2(Z469:AI469, Occurrence!B$3:K$3)</f>
        <v>6</v>
      </c>
      <c r="AK469" s="1">
        <f t="shared" si="96"/>
        <v>4</v>
      </c>
    </row>
    <row r="470" spans="1:37">
      <c r="A470" s="1">
        <v>469</v>
      </c>
      <c r="B470" s="1">
        <v>4252468</v>
      </c>
      <c r="C470" s="6" t="s">
        <v>38</v>
      </c>
      <c r="D470" s="1">
        <v>0.27</v>
      </c>
      <c r="E470" s="1">
        <v>0.35</v>
      </c>
      <c r="F470" s="1">
        <v>0.73</v>
      </c>
      <c r="G470" s="1">
        <v>0.39</v>
      </c>
      <c r="H470" s="1">
        <v>1</v>
      </c>
      <c r="I470" s="1">
        <v>0.7</v>
      </c>
      <c r="J470" s="1">
        <v>0.68</v>
      </c>
      <c r="K470" s="1">
        <v>0.37</v>
      </c>
      <c r="L470" s="1">
        <v>0.28000000000000003</v>
      </c>
      <c r="M470" s="1">
        <v>0.46</v>
      </c>
      <c r="N470" s="1">
        <f>(Occurrence!B$3-D470)^2</f>
        <v>7.2900000000000006E-2</v>
      </c>
      <c r="O470" s="1">
        <f>(Occurrence!C$3-E470)^2</f>
        <v>0.12249999999999998</v>
      </c>
      <c r="P470" s="1">
        <f>(Occurrence!D$3-F470)^2</f>
        <v>7.2900000000000006E-2</v>
      </c>
      <c r="Q470" s="1">
        <f>(Occurrence!E$3-G470)^2</f>
        <v>0.37209999999999999</v>
      </c>
      <c r="R470" s="1">
        <f>(Occurrence!F$3-H470)^2</f>
        <v>1</v>
      </c>
      <c r="S470" s="1">
        <f>(Occurrence!G$3-I470)^2</f>
        <v>0.48999999999999994</v>
      </c>
      <c r="T470" s="1">
        <f>(Occurrence!H$3-J470)^2</f>
        <v>0.10239999999999996</v>
      </c>
      <c r="U470" s="1">
        <f>(Occurrence!I$3-K470)^2</f>
        <v>0.39690000000000003</v>
      </c>
      <c r="V470" s="1">
        <f>(Occurrence!J$3-L470)^2</f>
        <v>7.8400000000000011E-2</v>
      </c>
      <c r="W470" s="1">
        <f>(Occurrence!K$3-M470)^2</f>
        <v>0.29160000000000003</v>
      </c>
      <c r="X470" s="1">
        <f t="shared" si="85"/>
        <v>2.9996999999999994</v>
      </c>
      <c r="Z470" s="1">
        <f t="shared" si="86"/>
        <v>0</v>
      </c>
      <c r="AA470" s="1">
        <f t="shared" si="87"/>
        <v>0</v>
      </c>
      <c r="AB470" s="1">
        <f t="shared" si="88"/>
        <v>1</v>
      </c>
      <c r="AC470" s="1">
        <f t="shared" si="89"/>
        <v>0</v>
      </c>
      <c r="AD470" s="1">
        <f t="shared" si="90"/>
        <v>1</v>
      </c>
      <c r="AE470" s="1">
        <f t="shared" si="91"/>
        <v>1</v>
      </c>
      <c r="AF470" s="1">
        <f t="shared" si="92"/>
        <v>1</v>
      </c>
      <c r="AG470" s="1">
        <f t="shared" si="93"/>
        <v>0</v>
      </c>
      <c r="AH470" s="1">
        <f t="shared" si="94"/>
        <v>0</v>
      </c>
      <c r="AI470" s="1">
        <f t="shared" si="95"/>
        <v>0</v>
      </c>
      <c r="AJ470" s="1">
        <f>SUMXMY2(Z470:AI470, Occurrence!B$3:K$3)</f>
        <v>5</v>
      </c>
      <c r="AK470" s="1">
        <f t="shared" si="96"/>
        <v>5</v>
      </c>
    </row>
    <row r="471" spans="1:37">
      <c r="A471" s="1">
        <v>470</v>
      </c>
      <c r="B471" s="1">
        <v>4252469</v>
      </c>
      <c r="C471" s="6" t="s">
        <v>38</v>
      </c>
      <c r="D471" s="1">
        <v>0.17</v>
      </c>
      <c r="E471" s="1">
        <v>0.55000000000000004</v>
      </c>
      <c r="F471" s="1">
        <v>0.71</v>
      </c>
      <c r="G471" s="1">
        <v>0.48</v>
      </c>
      <c r="H471" s="1">
        <v>0.83</v>
      </c>
      <c r="I471" s="1">
        <v>0.05</v>
      </c>
      <c r="J471" s="1">
        <v>0.33</v>
      </c>
      <c r="K471" s="1">
        <v>0.43</v>
      </c>
      <c r="L471" s="1">
        <v>0.4</v>
      </c>
      <c r="M471" s="1">
        <v>0.67</v>
      </c>
      <c r="N471" s="1">
        <f>(Occurrence!B$3-D471)^2</f>
        <v>2.8900000000000006E-2</v>
      </c>
      <c r="O471" s="1">
        <f>(Occurrence!C$3-E471)^2</f>
        <v>0.30250000000000005</v>
      </c>
      <c r="P471" s="1">
        <f>(Occurrence!D$3-F471)^2</f>
        <v>8.4100000000000022E-2</v>
      </c>
      <c r="Q471" s="1">
        <f>(Occurrence!E$3-G471)^2</f>
        <v>0.27040000000000003</v>
      </c>
      <c r="R471" s="1">
        <f>(Occurrence!F$3-H471)^2</f>
        <v>0.68889999999999996</v>
      </c>
      <c r="S471" s="1">
        <f>(Occurrence!G$3-I471)^2</f>
        <v>2.5000000000000005E-3</v>
      </c>
      <c r="T471" s="1">
        <f>(Occurrence!H$3-J471)^2</f>
        <v>0.44889999999999991</v>
      </c>
      <c r="U471" s="1">
        <f>(Occurrence!I$3-K471)^2</f>
        <v>0.32490000000000008</v>
      </c>
      <c r="V471" s="1">
        <f>(Occurrence!J$3-L471)^2</f>
        <v>0.16000000000000003</v>
      </c>
      <c r="W471" s="1">
        <f>(Occurrence!K$3-M471)^2</f>
        <v>0.10889999999999997</v>
      </c>
      <c r="X471" s="1">
        <f t="shared" si="85"/>
        <v>2.42</v>
      </c>
      <c r="Z471" s="1">
        <f t="shared" si="86"/>
        <v>0</v>
      </c>
      <c r="AA471" s="1">
        <f t="shared" si="87"/>
        <v>1</v>
      </c>
      <c r="AB471" s="1">
        <f t="shared" si="88"/>
        <v>1</v>
      </c>
      <c r="AC471" s="1">
        <f t="shared" si="89"/>
        <v>0</v>
      </c>
      <c r="AD471" s="1">
        <f t="shared" si="90"/>
        <v>1</v>
      </c>
      <c r="AE471" s="1">
        <f t="shared" si="91"/>
        <v>0</v>
      </c>
      <c r="AF471" s="1">
        <f t="shared" si="92"/>
        <v>0</v>
      </c>
      <c r="AG471" s="1">
        <f t="shared" si="93"/>
        <v>0</v>
      </c>
      <c r="AH471" s="1">
        <f t="shared" si="94"/>
        <v>0</v>
      </c>
      <c r="AI471" s="1">
        <f t="shared" si="95"/>
        <v>1</v>
      </c>
      <c r="AJ471" s="1">
        <f>SUMXMY2(Z471:AI471, Occurrence!B$3:K$3)</f>
        <v>5</v>
      </c>
      <c r="AK471" s="1">
        <f t="shared" si="96"/>
        <v>5</v>
      </c>
    </row>
    <row r="472" spans="1:37">
      <c r="A472" s="1">
        <v>471</v>
      </c>
      <c r="B472" s="1">
        <v>4252470</v>
      </c>
      <c r="C472" s="6" t="s">
        <v>38</v>
      </c>
      <c r="D472" s="1">
        <v>0.27260000000000001</v>
      </c>
      <c r="E472" s="1">
        <v>0.3518</v>
      </c>
      <c r="F472" s="1">
        <v>0.50009999999999999</v>
      </c>
      <c r="G472" s="1">
        <v>0.6028</v>
      </c>
      <c r="H472" s="1">
        <v>0.2273</v>
      </c>
      <c r="I472" s="1">
        <v>0.1</v>
      </c>
      <c r="J472" s="1">
        <v>1</v>
      </c>
      <c r="K472" s="1">
        <v>0.8</v>
      </c>
      <c r="L472" s="1">
        <v>0.45</v>
      </c>
      <c r="M472" s="1">
        <v>0.9</v>
      </c>
      <c r="N472" s="1">
        <f>(Occurrence!B$3-D472)^2</f>
        <v>7.4310760000000003E-2</v>
      </c>
      <c r="O472" s="1">
        <f>(Occurrence!C$3-E472)^2</f>
        <v>0.12376324</v>
      </c>
      <c r="P472" s="1">
        <f>(Occurrence!D$3-F472)^2</f>
        <v>0.24990001000000001</v>
      </c>
      <c r="Q472" s="1">
        <f>(Occurrence!E$3-G472)^2</f>
        <v>0.15776783999999999</v>
      </c>
      <c r="R472" s="1">
        <f>(Occurrence!F$3-H472)^2</f>
        <v>5.1665290000000003E-2</v>
      </c>
      <c r="S472" s="1">
        <f>(Occurrence!G$3-I472)^2</f>
        <v>1.0000000000000002E-2</v>
      </c>
      <c r="T472" s="1">
        <f>(Occurrence!H$3-J472)^2</f>
        <v>0</v>
      </c>
      <c r="U472" s="1">
        <f>(Occurrence!I$3-K472)^2</f>
        <v>3.999999999999998E-2</v>
      </c>
      <c r="V472" s="1">
        <f>(Occurrence!J$3-L472)^2</f>
        <v>0.20250000000000001</v>
      </c>
      <c r="W472" s="1">
        <f>(Occurrence!K$3-M472)^2</f>
        <v>9.999999999999995E-3</v>
      </c>
      <c r="X472" s="1">
        <f t="shared" si="85"/>
        <v>0.91990713999999996</v>
      </c>
      <c r="Z472" s="1">
        <f t="shared" si="86"/>
        <v>0</v>
      </c>
      <c r="AA472" s="1">
        <f t="shared" si="87"/>
        <v>0</v>
      </c>
      <c r="AB472" s="1">
        <f t="shared" si="88"/>
        <v>1</v>
      </c>
      <c r="AC472" s="1">
        <f t="shared" si="89"/>
        <v>1</v>
      </c>
      <c r="AD472" s="1">
        <f t="shared" si="90"/>
        <v>0</v>
      </c>
      <c r="AE472" s="1">
        <f t="shared" si="91"/>
        <v>0</v>
      </c>
      <c r="AF472" s="1">
        <f t="shared" si="92"/>
        <v>1</v>
      </c>
      <c r="AG472" s="1">
        <f t="shared" si="93"/>
        <v>1</v>
      </c>
      <c r="AH472" s="1">
        <f t="shared" si="94"/>
        <v>0</v>
      </c>
      <c r="AI472" s="1">
        <f t="shared" si="95"/>
        <v>1</v>
      </c>
      <c r="AJ472" s="1">
        <f>SUMXMY2(Z472:AI472, Occurrence!B$3:K$3)</f>
        <v>0</v>
      </c>
      <c r="AK472" s="1">
        <f t="shared" si="96"/>
        <v>10</v>
      </c>
    </row>
    <row r="473" spans="1:37">
      <c r="A473" s="1">
        <v>472</v>
      </c>
      <c r="B473" s="1">
        <v>4252471</v>
      </c>
      <c r="C473" s="6" t="s">
        <v>38</v>
      </c>
      <c r="D473" s="1">
        <v>0.15</v>
      </c>
      <c r="E473" s="1">
        <v>0.18</v>
      </c>
      <c r="F473" s="1">
        <v>0.64680000000000004</v>
      </c>
      <c r="G473" s="1">
        <v>0.78169999999999995</v>
      </c>
      <c r="H473" s="1">
        <v>0.2024</v>
      </c>
      <c r="I473" s="1">
        <v>0.49</v>
      </c>
      <c r="J473" s="1">
        <v>0.95</v>
      </c>
      <c r="K473" s="1">
        <v>0.8</v>
      </c>
      <c r="L473" s="1">
        <v>0.9</v>
      </c>
      <c r="M473" s="1">
        <v>0.9</v>
      </c>
      <c r="N473" s="1">
        <f>(Occurrence!B$3-D473)^2</f>
        <v>2.2499999999999999E-2</v>
      </c>
      <c r="O473" s="1">
        <f>(Occurrence!C$3-E473)^2</f>
        <v>3.2399999999999998E-2</v>
      </c>
      <c r="P473" s="1">
        <f>(Occurrence!D$3-F473)^2</f>
        <v>0.12475023999999997</v>
      </c>
      <c r="Q473" s="1">
        <f>(Occurrence!E$3-G473)^2</f>
        <v>4.7654890000000019E-2</v>
      </c>
      <c r="R473" s="1">
        <f>(Occurrence!F$3-H473)^2</f>
        <v>4.0965759999999997E-2</v>
      </c>
      <c r="S473" s="1">
        <f>(Occurrence!G$3-I473)^2</f>
        <v>0.24009999999999998</v>
      </c>
      <c r="T473" s="1">
        <f>(Occurrence!H$3-J473)^2</f>
        <v>2.5000000000000044E-3</v>
      </c>
      <c r="U473" s="1">
        <f>(Occurrence!I$3-K473)^2</f>
        <v>3.999999999999998E-2</v>
      </c>
      <c r="V473" s="1">
        <f>(Occurrence!J$3-L473)^2</f>
        <v>0.81</v>
      </c>
      <c r="W473" s="1">
        <f>(Occurrence!K$3-M473)^2</f>
        <v>9.999999999999995E-3</v>
      </c>
      <c r="X473" s="1">
        <f t="shared" si="85"/>
        <v>1.37087089</v>
      </c>
      <c r="Z473" s="1">
        <f t="shared" si="86"/>
        <v>0</v>
      </c>
      <c r="AA473" s="1">
        <f t="shared" si="87"/>
        <v>0</v>
      </c>
      <c r="AB473" s="1">
        <f t="shared" si="88"/>
        <v>1</v>
      </c>
      <c r="AC473" s="1">
        <f t="shared" si="89"/>
        <v>1</v>
      </c>
      <c r="AD473" s="1">
        <f t="shared" si="90"/>
        <v>0</v>
      </c>
      <c r="AE473" s="1">
        <f t="shared" si="91"/>
        <v>0</v>
      </c>
      <c r="AF473" s="1">
        <f t="shared" si="92"/>
        <v>1</v>
      </c>
      <c r="AG473" s="1">
        <f t="shared" si="93"/>
        <v>1</v>
      </c>
      <c r="AH473" s="1">
        <f t="shared" si="94"/>
        <v>1</v>
      </c>
      <c r="AI473" s="1">
        <f t="shared" si="95"/>
        <v>1</v>
      </c>
      <c r="AJ473" s="1">
        <f>SUMXMY2(Z473:AI473, Occurrence!B$3:K$3)</f>
        <v>1</v>
      </c>
      <c r="AK473" s="1">
        <f t="shared" si="96"/>
        <v>9</v>
      </c>
    </row>
    <row r="474" spans="1:37">
      <c r="A474" s="1">
        <v>473</v>
      </c>
      <c r="B474" s="1">
        <v>4252472</v>
      </c>
      <c r="C474" s="6" t="s">
        <v>38</v>
      </c>
      <c r="D474" s="1">
        <v>7.5399999999999995E-2</v>
      </c>
      <c r="E474" s="1">
        <v>8.7300000000000003E-2</v>
      </c>
      <c r="F474" s="1">
        <v>0.84919999999999995</v>
      </c>
      <c r="G474" s="1">
        <v>0.89290000000000003</v>
      </c>
      <c r="H474" s="1">
        <v>7.5399999999999995E-2</v>
      </c>
      <c r="I474" s="1">
        <v>0.5</v>
      </c>
      <c r="J474" s="1">
        <v>0.3</v>
      </c>
      <c r="K474" s="1">
        <v>0.8</v>
      </c>
      <c r="L474" s="1">
        <v>0.6</v>
      </c>
      <c r="M474" s="1">
        <v>0.9</v>
      </c>
      <c r="N474" s="1">
        <f>(Occurrence!B$3-D474)^2</f>
        <v>5.685159999999999E-3</v>
      </c>
      <c r="O474" s="1">
        <f>(Occurrence!C$3-E474)^2</f>
        <v>7.6212900000000002E-3</v>
      </c>
      <c r="P474" s="1">
        <f>(Occurrence!D$3-F474)^2</f>
        <v>2.2740640000000013E-2</v>
      </c>
      <c r="Q474" s="1">
        <f>(Occurrence!E$3-G474)^2</f>
        <v>1.1470409999999993E-2</v>
      </c>
      <c r="R474" s="1">
        <f>(Occurrence!F$3-H474)^2</f>
        <v>5.685159999999999E-3</v>
      </c>
      <c r="S474" s="1">
        <f>(Occurrence!G$3-I474)^2</f>
        <v>0.25</v>
      </c>
      <c r="T474" s="1">
        <f>(Occurrence!H$3-J474)^2</f>
        <v>0.48999999999999994</v>
      </c>
      <c r="U474" s="1">
        <f>(Occurrence!I$3-K474)^2</f>
        <v>3.999999999999998E-2</v>
      </c>
      <c r="V474" s="1">
        <f>(Occurrence!J$3-L474)^2</f>
        <v>0.36</v>
      </c>
      <c r="W474" s="1">
        <f>(Occurrence!K$3-M474)^2</f>
        <v>9.999999999999995E-3</v>
      </c>
      <c r="X474" s="1">
        <f t="shared" si="85"/>
        <v>1.2032026599999999</v>
      </c>
      <c r="Z474" s="1">
        <f t="shared" si="86"/>
        <v>0</v>
      </c>
      <c r="AA474" s="1">
        <f t="shared" si="87"/>
        <v>0</v>
      </c>
      <c r="AB474" s="1">
        <f t="shared" si="88"/>
        <v>1</v>
      </c>
      <c r="AC474" s="1">
        <f t="shared" si="89"/>
        <v>1</v>
      </c>
      <c r="AD474" s="1">
        <f t="shared" si="90"/>
        <v>0</v>
      </c>
      <c r="AE474" s="1">
        <f t="shared" si="91"/>
        <v>1</v>
      </c>
      <c r="AF474" s="1">
        <f t="shared" si="92"/>
        <v>0</v>
      </c>
      <c r="AG474" s="1">
        <f t="shared" si="93"/>
        <v>1</v>
      </c>
      <c r="AH474" s="1">
        <f t="shared" si="94"/>
        <v>1</v>
      </c>
      <c r="AI474" s="1">
        <f t="shared" si="95"/>
        <v>1</v>
      </c>
      <c r="AJ474" s="1">
        <f>SUMXMY2(Z474:AI474, Occurrence!B$3:K$3)</f>
        <v>3</v>
      </c>
      <c r="AK474" s="1">
        <f t="shared" si="96"/>
        <v>7</v>
      </c>
    </row>
    <row r="475" spans="1:37">
      <c r="A475" s="1">
        <v>474</v>
      </c>
      <c r="B475" s="1">
        <v>4252473</v>
      </c>
      <c r="C475" s="6" t="s">
        <v>39</v>
      </c>
      <c r="D475" s="1">
        <v>0.02</v>
      </c>
      <c r="E475" s="1">
        <v>0.1</v>
      </c>
      <c r="F475" s="1">
        <v>0.15</v>
      </c>
      <c r="G475" s="1">
        <v>0.6</v>
      </c>
      <c r="H475" s="1">
        <v>0.8</v>
      </c>
      <c r="I475" s="1">
        <v>0.8</v>
      </c>
      <c r="J475" s="1">
        <v>0.7</v>
      </c>
      <c r="K475" s="1">
        <v>0.95</v>
      </c>
      <c r="L475" s="1">
        <v>0.3</v>
      </c>
      <c r="M475" s="1">
        <v>1</v>
      </c>
      <c r="N475" s="1">
        <f>(Occurrence!B$3-D475)^2</f>
        <v>4.0000000000000002E-4</v>
      </c>
      <c r="O475" s="1">
        <f>(Occurrence!C$3-E475)^2</f>
        <v>1.0000000000000002E-2</v>
      </c>
      <c r="P475" s="1">
        <f>(Occurrence!D$3-F475)^2</f>
        <v>0.72249999999999992</v>
      </c>
      <c r="Q475" s="1">
        <f>(Occurrence!E$3-G475)^2</f>
        <v>0.16000000000000003</v>
      </c>
      <c r="R475" s="1">
        <f>(Occurrence!F$3-H475)^2</f>
        <v>0.64000000000000012</v>
      </c>
      <c r="S475" s="1">
        <f>(Occurrence!G$3-I475)^2</f>
        <v>0.64000000000000012</v>
      </c>
      <c r="T475" s="1">
        <f>(Occurrence!H$3-J475)^2</f>
        <v>9.0000000000000024E-2</v>
      </c>
      <c r="U475" s="1">
        <f>(Occurrence!I$3-K475)^2</f>
        <v>2.5000000000000044E-3</v>
      </c>
      <c r="V475" s="1">
        <f>(Occurrence!J$3-L475)^2</f>
        <v>0.09</v>
      </c>
      <c r="W475" s="1">
        <f>(Occurrence!K$3-M475)^2</f>
        <v>0</v>
      </c>
      <c r="X475" s="1">
        <f t="shared" si="85"/>
        <v>2.3553999999999999</v>
      </c>
      <c r="Z475" s="1">
        <f t="shared" si="86"/>
        <v>0</v>
      </c>
      <c r="AA475" s="1">
        <f t="shared" si="87"/>
        <v>0</v>
      </c>
      <c r="AB475" s="1">
        <f t="shared" si="88"/>
        <v>0</v>
      </c>
      <c r="AC475" s="1">
        <f t="shared" si="89"/>
        <v>1</v>
      </c>
      <c r="AD475" s="1">
        <f t="shared" si="90"/>
        <v>1</v>
      </c>
      <c r="AE475" s="1">
        <f t="shared" si="91"/>
        <v>1</v>
      </c>
      <c r="AF475" s="1">
        <f t="shared" si="92"/>
        <v>1</v>
      </c>
      <c r="AG475" s="1">
        <f t="shared" si="93"/>
        <v>1</v>
      </c>
      <c r="AH475" s="1">
        <f t="shared" si="94"/>
        <v>0</v>
      </c>
      <c r="AI475" s="1">
        <f t="shared" si="95"/>
        <v>1</v>
      </c>
      <c r="AJ475" s="1">
        <f>SUMXMY2(Z475:AI475, Occurrence!B$3:K$3)</f>
        <v>3</v>
      </c>
      <c r="AK475" s="1">
        <f t="shared" si="96"/>
        <v>7</v>
      </c>
    </row>
    <row r="476" spans="1:37">
      <c r="A476" s="1">
        <v>475</v>
      </c>
      <c r="B476" s="1">
        <v>4252474</v>
      </c>
      <c r="C476" s="6" t="s">
        <v>39</v>
      </c>
      <c r="D476" s="1">
        <v>0.11</v>
      </c>
      <c r="E476" s="1">
        <v>0.52</v>
      </c>
      <c r="F476" s="1">
        <v>0.23</v>
      </c>
      <c r="G476" s="1">
        <v>0.48</v>
      </c>
      <c r="H476" s="1">
        <v>0.66</v>
      </c>
      <c r="I476" s="1">
        <v>0.56999999999999995</v>
      </c>
      <c r="J476" s="1">
        <v>0.43</v>
      </c>
      <c r="K476" s="1">
        <v>0.87</v>
      </c>
      <c r="L476" s="1">
        <v>0.36</v>
      </c>
      <c r="M476" s="1">
        <v>0.69</v>
      </c>
      <c r="N476" s="1">
        <f>(Occurrence!B$3-D476)^2</f>
        <v>1.21E-2</v>
      </c>
      <c r="O476" s="1">
        <f>(Occurrence!C$3-E476)^2</f>
        <v>0.27040000000000003</v>
      </c>
      <c r="P476" s="1">
        <f>(Occurrence!D$3-F476)^2</f>
        <v>0.59289999999999998</v>
      </c>
      <c r="Q476" s="1">
        <f>(Occurrence!E$3-G476)^2</f>
        <v>0.27040000000000003</v>
      </c>
      <c r="R476" s="1">
        <f>(Occurrence!F$3-H476)^2</f>
        <v>0.43560000000000004</v>
      </c>
      <c r="S476" s="1">
        <f>(Occurrence!G$3-I476)^2</f>
        <v>0.32489999999999997</v>
      </c>
      <c r="T476" s="1">
        <f>(Occurrence!H$3-J476)^2</f>
        <v>0.32490000000000008</v>
      </c>
      <c r="U476" s="1">
        <f>(Occurrence!I$3-K476)^2</f>
        <v>1.6900000000000002E-2</v>
      </c>
      <c r="V476" s="1">
        <f>(Occurrence!J$3-L476)^2</f>
        <v>0.12959999999999999</v>
      </c>
      <c r="W476" s="1">
        <f>(Occurrence!K$3-M476)^2</f>
        <v>9.6100000000000033E-2</v>
      </c>
      <c r="X476" s="1">
        <f t="shared" si="85"/>
        <v>2.4737999999999998</v>
      </c>
      <c r="Z476" s="1">
        <f t="shared" si="86"/>
        <v>0</v>
      </c>
      <c r="AA476" s="1">
        <f t="shared" si="87"/>
        <v>1</v>
      </c>
      <c r="AB476" s="1">
        <f t="shared" si="88"/>
        <v>0</v>
      </c>
      <c r="AC476" s="1">
        <f t="shared" si="89"/>
        <v>0</v>
      </c>
      <c r="AD476" s="1">
        <f t="shared" si="90"/>
        <v>1</v>
      </c>
      <c r="AE476" s="1">
        <f t="shared" si="91"/>
        <v>1</v>
      </c>
      <c r="AF476" s="1">
        <f t="shared" si="92"/>
        <v>0</v>
      </c>
      <c r="AG476" s="1">
        <f t="shared" si="93"/>
        <v>1</v>
      </c>
      <c r="AH476" s="1">
        <f t="shared" si="94"/>
        <v>0</v>
      </c>
      <c r="AI476" s="1">
        <f t="shared" si="95"/>
        <v>1</v>
      </c>
      <c r="AJ476" s="1">
        <f>SUMXMY2(Z476:AI476, Occurrence!B$3:K$3)</f>
        <v>6</v>
      </c>
      <c r="AK476" s="1">
        <f t="shared" si="96"/>
        <v>4</v>
      </c>
    </row>
    <row r="477" spans="1:37">
      <c r="A477" s="1">
        <v>476</v>
      </c>
      <c r="B477" s="1">
        <v>4252475</v>
      </c>
      <c r="C477" s="6" t="s">
        <v>39</v>
      </c>
      <c r="D477" s="1">
        <v>0.39500000000000002</v>
      </c>
      <c r="E477" s="1">
        <v>0.57299999999999995</v>
      </c>
      <c r="F477" s="1">
        <v>0.33900000000000002</v>
      </c>
      <c r="G477" s="1">
        <v>0.24299999999999999</v>
      </c>
      <c r="H477" s="1">
        <v>0.73399999999999999</v>
      </c>
      <c r="I477" s="1">
        <v>1</v>
      </c>
      <c r="J477" s="1">
        <v>0.21099999999999999</v>
      </c>
      <c r="K477" s="1">
        <v>0.83899999999999997</v>
      </c>
      <c r="L477" s="1">
        <v>0.32200000000000001</v>
      </c>
      <c r="M477" s="1">
        <v>1</v>
      </c>
      <c r="N477" s="1">
        <f>(Occurrence!B$3-D477)^2</f>
        <v>0.15602500000000002</v>
      </c>
      <c r="O477" s="1">
        <f>(Occurrence!C$3-E477)^2</f>
        <v>0.32832899999999993</v>
      </c>
      <c r="P477" s="1">
        <f>(Occurrence!D$3-F477)^2</f>
        <v>0.43692100000000006</v>
      </c>
      <c r="Q477" s="1">
        <f>(Occurrence!E$3-G477)^2</f>
        <v>0.57304900000000003</v>
      </c>
      <c r="R477" s="1">
        <f>(Occurrence!F$3-H477)^2</f>
        <v>0.53875600000000001</v>
      </c>
      <c r="S477" s="1">
        <f>(Occurrence!G$3-I477)^2</f>
        <v>1</v>
      </c>
      <c r="T477" s="1">
        <f>(Occurrence!H$3-J477)^2</f>
        <v>0.6225210000000001</v>
      </c>
      <c r="U477" s="1">
        <f>(Occurrence!I$3-K477)^2</f>
        <v>2.592100000000001E-2</v>
      </c>
      <c r="V477" s="1">
        <f>(Occurrence!J$3-L477)^2</f>
        <v>0.10368400000000001</v>
      </c>
      <c r="W477" s="1">
        <f>(Occurrence!K$3-M477)^2</f>
        <v>0</v>
      </c>
      <c r="X477" s="1">
        <f t="shared" si="85"/>
        <v>3.7852059999999996</v>
      </c>
      <c r="Z477" s="1">
        <f t="shared" si="86"/>
        <v>0</v>
      </c>
      <c r="AA477" s="1">
        <f t="shared" si="87"/>
        <v>1</v>
      </c>
      <c r="AB477" s="1">
        <f t="shared" si="88"/>
        <v>0</v>
      </c>
      <c r="AC477" s="1">
        <f t="shared" si="89"/>
        <v>0</v>
      </c>
      <c r="AD477" s="1">
        <f t="shared" si="90"/>
        <v>1</v>
      </c>
      <c r="AE477" s="1">
        <f t="shared" si="91"/>
        <v>1</v>
      </c>
      <c r="AF477" s="1">
        <f t="shared" si="92"/>
        <v>0</v>
      </c>
      <c r="AG477" s="1">
        <f t="shared" si="93"/>
        <v>1</v>
      </c>
      <c r="AH477" s="1">
        <f t="shared" si="94"/>
        <v>0</v>
      </c>
      <c r="AI477" s="1">
        <f t="shared" si="95"/>
        <v>1</v>
      </c>
      <c r="AJ477" s="1">
        <f>SUMXMY2(Z477:AI477, Occurrence!B$3:K$3)</f>
        <v>6</v>
      </c>
      <c r="AK477" s="1">
        <f t="shared" si="96"/>
        <v>4</v>
      </c>
    </row>
    <row r="478" spans="1:37">
      <c r="A478" s="1">
        <v>477</v>
      </c>
      <c r="B478" s="1">
        <v>4252476</v>
      </c>
      <c r="C478" s="6" t="s">
        <v>39</v>
      </c>
      <c r="D478" s="1">
        <v>0.1</v>
      </c>
      <c r="E478" s="1">
        <v>0.15</v>
      </c>
      <c r="F478" s="1">
        <v>0.78</v>
      </c>
      <c r="G478" s="1">
        <v>1</v>
      </c>
      <c r="H478" s="1">
        <v>0.8</v>
      </c>
      <c r="I478" s="1">
        <v>0.7</v>
      </c>
      <c r="J478" s="1">
        <v>0.64</v>
      </c>
      <c r="K478" s="1">
        <v>0.44</v>
      </c>
      <c r="L478" s="1">
        <v>0.16</v>
      </c>
      <c r="M478" s="1">
        <v>0.17</v>
      </c>
      <c r="N478" s="1">
        <f>(Occurrence!B$3-D478)^2</f>
        <v>1.0000000000000002E-2</v>
      </c>
      <c r="O478" s="1">
        <f>(Occurrence!C$3-E478)^2</f>
        <v>2.2499999999999999E-2</v>
      </c>
      <c r="P478" s="1">
        <f>(Occurrence!D$3-F478)^2</f>
        <v>4.8399999999999992E-2</v>
      </c>
      <c r="Q478" s="1">
        <f>(Occurrence!E$3-G478)^2</f>
        <v>0</v>
      </c>
      <c r="R478" s="1">
        <f>(Occurrence!F$3-H478)^2</f>
        <v>0.64000000000000012</v>
      </c>
      <c r="S478" s="1">
        <f>(Occurrence!G$3-I478)^2</f>
        <v>0.48999999999999994</v>
      </c>
      <c r="T478" s="1">
        <f>(Occurrence!H$3-J478)^2</f>
        <v>0.12959999999999999</v>
      </c>
      <c r="U478" s="1">
        <f>(Occurrence!I$3-K478)^2</f>
        <v>0.31360000000000005</v>
      </c>
      <c r="V478" s="1">
        <f>(Occurrence!J$3-L478)^2</f>
        <v>2.5600000000000001E-2</v>
      </c>
      <c r="W478" s="1">
        <f>(Occurrence!K$3-M478)^2</f>
        <v>0.68889999999999996</v>
      </c>
      <c r="X478" s="1">
        <f t="shared" si="85"/>
        <v>2.3686000000000003</v>
      </c>
      <c r="Z478" s="1">
        <f t="shared" si="86"/>
        <v>0</v>
      </c>
      <c r="AA478" s="1">
        <f t="shared" si="87"/>
        <v>0</v>
      </c>
      <c r="AB478" s="1">
        <f t="shared" si="88"/>
        <v>1</v>
      </c>
      <c r="AC478" s="1">
        <f t="shared" si="89"/>
        <v>1</v>
      </c>
      <c r="AD478" s="1">
        <f t="shared" si="90"/>
        <v>1</v>
      </c>
      <c r="AE478" s="1">
        <f t="shared" si="91"/>
        <v>1</v>
      </c>
      <c r="AF478" s="1">
        <f t="shared" si="92"/>
        <v>1</v>
      </c>
      <c r="AG478" s="1">
        <f t="shared" si="93"/>
        <v>0</v>
      </c>
      <c r="AH478" s="1">
        <f t="shared" si="94"/>
        <v>0</v>
      </c>
      <c r="AI478" s="1">
        <f t="shared" si="95"/>
        <v>0</v>
      </c>
      <c r="AJ478" s="1">
        <f>SUMXMY2(Z478:AI478, Occurrence!B$3:K$3)</f>
        <v>4</v>
      </c>
      <c r="AK478" s="1">
        <f t="shared" si="96"/>
        <v>6</v>
      </c>
    </row>
    <row r="479" spans="1:37">
      <c r="A479" s="1">
        <v>478</v>
      </c>
      <c r="B479" s="1">
        <v>4252477</v>
      </c>
      <c r="C479" s="6" t="s">
        <v>39</v>
      </c>
      <c r="D479" s="1">
        <v>0.8</v>
      </c>
      <c r="E479" s="1">
        <v>0.18</v>
      </c>
      <c r="F479" s="1">
        <v>0.71</v>
      </c>
      <c r="G479" s="1">
        <v>0.95</v>
      </c>
      <c r="H479" s="1">
        <v>0.79</v>
      </c>
      <c r="I479" s="1">
        <v>0.67</v>
      </c>
      <c r="J479" s="1">
        <v>0.7</v>
      </c>
      <c r="K479" s="1">
        <v>0.39</v>
      </c>
      <c r="L479" s="1">
        <v>0.14000000000000001</v>
      </c>
      <c r="M479" s="1">
        <v>0.2</v>
      </c>
      <c r="N479" s="1">
        <f>(Occurrence!B$3-D479)^2</f>
        <v>0.64000000000000012</v>
      </c>
      <c r="O479" s="1">
        <f>(Occurrence!C$3-E479)^2</f>
        <v>3.2399999999999998E-2</v>
      </c>
      <c r="P479" s="1">
        <f>(Occurrence!D$3-F479)^2</f>
        <v>8.4100000000000022E-2</v>
      </c>
      <c r="Q479" s="1">
        <f>(Occurrence!E$3-G479)^2</f>
        <v>2.5000000000000044E-3</v>
      </c>
      <c r="R479" s="1">
        <f>(Occurrence!F$3-H479)^2</f>
        <v>0.6241000000000001</v>
      </c>
      <c r="S479" s="1">
        <f>(Occurrence!G$3-I479)^2</f>
        <v>0.44890000000000008</v>
      </c>
      <c r="T479" s="1">
        <f>(Occurrence!H$3-J479)^2</f>
        <v>9.0000000000000024E-2</v>
      </c>
      <c r="U479" s="1">
        <f>(Occurrence!I$3-K479)^2</f>
        <v>0.37209999999999999</v>
      </c>
      <c r="V479" s="1">
        <f>(Occurrence!J$3-L479)^2</f>
        <v>1.9600000000000003E-2</v>
      </c>
      <c r="W479" s="1">
        <f>(Occurrence!K$3-M479)^2</f>
        <v>0.64000000000000012</v>
      </c>
      <c r="X479" s="1">
        <f t="shared" si="85"/>
        <v>2.9537000000000004</v>
      </c>
      <c r="Z479" s="1">
        <f t="shared" si="86"/>
        <v>1</v>
      </c>
      <c r="AA479" s="1">
        <f t="shared" si="87"/>
        <v>0</v>
      </c>
      <c r="AB479" s="1">
        <f t="shared" si="88"/>
        <v>1</v>
      </c>
      <c r="AC479" s="1">
        <f t="shared" si="89"/>
        <v>1</v>
      </c>
      <c r="AD479" s="1">
        <f t="shared" si="90"/>
        <v>1</v>
      </c>
      <c r="AE479" s="1">
        <f t="shared" si="91"/>
        <v>1</v>
      </c>
      <c r="AF479" s="1">
        <f t="shared" si="92"/>
        <v>1</v>
      </c>
      <c r="AG479" s="1">
        <f t="shared" si="93"/>
        <v>0</v>
      </c>
      <c r="AH479" s="1">
        <f t="shared" si="94"/>
        <v>0</v>
      </c>
      <c r="AI479" s="1">
        <f t="shared" si="95"/>
        <v>0</v>
      </c>
      <c r="AJ479" s="1">
        <f>SUMXMY2(Z479:AI479, Occurrence!B$3:K$3)</f>
        <v>5</v>
      </c>
      <c r="AK479" s="1">
        <f t="shared" si="96"/>
        <v>5</v>
      </c>
    </row>
    <row r="480" spans="1:37">
      <c r="A480" s="1">
        <v>479</v>
      </c>
      <c r="B480" s="1">
        <v>4252478</v>
      </c>
      <c r="C480" s="6" t="s">
        <v>39</v>
      </c>
      <c r="D480" s="1">
        <v>7.0000000000000007E-2</v>
      </c>
      <c r="E480" s="1">
        <v>0.13</v>
      </c>
      <c r="F480" s="1">
        <v>0.64</v>
      </c>
      <c r="G480" s="1">
        <v>0.16</v>
      </c>
      <c r="H480" s="1">
        <v>0.28999999999999998</v>
      </c>
      <c r="I480" s="1">
        <v>0.68</v>
      </c>
      <c r="J480" s="1">
        <v>0.11</v>
      </c>
      <c r="K480" s="1">
        <v>0.44</v>
      </c>
      <c r="L480" s="1">
        <v>0.36</v>
      </c>
      <c r="M480" s="1">
        <v>0.67</v>
      </c>
      <c r="N480" s="1">
        <f>(Occurrence!B$3-D480)^2</f>
        <v>4.9000000000000007E-3</v>
      </c>
      <c r="O480" s="1">
        <f>(Occurrence!C$3-E480)^2</f>
        <v>1.6900000000000002E-2</v>
      </c>
      <c r="P480" s="1">
        <f>(Occurrence!D$3-F480)^2</f>
        <v>0.12959999999999999</v>
      </c>
      <c r="Q480" s="1">
        <f>(Occurrence!E$3-G480)^2</f>
        <v>0.70559999999999989</v>
      </c>
      <c r="R480" s="1">
        <f>(Occurrence!F$3-H480)^2</f>
        <v>8.4099999999999994E-2</v>
      </c>
      <c r="S480" s="1">
        <f>(Occurrence!G$3-I480)^2</f>
        <v>0.46240000000000009</v>
      </c>
      <c r="T480" s="1">
        <f>(Occurrence!H$3-J480)^2</f>
        <v>0.79210000000000003</v>
      </c>
      <c r="U480" s="1">
        <f>(Occurrence!I$3-K480)^2</f>
        <v>0.31360000000000005</v>
      </c>
      <c r="V480" s="1">
        <f>(Occurrence!J$3-L480)^2</f>
        <v>0.12959999999999999</v>
      </c>
      <c r="W480" s="1">
        <f>(Occurrence!K$3-M480)^2</f>
        <v>0.10889999999999997</v>
      </c>
      <c r="X480" s="1">
        <f t="shared" si="85"/>
        <v>2.7476999999999996</v>
      </c>
      <c r="Z480" s="1">
        <f t="shared" si="86"/>
        <v>0</v>
      </c>
      <c r="AA480" s="1">
        <f t="shared" si="87"/>
        <v>0</v>
      </c>
      <c r="AB480" s="1">
        <f t="shared" si="88"/>
        <v>1</v>
      </c>
      <c r="AC480" s="1">
        <f t="shared" si="89"/>
        <v>0</v>
      </c>
      <c r="AD480" s="1">
        <f t="shared" si="90"/>
        <v>0</v>
      </c>
      <c r="AE480" s="1">
        <f t="shared" si="91"/>
        <v>1</v>
      </c>
      <c r="AF480" s="1">
        <f t="shared" si="92"/>
        <v>0</v>
      </c>
      <c r="AG480" s="1">
        <f t="shared" si="93"/>
        <v>0</v>
      </c>
      <c r="AH480" s="1">
        <f t="shared" si="94"/>
        <v>0</v>
      </c>
      <c r="AI480" s="1">
        <f t="shared" si="95"/>
        <v>1</v>
      </c>
      <c r="AJ480" s="1">
        <f>SUMXMY2(Z480:AI480, Occurrence!B$3:K$3)</f>
        <v>4</v>
      </c>
      <c r="AK480" s="1">
        <f t="shared" si="96"/>
        <v>6</v>
      </c>
    </row>
    <row r="481" spans="1:37">
      <c r="A481" s="1">
        <v>480</v>
      </c>
      <c r="B481" s="1">
        <v>4252479</v>
      </c>
      <c r="C481" s="6" t="s">
        <v>39</v>
      </c>
      <c r="D481" s="1">
        <v>0.01</v>
      </c>
      <c r="E481" s="1">
        <v>0.03</v>
      </c>
      <c r="F481" s="1">
        <v>0.98</v>
      </c>
      <c r="G481" s="1">
        <v>0.99990000000000001</v>
      </c>
      <c r="H481" s="1">
        <v>0.7</v>
      </c>
      <c r="I481" s="1">
        <v>0.4</v>
      </c>
      <c r="J481" s="1">
        <v>0.6</v>
      </c>
      <c r="K481" s="1">
        <v>0.75</v>
      </c>
      <c r="L481" s="1">
        <v>0.3</v>
      </c>
      <c r="M481" s="1">
        <v>0.8</v>
      </c>
      <c r="N481" s="1">
        <f>(Occurrence!B$3-D481)^2</f>
        <v>1E-4</v>
      </c>
      <c r="O481" s="1">
        <f>(Occurrence!C$3-E481)^2</f>
        <v>8.9999999999999998E-4</v>
      </c>
      <c r="P481" s="1">
        <f>(Occurrence!D$3-F481)^2</f>
        <v>4.0000000000000072E-4</v>
      </c>
      <c r="Q481" s="1">
        <f>(Occurrence!E$3-G481)^2</f>
        <v>9.9999999999977966E-9</v>
      </c>
      <c r="R481" s="1">
        <f>(Occurrence!F$3-H481)^2</f>
        <v>0.48999999999999994</v>
      </c>
      <c r="S481" s="1">
        <f>(Occurrence!G$3-I481)^2</f>
        <v>0.16000000000000003</v>
      </c>
      <c r="T481" s="1">
        <f>(Occurrence!H$3-J481)^2</f>
        <v>0.16000000000000003</v>
      </c>
      <c r="U481" s="1">
        <f>(Occurrence!I$3-K481)^2</f>
        <v>6.25E-2</v>
      </c>
      <c r="V481" s="1">
        <f>(Occurrence!J$3-L481)^2</f>
        <v>0.09</v>
      </c>
      <c r="W481" s="1">
        <f>(Occurrence!K$3-M481)^2</f>
        <v>3.999999999999998E-2</v>
      </c>
      <c r="X481" s="1">
        <f t="shared" si="85"/>
        <v>1.00390001</v>
      </c>
      <c r="Z481" s="1">
        <f t="shared" si="86"/>
        <v>0</v>
      </c>
      <c r="AA481" s="1">
        <f t="shared" si="87"/>
        <v>0</v>
      </c>
      <c r="AB481" s="1">
        <f t="shared" si="88"/>
        <v>1</v>
      </c>
      <c r="AC481" s="1">
        <f t="shared" si="89"/>
        <v>1</v>
      </c>
      <c r="AD481" s="1">
        <f t="shared" si="90"/>
        <v>1</v>
      </c>
      <c r="AE481" s="1">
        <f t="shared" si="91"/>
        <v>0</v>
      </c>
      <c r="AF481" s="1">
        <f t="shared" si="92"/>
        <v>1</v>
      </c>
      <c r="AG481" s="1">
        <f t="shared" si="93"/>
        <v>1</v>
      </c>
      <c r="AH481" s="1">
        <f t="shared" si="94"/>
        <v>0</v>
      </c>
      <c r="AI481" s="1">
        <f t="shared" si="95"/>
        <v>1</v>
      </c>
      <c r="AJ481" s="1">
        <f>SUMXMY2(Z481:AI481, Occurrence!B$3:K$3)</f>
        <v>1</v>
      </c>
      <c r="AK481" s="1">
        <f t="shared" si="96"/>
        <v>9</v>
      </c>
    </row>
    <row r="482" spans="1:37">
      <c r="A482" s="1">
        <v>481</v>
      </c>
      <c r="B482" s="1">
        <v>4252480</v>
      </c>
      <c r="C482" s="6" t="s">
        <v>39</v>
      </c>
      <c r="D482" s="1">
        <v>0.01</v>
      </c>
      <c r="E482" s="1">
        <v>0.02</v>
      </c>
      <c r="F482" s="1">
        <v>0.99</v>
      </c>
      <c r="G482" s="1">
        <v>0.99999000000000005</v>
      </c>
      <c r="H482" s="1">
        <v>0.6</v>
      </c>
      <c r="I482" s="1">
        <v>0.7</v>
      </c>
      <c r="J482" s="1">
        <v>0.5</v>
      </c>
      <c r="K482" s="1">
        <v>0.75</v>
      </c>
      <c r="L482" s="1">
        <v>0.3</v>
      </c>
      <c r="M482" s="1">
        <v>0.75</v>
      </c>
      <c r="N482" s="1">
        <f>(Occurrence!B$3-D482)^2</f>
        <v>1E-4</v>
      </c>
      <c r="O482" s="1">
        <f>(Occurrence!C$3-E482)^2</f>
        <v>4.0000000000000002E-4</v>
      </c>
      <c r="P482" s="1">
        <f>(Occurrence!D$3-F482)^2</f>
        <v>1.0000000000000018E-4</v>
      </c>
      <c r="Q482" s="1">
        <f>(Occurrence!E$3-G482)^2</f>
        <v>9.9999999999089795E-11</v>
      </c>
      <c r="R482" s="1">
        <f>(Occurrence!F$3-H482)^2</f>
        <v>0.36</v>
      </c>
      <c r="S482" s="1">
        <f>(Occurrence!G$3-I482)^2</f>
        <v>0.48999999999999994</v>
      </c>
      <c r="T482" s="1">
        <f>(Occurrence!H$3-J482)^2</f>
        <v>0.25</v>
      </c>
      <c r="U482" s="1">
        <f>(Occurrence!I$3-K482)^2</f>
        <v>6.25E-2</v>
      </c>
      <c r="V482" s="1">
        <f>(Occurrence!J$3-L482)^2</f>
        <v>0.09</v>
      </c>
      <c r="W482" s="1">
        <f>(Occurrence!K$3-M482)^2</f>
        <v>6.25E-2</v>
      </c>
      <c r="X482" s="1">
        <f t="shared" si="85"/>
        <v>1.3156000001000001</v>
      </c>
      <c r="Z482" s="1">
        <f t="shared" si="86"/>
        <v>0</v>
      </c>
      <c r="AA482" s="1">
        <f t="shared" si="87"/>
        <v>0</v>
      </c>
      <c r="AB482" s="1">
        <f t="shared" si="88"/>
        <v>1</v>
      </c>
      <c r="AC482" s="1">
        <f t="shared" si="89"/>
        <v>1</v>
      </c>
      <c r="AD482" s="1">
        <f t="shared" si="90"/>
        <v>1</v>
      </c>
      <c r="AE482" s="1">
        <f t="shared" si="91"/>
        <v>1</v>
      </c>
      <c r="AF482" s="1">
        <f t="shared" si="92"/>
        <v>1</v>
      </c>
      <c r="AG482" s="1">
        <f t="shared" si="93"/>
        <v>1</v>
      </c>
      <c r="AH482" s="1">
        <f t="shared" si="94"/>
        <v>0</v>
      </c>
      <c r="AI482" s="1">
        <f t="shared" si="95"/>
        <v>1</v>
      </c>
      <c r="AJ482" s="1">
        <f>SUMXMY2(Z482:AI482, Occurrence!B$3:K$3)</f>
        <v>2</v>
      </c>
      <c r="AK482" s="1">
        <f t="shared" si="96"/>
        <v>8</v>
      </c>
    </row>
    <row r="483" spans="1:37">
      <c r="A483" s="1">
        <v>482</v>
      </c>
      <c r="B483" s="1">
        <v>4252481</v>
      </c>
      <c r="C483" s="6" t="s">
        <v>39</v>
      </c>
      <c r="D483" s="1">
        <v>0.9</v>
      </c>
      <c r="E483" s="1">
        <v>0.01</v>
      </c>
      <c r="F483" s="1">
        <v>0.75</v>
      </c>
      <c r="G483" s="1">
        <v>0.99</v>
      </c>
      <c r="H483" s="1">
        <v>0.2</v>
      </c>
      <c r="I483" s="1">
        <v>0.1</v>
      </c>
      <c r="J483" s="1">
        <v>0.05</v>
      </c>
      <c r="K483" s="1">
        <v>0.2</v>
      </c>
      <c r="L483" s="1">
        <v>0.05</v>
      </c>
      <c r="M483" s="1">
        <v>0.45</v>
      </c>
      <c r="N483" s="1">
        <f>(Occurrence!B$3-D483)^2</f>
        <v>0.81</v>
      </c>
      <c r="O483" s="1">
        <f>(Occurrence!C$3-E483)^2</f>
        <v>1E-4</v>
      </c>
      <c r="P483" s="1">
        <f>(Occurrence!D$3-F483)^2</f>
        <v>6.25E-2</v>
      </c>
      <c r="Q483" s="1">
        <f>(Occurrence!E$3-G483)^2</f>
        <v>1.0000000000000018E-4</v>
      </c>
      <c r="R483" s="1">
        <f>(Occurrence!F$3-H483)^2</f>
        <v>4.0000000000000008E-2</v>
      </c>
      <c r="S483" s="1">
        <f>(Occurrence!G$3-I483)^2</f>
        <v>1.0000000000000002E-2</v>
      </c>
      <c r="T483" s="1">
        <f>(Occurrence!H$3-J483)^2</f>
        <v>0.90249999999999997</v>
      </c>
      <c r="U483" s="1">
        <f>(Occurrence!I$3-K483)^2</f>
        <v>0.64000000000000012</v>
      </c>
      <c r="V483" s="1">
        <f>(Occurrence!J$3-L483)^2</f>
        <v>2.5000000000000005E-3</v>
      </c>
      <c r="W483" s="1">
        <f>(Occurrence!K$3-M483)^2</f>
        <v>0.30250000000000005</v>
      </c>
      <c r="X483" s="1">
        <f t="shared" si="85"/>
        <v>2.7702000000000004</v>
      </c>
      <c r="Z483" s="1">
        <f t="shared" si="86"/>
        <v>1</v>
      </c>
      <c r="AA483" s="1">
        <f t="shared" si="87"/>
        <v>0</v>
      </c>
      <c r="AB483" s="1">
        <f t="shared" si="88"/>
        <v>1</v>
      </c>
      <c r="AC483" s="1">
        <f t="shared" si="89"/>
        <v>1</v>
      </c>
      <c r="AD483" s="1">
        <f t="shared" si="90"/>
        <v>0</v>
      </c>
      <c r="AE483" s="1">
        <f t="shared" si="91"/>
        <v>0</v>
      </c>
      <c r="AF483" s="1">
        <f t="shared" si="92"/>
        <v>0</v>
      </c>
      <c r="AG483" s="1">
        <f t="shared" si="93"/>
        <v>0</v>
      </c>
      <c r="AH483" s="1">
        <f t="shared" si="94"/>
        <v>0</v>
      </c>
      <c r="AI483" s="1">
        <f t="shared" si="95"/>
        <v>0</v>
      </c>
      <c r="AJ483" s="1">
        <f>SUMXMY2(Z483:AI483, Occurrence!B$3:K$3)</f>
        <v>4</v>
      </c>
      <c r="AK483" s="1">
        <f t="shared" si="96"/>
        <v>6</v>
      </c>
    </row>
    <row r="484" spans="1:37">
      <c r="A484" s="1">
        <v>483</v>
      </c>
      <c r="B484" s="1">
        <v>4252482</v>
      </c>
      <c r="C484" s="6" t="s">
        <v>39</v>
      </c>
      <c r="D484" s="1">
        <v>0.1</v>
      </c>
      <c r="E484" s="1">
        <v>0.2</v>
      </c>
      <c r="F484" s="1">
        <v>0.5</v>
      </c>
      <c r="G484" s="1">
        <v>0.6</v>
      </c>
      <c r="H484" s="1">
        <v>0.4</v>
      </c>
      <c r="I484" s="1">
        <v>0</v>
      </c>
      <c r="J484" s="1">
        <v>1</v>
      </c>
      <c r="K484" s="1">
        <v>0.5</v>
      </c>
      <c r="L484" s="1">
        <v>1</v>
      </c>
      <c r="M484" s="1">
        <v>0.75</v>
      </c>
      <c r="N484" s="1">
        <f>(Occurrence!B$3-D484)^2</f>
        <v>1.0000000000000002E-2</v>
      </c>
      <c r="O484" s="1">
        <f>(Occurrence!C$3-E484)^2</f>
        <v>4.0000000000000008E-2</v>
      </c>
      <c r="P484" s="1">
        <f>(Occurrence!D$3-F484)^2</f>
        <v>0.25</v>
      </c>
      <c r="Q484" s="1">
        <f>(Occurrence!E$3-G484)^2</f>
        <v>0.16000000000000003</v>
      </c>
      <c r="R484" s="1">
        <f>(Occurrence!F$3-H484)^2</f>
        <v>0.16000000000000003</v>
      </c>
      <c r="S484" s="1">
        <f>(Occurrence!G$3-I484)^2</f>
        <v>0</v>
      </c>
      <c r="T484" s="1">
        <f>(Occurrence!H$3-J484)^2</f>
        <v>0</v>
      </c>
      <c r="U484" s="1">
        <f>(Occurrence!I$3-K484)^2</f>
        <v>0.25</v>
      </c>
      <c r="V484" s="1">
        <f>(Occurrence!J$3-L484)^2</f>
        <v>1</v>
      </c>
      <c r="W484" s="1">
        <f>(Occurrence!K$3-M484)^2</f>
        <v>6.25E-2</v>
      </c>
      <c r="X484" s="1">
        <f t="shared" si="85"/>
        <v>1.9325000000000001</v>
      </c>
      <c r="Z484" s="1">
        <f t="shared" si="86"/>
        <v>0</v>
      </c>
      <c r="AA484" s="1">
        <f t="shared" si="87"/>
        <v>0</v>
      </c>
      <c r="AB484" s="1">
        <f t="shared" si="88"/>
        <v>1</v>
      </c>
      <c r="AC484" s="1">
        <f t="shared" si="89"/>
        <v>1</v>
      </c>
      <c r="AD484" s="1">
        <f t="shared" si="90"/>
        <v>0</v>
      </c>
      <c r="AE484" s="1">
        <f t="shared" si="91"/>
        <v>0</v>
      </c>
      <c r="AF484" s="1">
        <f t="shared" si="92"/>
        <v>1</v>
      </c>
      <c r="AG484" s="1">
        <f t="shared" si="93"/>
        <v>1</v>
      </c>
      <c r="AH484" s="1">
        <f t="shared" si="94"/>
        <v>1</v>
      </c>
      <c r="AI484" s="1">
        <f t="shared" si="95"/>
        <v>1</v>
      </c>
      <c r="AJ484" s="1">
        <f>SUMXMY2(Z484:AI484, Occurrence!B$3:K$3)</f>
        <v>1</v>
      </c>
      <c r="AK484" s="1">
        <f t="shared" si="96"/>
        <v>9</v>
      </c>
    </row>
    <row r="485" spans="1:37">
      <c r="A485" s="1">
        <v>484</v>
      </c>
      <c r="B485" s="1">
        <v>4252483</v>
      </c>
      <c r="C485" s="6" t="s">
        <v>39</v>
      </c>
      <c r="D485" s="1">
        <v>0.1</v>
      </c>
      <c r="E485" s="1">
        <v>0.2</v>
      </c>
      <c r="F485" s="1">
        <v>0.5</v>
      </c>
      <c r="G485" s="1">
        <v>0.6</v>
      </c>
      <c r="H485" s="1">
        <v>0.4</v>
      </c>
      <c r="I485" s="1">
        <v>0</v>
      </c>
      <c r="J485" s="1">
        <v>1</v>
      </c>
      <c r="K485" s="1">
        <v>1</v>
      </c>
      <c r="L485" s="1">
        <v>0.5</v>
      </c>
      <c r="M485" s="1">
        <v>1</v>
      </c>
      <c r="N485" s="1">
        <f>(Occurrence!B$3-D485)^2</f>
        <v>1.0000000000000002E-2</v>
      </c>
      <c r="O485" s="1">
        <f>(Occurrence!C$3-E485)^2</f>
        <v>4.0000000000000008E-2</v>
      </c>
      <c r="P485" s="1">
        <f>(Occurrence!D$3-F485)^2</f>
        <v>0.25</v>
      </c>
      <c r="Q485" s="1">
        <f>(Occurrence!E$3-G485)^2</f>
        <v>0.16000000000000003</v>
      </c>
      <c r="R485" s="1">
        <f>(Occurrence!F$3-H485)^2</f>
        <v>0.16000000000000003</v>
      </c>
      <c r="S485" s="1">
        <f>(Occurrence!G$3-I485)^2</f>
        <v>0</v>
      </c>
      <c r="T485" s="1">
        <f>(Occurrence!H$3-J485)^2</f>
        <v>0</v>
      </c>
      <c r="U485" s="1">
        <f>(Occurrence!I$3-K485)^2</f>
        <v>0</v>
      </c>
      <c r="V485" s="1">
        <f>(Occurrence!J$3-L485)^2</f>
        <v>0.25</v>
      </c>
      <c r="W485" s="1">
        <f>(Occurrence!K$3-M485)^2</f>
        <v>0</v>
      </c>
      <c r="X485" s="1">
        <f t="shared" si="85"/>
        <v>0.87000000000000011</v>
      </c>
      <c r="Z485" s="1">
        <f t="shared" si="86"/>
        <v>0</v>
      </c>
      <c r="AA485" s="1">
        <f t="shared" si="87"/>
        <v>0</v>
      </c>
      <c r="AB485" s="1">
        <f t="shared" si="88"/>
        <v>1</v>
      </c>
      <c r="AC485" s="1">
        <f t="shared" si="89"/>
        <v>1</v>
      </c>
      <c r="AD485" s="1">
        <f t="shared" si="90"/>
        <v>0</v>
      </c>
      <c r="AE485" s="1">
        <f t="shared" si="91"/>
        <v>0</v>
      </c>
      <c r="AF485" s="1">
        <f t="shared" si="92"/>
        <v>1</v>
      </c>
      <c r="AG485" s="1">
        <f t="shared" si="93"/>
        <v>1</v>
      </c>
      <c r="AH485" s="1">
        <f t="shared" si="94"/>
        <v>1</v>
      </c>
      <c r="AI485" s="1">
        <f t="shared" si="95"/>
        <v>1</v>
      </c>
      <c r="AJ485" s="1">
        <f>SUMXMY2(Z485:AI485, Occurrence!B$3:K$3)</f>
        <v>1</v>
      </c>
      <c r="AK485" s="1">
        <f t="shared" si="96"/>
        <v>9</v>
      </c>
    </row>
    <row r="486" spans="1:37">
      <c r="A486" s="1">
        <v>485</v>
      </c>
      <c r="B486" s="1">
        <v>4252484</v>
      </c>
      <c r="C486" s="6" t="s">
        <v>39</v>
      </c>
      <c r="D486" s="1">
        <v>0.05</v>
      </c>
      <c r="E486" s="1">
        <v>0.15</v>
      </c>
      <c r="F486" s="1">
        <v>0.65</v>
      </c>
      <c r="G486" s="1">
        <v>0.95</v>
      </c>
      <c r="H486" s="1">
        <v>0.9</v>
      </c>
      <c r="I486" s="1">
        <v>0.15</v>
      </c>
      <c r="J486" s="1">
        <v>0.1</v>
      </c>
      <c r="K486" s="1">
        <v>0.7</v>
      </c>
      <c r="L486" s="1">
        <v>0.5</v>
      </c>
      <c r="M486" s="1">
        <v>0.85</v>
      </c>
      <c r="N486" s="1">
        <f>(Occurrence!B$3-D486)^2</f>
        <v>2.5000000000000005E-3</v>
      </c>
      <c r="O486" s="1">
        <f>(Occurrence!C$3-E486)^2</f>
        <v>2.2499999999999999E-2</v>
      </c>
      <c r="P486" s="1">
        <f>(Occurrence!D$3-F486)^2</f>
        <v>0.12249999999999998</v>
      </c>
      <c r="Q486" s="1">
        <f>(Occurrence!E$3-G486)^2</f>
        <v>2.5000000000000044E-3</v>
      </c>
      <c r="R486" s="1">
        <f>(Occurrence!F$3-H486)^2</f>
        <v>0.81</v>
      </c>
      <c r="S486" s="1">
        <f>(Occurrence!G$3-I486)^2</f>
        <v>2.2499999999999999E-2</v>
      </c>
      <c r="T486" s="1">
        <f>(Occurrence!H$3-J486)^2</f>
        <v>0.81</v>
      </c>
      <c r="U486" s="1">
        <f>(Occurrence!I$3-K486)^2</f>
        <v>9.0000000000000024E-2</v>
      </c>
      <c r="V486" s="1">
        <f>(Occurrence!J$3-L486)^2</f>
        <v>0.25</v>
      </c>
      <c r="W486" s="1">
        <f>(Occurrence!K$3-M486)^2</f>
        <v>2.2500000000000006E-2</v>
      </c>
      <c r="X486" s="1">
        <f t="shared" si="85"/>
        <v>2.1550000000000002</v>
      </c>
      <c r="Z486" s="1">
        <f t="shared" si="86"/>
        <v>0</v>
      </c>
      <c r="AA486" s="1">
        <f t="shared" si="87"/>
        <v>0</v>
      </c>
      <c r="AB486" s="1">
        <f t="shared" si="88"/>
        <v>1</v>
      </c>
      <c r="AC486" s="1">
        <f t="shared" si="89"/>
        <v>1</v>
      </c>
      <c r="AD486" s="1">
        <f t="shared" si="90"/>
        <v>1</v>
      </c>
      <c r="AE486" s="1">
        <f t="shared" si="91"/>
        <v>0</v>
      </c>
      <c r="AF486" s="1">
        <f t="shared" si="92"/>
        <v>0</v>
      </c>
      <c r="AG486" s="1">
        <f t="shared" si="93"/>
        <v>1</v>
      </c>
      <c r="AH486" s="1">
        <f t="shared" si="94"/>
        <v>1</v>
      </c>
      <c r="AI486" s="1">
        <f t="shared" si="95"/>
        <v>1</v>
      </c>
      <c r="AJ486" s="1">
        <f>SUMXMY2(Z486:AI486, Occurrence!B$3:K$3)</f>
        <v>3</v>
      </c>
      <c r="AK486" s="1">
        <f t="shared" si="96"/>
        <v>7</v>
      </c>
    </row>
    <row r="487" spans="1:37">
      <c r="A487" s="1">
        <v>486</v>
      </c>
      <c r="B487" s="1">
        <v>4252485</v>
      </c>
      <c r="C487" s="6" t="s">
        <v>39</v>
      </c>
      <c r="D487" s="1">
        <v>0.03</v>
      </c>
      <c r="E487" s="1">
        <v>0.1</v>
      </c>
      <c r="F487" s="1">
        <v>0.8</v>
      </c>
      <c r="G487" s="1">
        <v>0.9</v>
      </c>
      <c r="H487" s="1">
        <v>0.2</v>
      </c>
      <c r="I487" s="1">
        <v>0.4</v>
      </c>
      <c r="J487" s="1">
        <v>0.2</v>
      </c>
      <c r="K487" s="1">
        <v>0.95</v>
      </c>
      <c r="L487" s="1">
        <v>0.95</v>
      </c>
      <c r="M487" s="1">
        <v>0.8</v>
      </c>
      <c r="N487" s="1">
        <f>(Occurrence!B$3-D487)^2</f>
        <v>8.9999999999999998E-4</v>
      </c>
      <c r="O487" s="1">
        <f>(Occurrence!C$3-E487)^2</f>
        <v>1.0000000000000002E-2</v>
      </c>
      <c r="P487" s="1">
        <f>(Occurrence!D$3-F487)^2</f>
        <v>3.999999999999998E-2</v>
      </c>
      <c r="Q487" s="1">
        <f>(Occurrence!E$3-G487)^2</f>
        <v>9.999999999999995E-3</v>
      </c>
      <c r="R487" s="1">
        <f>(Occurrence!F$3-H487)^2</f>
        <v>4.0000000000000008E-2</v>
      </c>
      <c r="S487" s="1">
        <f>(Occurrence!G$3-I487)^2</f>
        <v>0.16000000000000003</v>
      </c>
      <c r="T487" s="1">
        <f>(Occurrence!H$3-J487)^2</f>
        <v>0.64000000000000012</v>
      </c>
      <c r="U487" s="1">
        <f>(Occurrence!I$3-K487)^2</f>
        <v>2.5000000000000044E-3</v>
      </c>
      <c r="V487" s="1">
        <f>(Occurrence!J$3-L487)^2</f>
        <v>0.90249999999999997</v>
      </c>
      <c r="W487" s="1">
        <f>(Occurrence!K$3-M487)^2</f>
        <v>3.999999999999998E-2</v>
      </c>
      <c r="X487" s="1">
        <f t="shared" si="85"/>
        <v>1.8459000000000003</v>
      </c>
      <c r="Z487" s="1">
        <f t="shared" si="86"/>
        <v>0</v>
      </c>
      <c r="AA487" s="1">
        <f t="shared" si="87"/>
        <v>0</v>
      </c>
      <c r="AB487" s="1">
        <f t="shared" si="88"/>
        <v>1</v>
      </c>
      <c r="AC487" s="1">
        <f t="shared" si="89"/>
        <v>1</v>
      </c>
      <c r="AD487" s="1">
        <f t="shared" si="90"/>
        <v>0</v>
      </c>
      <c r="AE487" s="1">
        <f t="shared" si="91"/>
        <v>0</v>
      </c>
      <c r="AF487" s="1">
        <f t="shared" si="92"/>
        <v>0</v>
      </c>
      <c r="AG487" s="1">
        <f t="shared" si="93"/>
        <v>1</v>
      </c>
      <c r="AH487" s="1">
        <f t="shared" si="94"/>
        <v>1</v>
      </c>
      <c r="AI487" s="1">
        <f t="shared" si="95"/>
        <v>1</v>
      </c>
      <c r="AJ487" s="1">
        <f>SUMXMY2(Z487:AI487, Occurrence!B$3:K$3)</f>
        <v>2</v>
      </c>
      <c r="AK487" s="1">
        <f t="shared" si="96"/>
        <v>8</v>
      </c>
    </row>
    <row r="488" spans="1:37">
      <c r="A488" s="1">
        <v>487</v>
      </c>
      <c r="B488" s="1">
        <v>4252486</v>
      </c>
      <c r="C488" s="6" t="s">
        <v>39</v>
      </c>
      <c r="D488" s="1">
        <v>0.1</v>
      </c>
      <c r="E488" s="1">
        <v>0.12</v>
      </c>
      <c r="F488" s="1">
        <v>0.6</v>
      </c>
      <c r="G488" s="1">
        <v>0.7</v>
      </c>
      <c r="H488" s="1">
        <v>0.1</v>
      </c>
      <c r="I488" s="1">
        <v>0.5</v>
      </c>
      <c r="J488" s="1">
        <v>0</v>
      </c>
      <c r="K488" s="1">
        <v>0.7</v>
      </c>
      <c r="L488" s="1">
        <v>0.4</v>
      </c>
      <c r="M488" s="1">
        <v>0.3</v>
      </c>
      <c r="N488" s="1">
        <f>(Occurrence!B$3-D488)^2</f>
        <v>1.0000000000000002E-2</v>
      </c>
      <c r="O488" s="1">
        <f>(Occurrence!C$3-E488)^2</f>
        <v>1.44E-2</v>
      </c>
      <c r="P488" s="1">
        <f>(Occurrence!D$3-F488)^2</f>
        <v>0.16000000000000003</v>
      </c>
      <c r="Q488" s="1">
        <f>(Occurrence!E$3-G488)^2</f>
        <v>9.0000000000000024E-2</v>
      </c>
      <c r="R488" s="1">
        <f>(Occurrence!F$3-H488)^2</f>
        <v>1.0000000000000002E-2</v>
      </c>
      <c r="S488" s="1">
        <f>(Occurrence!G$3-I488)^2</f>
        <v>0.25</v>
      </c>
      <c r="T488" s="1">
        <f>(Occurrence!H$3-J488)^2</f>
        <v>1</v>
      </c>
      <c r="U488" s="1">
        <f>(Occurrence!I$3-K488)^2</f>
        <v>9.0000000000000024E-2</v>
      </c>
      <c r="V488" s="1">
        <f>(Occurrence!J$3-L488)^2</f>
        <v>0.16000000000000003</v>
      </c>
      <c r="W488" s="1">
        <f>(Occurrence!K$3-M488)^2</f>
        <v>0.48999999999999994</v>
      </c>
      <c r="X488" s="1">
        <f t="shared" si="85"/>
        <v>2.2744</v>
      </c>
      <c r="Z488" s="1">
        <f t="shared" si="86"/>
        <v>0</v>
      </c>
      <c r="AA488" s="1">
        <f t="shared" si="87"/>
        <v>0</v>
      </c>
      <c r="AB488" s="1">
        <f t="shared" si="88"/>
        <v>1</v>
      </c>
      <c r="AC488" s="1">
        <f t="shared" si="89"/>
        <v>1</v>
      </c>
      <c r="AD488" s="1">
        <f t="shared" si="90"/>
        <v>0</v>
      </c>
      <c r="AE488" s="1">
        <f t="shared" si="91"/>
        <v>1</v>
      </c>
      <c r="AF488" s="1">
        <f t="shared" si="92"/>
        <v>0</v>
      </c>
      <c r="AG488" s="1">
        <f t="shared" si="93"/>
        <v>1</v>
      </c>
      <c r="AH488" s="1">
        <f t="shared" si="94"/>
        <v>0</v>
      </c>
      <c r="AI488" s="1">
        <f t="shared" si="95"/>
        <v>0</v>
      </c>
      <c r="AJ488" s="1">
        <f>SUMXMY2(Z488:AI488, Occurrence!B$3:K$3)</f>
        <v>3</v>
      </c>
      <c r="AK488" s="1">
        <f t="shared" si="96"/>
        <v>7</v>
      </c>
    </row>
    <row r="489" spans="1:37">
      <c r="A489" s="1">
        <v>488</v>
      </c>
      <c r="B489" s="1">
        <v>4252487</v>
      </c>
      <c r="C489" s="6" t="s">
        <v>39</v>
      </c>
      <c r="D489" s="1">
        <v>0.4</v>
      </c>
      <c r="E489" s="1">
        <v>0.1</v>
      </c>
      <c r="F489" s="1">
        <v>0.4</v>
      </c>
      <c r="G489" s="1">
        <v>0.1</v>
      </c>
      <c r="H489" s="1">
        <v>1</v>
      </c>
      <c r="I489" s="1">
        <v>0.3</v>
      </c>
      <c r="J489" s="1">
        <v>0.2</v>
      </c>
      <c r="K489" s="1">
        <v>0.3</v>
      </c>
      <c r="L489" s="1">
        <v>1</v>
      </c>
      <c r="M489" s="1">
        <v>0.1</v>
      </c>
      <c r="N489" s="1">
        <f>(Occurrence!B$3-D489)^2</f>
        <v>0.16000000000000003</v>
      </c>
      <c r="O489" s="1">
        <f>(Occurrence!C$3-E489)^2</f>
        <v>1.0000000000000002E-2</v>
      </c>
      <c r="P489" s="1">
        <f>(Occurrence!D$3-F489)^2</f>
        <v>0.36</v>
      </c>
      <c r="Q489" s="1">
        <f>(Occurrence!E$3-G489)^2</f>
        <v>0.81</v>
      </c>
      <c r="R489" s="1">
        <f>(Occurrence!F$3-H489)^2</f>
        <v>1</v>
      </c>
      <c r="S489" s="1">
        <f>(Occurrence!G$3-I489)^2</f>
        <v>0.09</v>
      </c>
      <c r="T489" s="1">
        <f>(Occurrence!H$3-J489)^2</f>
        <v>0.64000000000000012</v>
      </c>
      <c r="U489" s="1">
        <f>(Occurrence!I$3-K489)^2</f>
        <v>0.48999999999999994</v>
      </c>
      <c r="V489" s="1">
        <f>(Occurrence!J$3-L489)^2</f>
        <v>1</v>
      </c>
      <c r="W489" s="1">
        <f>(Occurrence!K$3-M489)^2</f>
        <v>0.81</v>
      </c>
      <c r="X489" s="1">
        <f t="shared" si="85"/>
        <v>5.3699999999999992</v>
      </c>
      <c r="Z489" s="1">
        <f t="shared" si="86"/>
        <v>0</v>
      </c>
      <c r="AA489" s="1">
        <f t="shared" si="87"/>
        <v>0</v>
      </c>
      <c r="AB489" s="1">
        <f t="shared" si="88"/>
        <v>0</v>
      </c>
      <c r="AC489" s="1">
        <f t="shared" si="89"/>
        <v>0</v>
      </c>
      <c r="AD489" s="1">
        <f t="shared" si="90"/>
        <v>1</v>
      </c>
      <c r="AE489" s="1">
        <f t="shared" si="91"/>
        <v>0</v>
      </c>
      <c r="AF489" s="1">
        <f t="shared" si="92"/>
        <v>0</v>
      </c>
      <c r="AG489" s="1">
        <f t="shared" si="93"/>
        <v>0</v>
      </c>
      <c r="AH489" s="1">
        <f t="shared" si="94"/>
        <v>1</v>
      </c>
      <c r="AI489" s="1">
        <f t="shared" si="95"/>
        <v>0</v>
      </c>
      <c r="AJ489" s="1">
        <f>SUMXMY2(Z489:AI489, Occurrence!B$3:K$3)</f>
        <v>7</v>
      </c>
      <c r="AK489" s="1">
        <f t="shared" si="96"/>
        <v>3</v>
      </c>
    </row>
    <row r="490" spans="1:37">
      <c r="A490" s="1">
        <v>489</v>
      </c>
      <c r="B490" s="1">
        <v>4252488</v>
      </c>
      <c r="C490" s="6" t="s">
        <v>39</v>
      </c>
      <c r="D490" s="1">
        <v>0.02</v>
      </c>
      <c r="E490" s="1">
        <v>0.05</v>
      </c>
      <c r="F490" s="1">
        <v>0.7</v>
      </c>
      <c r="G490" s="1">
        <v>0.9</v>
      </c>
      <c r="H490" s="1">
        <v>0.2</v>
      </c>
      <c r="I490" s="1">
        <v>0.9</v>
      </c>
      <c r="J490" s="1">
        <v>1.0000000000000001E-9</v>
      </c>
      <c r="K490" s="1">
        <v>0.9</v>
      </c>
      <c r="L490" s="1">
        <v>0.3</v>
      </c>
      <c r="M490" s="1">
        <v>0.19</v>
      </c>
      <c r="N490" s="1">
        <f>(Occurrence!B$3-D490)^2</f>
        <v>4.0000000000000002E-4</v>
      </c>
      <c r="O490" s="1">
        <f>(Occurrence!C$3-E490)^2</f>
        <v>2.5000000000000005E-3</v>
      </c>
      <c r="P490" s="1">
        <f>(Occurrence!D$3-F490)^2</f>
        <v>9.0000000000000024E-2</v>
      </c>
      <c r="Q490" s="1">
        <f>(Occurrence!E$3-G490)^2</f>
        <v>9.999999999999995E-3</v>
      </c>
      <c r="R490" s="1">
        <f>(Occurrence!F$3-H490)^2</f>
        <v>4.0000000000000008E-2</v>
      </c>
      <c r="S490" s="1">
        <f>(Occurrence!G$3-I490)^2</f>
        <v>0.81</v>
      </c>
      <c r="T490" s="1">
        <f>(Occurrence!H$3-J490)^2</f>
        <v>0.99999999800000006</v>
      </c>
      <c r="U490" s="1">
        <f>(Occurrence!I$3-K490)^2</f>
        <v>9.999999999999995E-3</v>
      </c>
      <c r="V490" s="1">
        <f>(Occurrence!J$3-L490)^2</f>
        <v>0.09</v>
      </c>
      <c r="W490" s="1">
        <f>(Occurrence!K$3-M490)^2</f>
        <v>0.65610000000000013</v>
      </c>
      <c r="X490" s="1">
        <f t="shared" si="85"/>
        <v>2.7089999980000004</v>
      </c>
      <c r="Z490" s="1">
        <f t="shared" si="86"/>
        <v>0</v>
      </c>
      <c r="AA490" s="1">
        <f t="shared" si="87"/>
        <v>0</v>
      </c>
      <c r="AB490" s="1">
        <f t="shared" si="88"/>
        <v>1</v>
      </c>
      <c r="AC490" s="1">
        <f t="shared" si="89"/>
        <v>1</v>
      </c>
      <c r="AD490" s="1">
        <f t="shared" si="90"/>
        <v>0</v>
      </c>
      <c r="AE490" s="1">
        <f t="shared" si="91"/>
        <v>1</v>
      </c>
      <c r="AF490" s="1">
        <f t="shared" si="92"/>
        <v>0</v>
      </c>
      <c r="AG490" s="1">
        <f t="shared" si="93"/>
        <v>1</v>
      </c>
      <c r="AH490" s="1">
        <f t="shared" si="94"/>
        <v>0</v>
      </c>
      <c r="AI490" s="1">
        <f t="shared" si="95"/>
        <v>0</v>
      </c>
      <c r="AJ490" s="1">
        <f>SUMXMY2(Z490:AI490, Occurrence!B$3:K$3)</f>
        <v>3</v>
      </c>
      <c r="AK490" s="1">
        <f t="shared" si="96"/>
        <v>7</v>
      </c>
    </row>
    <row r="491" spans="1:37">
      <c r="A491" s="1">
        <v>490</v>
      </c>
      <c r="B491" s="1">
        <v>4252489</v>
      </c>
      <c r="C491" s="6" t="s">
        <v>39</v>
      </c>
      <c r="D491" s="1">
        <v>0.01</v>
      </c>
      <c r="E491" s="1">
        <v>0.05</v>
      </c>
      <c r="F491" s="1">
        <v>0.9</v>
      </c>
      <c r="G491" s="1">
        <v>0.95</v>
      </c>
      <c r="H491" s="1">
        <v>0.05</v>
      </c>
      <c r="I491" s="1">
        <v>0.1</v>
      </c>
      <c r="J491" s="1">
        <v>0.9</v>
      </c>
      <c r="K491" s="1">
        <v>0.9</v>
      </c>
      <c r="L491" s="1">
        <v>0.15</v>
      </c>
      <c r="M491" s="1">
        <v>0.15</v>
      </c>
      <c r="N491" s="1">
        <f>(Occurrence!B$3-D491)^2</f>
        <v>1E-4</v>
      </c>
      <c r="O491" s="1">
        <f>(Occurrence!C$3-E491)^2</f>
        <v>2.5000000000000005E-3</v>
      </c>
      <c r="P491" s="1">
        <f>(Occurrence!D$3-F491)^2</f>
        <v>9.999999999999995E-3</v>
      </c>
      <c r="Q491" s="1">
        <f>(Occurrence!E$3-G491)^2</f>
        <v>2.5000000000000044E-3</v>
      </c>
      <c r="R491" s="1">
        <f>(Occurrence!F$3-H491)^2</f>
        <v>2.5000000000000005E-3</v>
      </c>
      <c r="S491" s="1">
        <f>(Occurrence!G$3-I491)^2</f>
        <v>1.0000000000000002E-2</v>
      </c>
      <c r="T491" s="1">
        <f>(Occurrence!H$3-J491)^2</f>
        <v>9.999999999999995E-3</v>
      </c>
      <c r="U491" s="1">
        <f>(Occurrence!I$3-K491)^2</f>
        <v>9.999999999999995E-3</v>
      </c>
      <c r="V491" s="1">
        <f>(Occurrence!J$3-L491)^2</f>
        <v>2.2499999999999999E-2</v>
      </c>
      <c r="W491" s="1">
        <f>(Occurrence!K$3-M491)^2</f>
        <v>0.72249999999999992</v>
      </c>
      <c r="X491" s="1">
        <f t="shared" si="85"/>
        <v>0.79259999999999997</v>
      </c>
      <c r="Z491" s="1">
        <f t="shared" si="86"/>
        <v>0</v>
      </c>
      <c r="AA491" s="1">
        <f t="shared" si="87"/>
        <v>0</v>
      </c>
      <c r="AB491" s="1">
        <f t="shared" si="88"/>
        <v>1</v>
      </c>
      <c r="AC491" s="1">
        <f t="shared" si="89"/>
        <v>1</v>
      </c>
      <c r="AD491" s="1">
        <f t="shared" si="90"/>
        <v>0</v>
      </c>
      <c r="AE491" s="1">
        <f t="shared" si="91"/>
        <v>0</v>
      </c>
      <c r="AF491" s="1">
        <f t="shared" si="92"/>
        <v>1</v>
      </c>
      <c r="AG491" s="1">
        <f t="shared" si="93"/>
        <v>1</v>
      </c>
      <c r="AH491" s="1">
        <f t="shared" si="94"/>
        <v>0</v>
      </c>
      <c r="AI491" s="1">
        <f t="shared" si="95"/>
        <v>0</v>
      </c>
      <c r="AJ491" s="1">
        <f>SUMXMY2(Z491:AI491, Occurrence!B$3:K$3)</f>
        <v>1</v>
      </c>
      <c r="AK491" s="1">
        <f t="shared" si="96"/>
        <v>9</v>
      </c>
    </row>
    <row r="492" spans="1:37">
      <c r="A492" s="1">
        <v>491</v>
      </c>
      <c r="B492" s="1">
        <v>4252490</v>
      </c>
      <c r="C492" s="6" t="s">
        <v>39</v>
      </c>
      <c r="D492" s="1">
        <v>0.01</v>
      </c>
      <c r="E492" s="1">
        <v>0.05</v>
      </c>
      <c r="F492" s="1">
        <v>0.95</v>
      </c>
      <c r="G492" s="1">
        <v>0.99</v>
      </c>
      <c r="H492" s="1">
        <v>0.1</v>
      </c>
      <c r="I492" s="1">
        <v>0.25</v>
      </c>
      <c r="J492" s="1">
        <v>0.99</v>
      </c>
      <c r="K492" s="1">
        <v>0.5</v>
      </c>
      <c r="L492" s="1">
        <v>0.4</v>
      </c>
      <c r="M492" s="1">
        <v>0.7</v>
      </c>
      <c r="N492" s="1">
        <f>(Occurrence!B$3-D492)^2</f>
        <v>1E-4</v>
      </c>
      <c r="O492" s="1">
        <f>(Occurrence!C$3-E492)^2</f>
        <v>2.5000000000000005E-3</v>
      </c>
      <c r="P492" s="1">
        <f>(Occurrence!D$3-F492)^2</f>
        <v>2.5000000000000044E-3</v>
      </c>
      <c r="Q492" s="1">
        <f>(Occurrence!E$3-G492)^2</f>
        <v>1.0000000000000018E-4</v>
      </c>
      <c r="R492" s="1">
        <f>(Occurrence!F$3-H492)^2</f>
        <v>1.0000000000000002E-2</v>
      </c>
      <c r="S492" s="1">
        <f>(Occurrence!G$3-I492)^2</f>
        <v>6.25E-2</v>
      </c>
      <c r="T492" s="1">
        <f>(Occurrence!H$3-J492)^2</f>
        <v>1.0000000000000018E-4</v>
      </c>
      <c r="U492" s="1">
        <f>(Occurrence!I$3-K492)^2</f>
        <v>0.25</v>
      </c>
      <c r="V492" s="1">
        <f>(Occurrence!J$3-L492)^2</f>
        <v>0.16000000000000003</v>
      </c>
      <c r="W492" s="1">
        <f>(Occurrence!K$3-M492)^2</f>
        <v>9.0000000000000024E-2</v>
      </c>
      <c r="X492" s="1">
        <f t="shared" si="85"/>
        <v>0.57780000000000009</v>
      </c>
      <c r="Z492" s="1">
        <f t="shared" si="86"/>
        <v>0</v>
      </c>
      <c r="AA492" s="1">
        <f t="shared" si="87"/>
        <v>0</v>
      </c>
      <c r="AB492" s="1">
        <f t="shared" si="88"/>
        <v>1</v>
      </c>
      <c r="AC492" s="1">
        <f t="shared" si="89"/>
        <v>1</v>
      </c>
      <c r="AD492" s="1">
        <f t="shared" si="90"/>
        <v>0</v>
      </c>
      <c r="AE492" s="1">
        <f t="shared" si="91"/>
        <v>0</v>
      </c>
      <c r="AF492" s="1">
        <f t="shared" si="92"/>
        <v>1</v>
      </c>
      <c r="AG492" s="1">
        <f t="shared" si="93"/>
        <v>1</v>
      </c>
      <c r="AH492" s="1">
        <f t="shared" si="94"/>
        <v>0</v>
      </c>
      <c r="AI492" s="1">
        <f t="shared" si="95"/>
        <v>1</v>
      </c>
      <c r="AJ492" s="1">
        <f>SUMXMY2(Z492:AI492, Occurrence!B$3:K$3)</f>
        <v>0</v>
      </c>
      <c r="AK492" s="1">
        <f t="shared" si="96"/>
        <v>10</v>
      </c>
    </row>
    <row r="493" spans="1:37">
      <c r="A493" s="1">
        <v>492</v>
      </c>
      <c r="B493" s="1">
        <v>4252491</v>
      </c>
      <c r="C493" s="6" t="s">
        <v>39</v>
      </c>
      <c r="D493" s="1">
        <v>0.25</v>
      </c>
      <c r="E493" s="1">
        <v>0.35</v>
      </c>
      <c r="F493" s="1">
        <v>0.65</v>
      </c>
      <c r="G493" s="1">
        <v>0.75</v>
      </c>
      <c r="H493" s="1">
        <v>0.5</v>
      </c>
      <c r="I493" s="1">
        <v>0.2</v>
      </c>
      <c r="J493" s="1">
        <v>0.9</v>
      </c>
      <c r="K493" s="1">
        <v>0.8</v>
      </c>
      <c r="L493" s="1">
        <v>0.2</v>
      </c>
      <c r="M493" s="1">
        <v>0.9</v>
      </c>
      <c r="N493" s="1">
        <f>(Occurrence!B$3-D493)^2</f>
        <v>6.25E-2</v>
      </c>
      <c r="O493" s="1">
        <f>(Occurrence!C$3-E493)^2</f>
        <v>0.12249999999999998</v>
      </c>
      <c r="P493" s="1">
        <f>(Occurrence!D$3-F493)^2</f>
        <v>0.12249999999999998</v>
      </c>
      <c r="Q493" s="1">
        <f>(Occurrence!E$3-G493)^2</f>
        <v>6.25E-2</v>
      </c>
      <c r="R493" s="1">
        <f>(Occurrence!F$3-H493)^2</f>
        <v>0.25</v>
      </c>
      <c r="S493" s="1">
        <f>(Occurrence!G$3-I493)^2</f>
        <v>4.0000000000000008E-2</v>
      </c>
      <c r="T493" s="1">
        <f>(Occurrence!H$3-J493)^2</f>
        <v>9.999999999999995E-3</v>
      </c>
      <c r="U493" s="1">
        <f>(Occurrence!I$3-K493)^2</f>
        <v>3.999999999999998E-2</v>
      </c>
      <c r="V493" s="1">
        <f>(Occurrence!J$3-L493)^2</f>
        <v>4.0000000000000008E-2</v>
      </c>
      <c r="W493" s="1">
        <f>(Occurrence!K$3-M493)^2</f>
        <v>9.999999999999995E-3</v>
      </c>
      <c r="X493" s="1">
        <f t="shared" si="85"/>
        <v>0.76</v>
      </c>
      <c r="Z493" s="1">
        <f t="shared" si="86"/>
        <v>0</v>
      </c>
      <c r="AA493" s="1">
        <f t="shared" si="87"/>
        <v>0</v>
      </c>
      <c r="AB493" s="1">
        <f t="shared" si="88"/>
        <v>1</v>
      </c>
      <c r="AC493" s="1">
        <f t="shared" si="89"/>
        <v>1</v>
      </c>
      <c r="AD493" s="1">
        <f t="shared" si="90"/>
        <v>1</v>
      </c>
      <c r="AE493" s="1">
        <f t="shared" si="91"/>
        <v>0</v>
      </c>
      <c r="AF493" s="1">
        <f t="shared" si="92"/>
        <v>1</v>
      </c>
      <c r="AG493" s="1">
        <f t="shared" si="93"/>
        <v>1</v>
      </c>
      <c r="AH493" s="1">
        <f t="shared" si="94"/>
        <v>0</v>
      </c>
      <c r="AI493" s="1">
        <f t="shared" si="95"/>
        <v>1</v>
      </c>
      <c r="AJ493" s="1">
        <f>SUMXMY2(Z493:AI493, Occurrence!B$3:K$3)</f>
        <v>1</v>
      </c>
      <c r="AK493" s="1">
        <f t="shared" si="96"/>
        <v>9</v>
      </c>
    </row>
    <row r="494" spans="1:37">
      <c r="A494" s="1">
        <v>493</v>
      </c>
      <c r="B494" s="1">
        <v>4252492</v>
      </c>
      <c r="C494" s="6" t="s">
        <v>39</v>
      </c>
      <c r="D494" s="1">
        <v>0.12</v>
      </c>
      <c r="E494" s="1">
        <v>0.25</v>
      </c>
      <c r="F494" s="1">
        <v>0.8</v>
      </c>
      <c r="G494" s="1">
        <v>0.98</v>
      </c>
      <c r="H494" s="1">
        <v>0.45</v>
      </c>
      <c r="I494" s="1">
        <v>0.8</v>
      </c>
      <c r="J494" s="1">
        <v>0.2</v>
      </c>
      <c r="K494" s="1">
        <v>0.85</v>
      </c>
      <c r="L494" s="1">
        <v>0.25</v>
      </c>
      <c r="M494" s="1">
        <v>0.9</v>
      </c>
      <c r="N494" s="1">
        <f>(Occurrence!B$3-D494)^2</f>
        <v>1.44E-2</v>
      </c>
      <c r="O494" s="1">
        <f>(Occurrence!C$3-E494)^2</f>
        <v>6.25E-2</v>
      </c>
      <c r="P494" s="1">
        <f>(Occurrence!D$3-F494)^2</f>
        <v>3.999999999999998E-2</v>
      </c>
      <c r="Q494" s="1">
        <f>(Occurrence!E$3-G494)^2</f>
        <v>4.0000000000000072E-4</v>
      </c>
      <c r="R494" s="1">
        <f>(Occurrence!F$3-H494)^2</f>
        <v>0.20250000000000001</v>
      </c>
      <c r="S494" s="1">
        <f>(Occurrence!G$3-I494)^2</f>
        <v>0.64000000000000012</v>
      </c>
      <c r="T494" s="1">
        <f>(Occurrence!H$3-J494)^2</f>
        <v>0.64000000000000012</v>
      </c>
      <c r="U494" s="1">
        <f>(Occurrence!I$3-K494)^2</f>
        <v>2.2500000000000006E-2</v>
      </c>
      <c r="V494" s="1">
        <f>(Occurrence!J$3-L494)^2</f>
        <v>6.25E-2</v>
      </c>
      <c r="W494" s="1">
        <f>(Occurrence!K$3-M494)^2</f>
        <v>9.999999999999995E-3</v>
      </c>
      <c r="X494" s="1">
        <f t="shared" si="85"/>
        <v>1.6948000000000001</v>
      </c>
      <c r="Z494" s="1">
        <f t="shared" si="86"/>
        <v>0</v>
      </c>
      <c r="AA494" s="1">
        <f t="shared" si="87"/>
        <v>0</v>
      </c>
      <c r="AB494" s="1">
        <f t="shared" si="88"/>
        <v>1</v>
      </c>
      <c r="AC494" s="1">
        <f t="shared" si="89"/>
        <v>1</v>
      </c>
      <c r="AD494" s="1">
        <f t="shared" si="90"/>
        <v>0</v>
      </c>
      <c r="AE494" s="1">
        <f t="shared" si="91"/>
        <v>1</v>
      </c>
      <c r="AF494" s="1">
        <f t="shared" si="92"/>
        <v>0</v>
      </c>
      <c r="AG494" s="1">
        <f t="shared" si="93"/>
        <v>1</v>
      </c>
      <c r="AH494" s="1">
        <f t="shared" si="94"/>
        <v>0</v>
      </c>
      <c r="AI494" s="1">
        <f t="shared" si="95"/>
        <v>1</v>
      </c>
      <c r="AJ494" s="1">
        <f>SUMXMY2(Z494:AI494, Occurrence!B$3:K$3)</f>
        <v>2</v>
      </c>
      <c r="AK494" s="1">
        <f t="shared" si="96"/>
        <v>8</v>
      </c>
    </row>
    <row r="495" spans="1:37">
      <c r="A495" s="1">
        <v>494</v>
      </c>
      <c r="B495" s="1">
        <v>4252493</v>
      </c>
      <c r="C495" s="6" t="s">
        <v>39</v>
      </c>
      <c r="D495" s="1">
        <v>2.5000000000000001E-2</v>
      </c>
      <c r="E495" s="1">
        <v>0.1</v>
      </c>
      <c r="F495" s="1">
        <v>0.9</v>
      </c>
      <c r="G495" s="1">
        <v>0.95</v>
      </c>
      <c r="H495" s="1">
        <v>0.25</v>
      </c>
      <c r="I495" s="1">
        <v>0.35</v>
      </c>
      <c r="J495" s="1">
        <v>0.55000000000000004</v>
      </c>
      <c r="K495" s="1">
        <v>0.8</v>
      </c>
      <c r="L495" s="1">
        <v>0.25</v>
      </c>
      <c r="M495" s="1">
        <v>0.5</v>
      </c>
      <c r="N495" s="1">
        <f>(Occurrence!B$3-D495)^2</f>
        <v>6.2500000000000012E-4</v>
      </c>
      <c r="O495" s="1">
        <f>(Occurrence!C$3-E495)^2</f>
        <v>1.0000000000000002E-2</v>
      </c>
      <c r="P495" s="1">
        <f>(Occurrence!D$3-F495)^2</f>
        <v>9.999999999999995E-3</v>
      </c>
      <c r="Q495" s="1">
        <f>(Occurrence!E$3-G495)^2</f>
        <v>2.5000000000000044E-3</v>
      </c>
      <c r="R495" s="1">
        <f>(Occurrence!F$3-H495)^2</f>
        <v>6.25E-2</v>
      </c>
      <c r="S495" s="1">
        <f>(Occurrence!G$3-I495)^2</f>
        <v>0.12249999999999998</v>
      </c>
      <c r="T495" s="1">
        <f>(Occurrence!H$3-J495)^2</f>
        <v>0.20249999999999996</v>
      </c>
      <c r="U495" s="1">
        <f>(Occurrence!I$3-K495)^2</f>
        <v>3.999999999999998E-2</v>
      </c>
      <c r="V495" s="1">
        <f>(Occurrence!J$3-L495)^2</f>
        <v>6.25E-2</v>
      </c>
      <c r="W495" s="1">
        <f>(Occurrence!K$3-M495)^2</f>
        <v>0.25</v>
      </c>
      <c r="X495" s="1">
        <f t="shared" si="85"/>
        <v>0.76312499999999994</v>
      </c>
      <c r="Z495" s="1">
        <f t="shared" si="86"/>
        <v>0</v>
      </c>
      <c r="AA495" s="1">
        <f t="shared" si="87"/>
        <v>0</v>
      </c>
      <c r="AB495" s="1">
        <f t="shared" si="88"/>
        <v>1</v>
      </c>
      <c r="AC495" s="1">
        <f t="shared" si="89"/>
        <v>1</v>
      </c>
      <c r="AD495" s="1">
        <f t="shared" si="90"/>
        <v>0</v>
      </c>
      <c r="AE495" s="1">
        <f t="shared" si="91"/>
        <v>0</v>
      </c>
      <c r="AF495" s="1">
        <f t="shared" si="92"/>
        <v>1</v>
      </c>
      <c r="AG495" s="1">
        <f t="shared" si="93"/>
        <v>1</v>
      </c>
      <c r="AH495" s="1">
        <f t="shared" si="94"/>
        <v>0</v>
      </c>
      <c r="AI495" s="1">
        <f t="shared" si="95"/>
        <v>1</v>
      </c>
      <c r="AJ495" s="1">
        <f>SUMXMY2(Z495:AI495, Occurrence!B$3:K$3)</f>
        <v>0</v>
      </c>
      <c r="AK495" s="1">
        <f t="shared" si="96"/>
        <v>10</v>
      </c>
    </row>
    <row r="496" spans="1:37">
      <c r="A496" s="1">
        <v>495</v>
      </c>
      <c r="B496" s="1">
        <v>4252494</v>
      </c>
      <c r="C496" s="6" t="s">
        <v>39</v>
      </c>
      <c r="D496" s="1">
        <v>0.1</v>
      </c>
      <c r="E496" s="1">
        <v>0.15</v>
      </c>
      <c r="F496" s="1">
        <v>0.5</v>
      </c>
      <c r="G496" s="1">
        <v>0.6</v>
      </c>
      <c r="H496" s="1">
        <v>0.4</v>
      </c>
      <c r="I496" s="1">
        <v>0.75</v>
      </c>
      <c r="J496" s="1">
        <v>0</v>
      </c>
      <c r="K496" s="1">
        <v>0.95</v>
      </c>
      <c r="L496" s="1">
        <v>0.2</v>
      </c>
      <c r="M496" s="1">
        <v>0.9</v>
      </c>
      <c r="N496" s="1">
        <f>(Occurrence!B$3-D496)^2</f>
        <v>1.0000000000000002E-2</v>
      </c>
      <c r="O496" s="1">
        <f>(Occurrence!C$3-E496)^2</f>
        <v>2.2499999999999999E-2</v>
      </c>
      <c r="P496" s="1">
        <f>(Occurrence!D$3-F496)^2</f>
        <v>0.25</v>
      </c>
      <c r="Q496" s="1">
        <f>(Occurrence!E$3-G496)^2</f>
        <v>0.16000000000000003</v>
      </c>
      <c r="R496" s="1">
        <f>(Occurrence!F$3-H496)^2</f>
        <v>0.16000000000000003</v>
      </c>
      <c r="S496" s="1">
        <f>(Occurrence!G$3-I496)^2</f>
        <v>0.5625</v>
      </c>
      <c r="T496" s="1">
        <f>(Occurrence!H$3-J496)^2</f>
        <v>1</v>
      </c>
      <c r="U496" s="1">
        <f>(Occurrence!I$3-K496)^2</f>
        <v>2.5000000000000044E-3</v>
      </c>
      <c r="V496" s="1">
        <f>(Occurrence!J$3-L496)^2</f>
        <v>4.0000000000000008E-2</v>
      </c>
      <c r="W496" s="1">
        <f>(Occurrence!K$3-M496)^2</f>
        <v>9.999999999999995E-3</v>
      </c>
      <c r="X496" s="1">
        <f t="shared" si="85"/>
        <v>2.2174999999999998</v>
      </c>
      <c r="Z496" s="1">
        <f t="shared" si="86"/>
        <v>0</v>
      </c>
      <c r="AA496" s="1">
        <f t="shared" si="87"/>
        <v>0</v>
      </c>
      <c r="AB496" s="1">
        <f t="shared" si="88"/>
        <v>1</v>
      </c>
      <c r="AC496" s="1">
        <f t="shared" si="89"/>
        <v>1</v>
      </c>
      <c r="AD496" s="1">
        <f t="shared" si="90"/>
        <v>0</v>
      </c>
      <c r="AE496" s="1">
        <f t="shared" si="91"/>
        <v>1</v>
      </c>
      <c r="AF496" s="1">
        <f t="shared" si="92"/>
        <v>0</v>
      </c>
      <c r="AG496" s="1">
        <f t="shared" si="93"/>
        <v>1</v>
      </c>
      <c r="AH496" s="1">
        <f t="shared" si="94"/>
        <v>0</v>
      </c>
      <c r="AI496" s="1">
        <f t="shared" si="95"/>
        <v>1</v>
      </c>
      <c r="AJ496" s="1">
        <f>SUMXMY2(Z496:AI496, Occurrence!B$3:K$3)</f>
        <v>2</v>
      </c>
      <c r="AK496" s="1">
        <f t="shared" si="96"/>
        <v>8</v>
      </c>
    </row>
    <row r="497" spans="1:37">
      <c r="A497" s="1">
        <v>496</v>
      </c>
      <c r="B497" s="1">
        <v>4252495</v>
      </c>
      <c r="C497" s="6" t="s">
        <v>39</v>
      </c>
      <c r="D497" s="1">
        <v>0.15</v>
      </c>
      <c r="E497" s="1">
        <v>0.25</v>
      </c>
      <c r="F497" s="1">
        <v>0.75</v>
      </c>
      <c r="G497" s="1">
        <v>0.6</v>
      </c>
      <c r="H497" s="1">
        <v>0.3</v>
      </c>
      <c r="I497" s="1">
        <v>0.1</v>
      </c>
      <c r="J497" s="1">
        <v>0.3</v>
      </c>
      <c r="K497" s="1">
        <v>0.95</v>
      </c>
      <c r="L497" s="1">
        <v>0.45</v>
      </c>
      <c r="M497" s="1">
        <v>0.6</v>
      </c>
      <c r="N497" s="1">
        <f>(Occurrence!B$3-D497)^2</f>
        <v>2.2499999999999999E-2</v>
      </c>
      <c r="O497" s="1">
        <f>(Occurrence!C$3-E497)^2</f>
        <v>6.25E-2</v>
      </c>
      <c r="P497" s="1">
        <f>(Occurrence!D$3-F497)^2</f>
        <v>6.25E-2</v>
      </c>
      <c r="Q497" s="1">
        <f>(Occurrence!E$3-G497)^2</f>
        <v>0.16000000000000003</v>
      </c>
      <c r="R497" s="1">
        <f>(Occurrence!F$3-H497)^2</f>
        <v>0.09</v>
      </c>
      <c r="S497" s="1">
        <f>(Occurrence!G$3-I497)^2</f>
        <v>1.0000000000000002E-2</v>
      </c>
      <c r="T497" s="1">
        <f>(Occurrence!H$3-J497)^2</f>
        <v>0.48999999999999994</v>
      </c>
      <c r="U497" s="1">
        <f>(Occurrence!I$3-K497)^2</f>
        <v>2.5000000000000044E-3</v>
      </c>
      <c r="V497" s="1">
        <f>(Occurrence!J$3-L497)^2</f>
        <v>0.20250000000000001</v>
      </c>
      <c r="W497" s="1">
        <f>(Occurrence!K$3-M497)^2</f>
        <v>0.16000000000000003</v>
      </c>
      <c r="X497" s="1">
        <f t="shared" si="85"/>
        <v>1.2625000000000002</v>
      </c>
      <c r="Z497" s="1">
        <f t="shared" si="86"/>
        <v>0</v>
      </c>
      <c r="AA497" s="1">
        <f t="shared" si="87"/>
        <v>0</v>
      </c>
      <c r="AB497" s="1">
        <f t="shared" si="88"/>
        <v>1</v>
      </c>
      <c r="AC497" s="1">
        <f t="shared" si="89"/>
        <v>1</v>
      </c>
      <c r="AD497" s="1">
        <f t="shared" si="90"/>
        <v>0</v>
      </c>
      <c r="AE497" s="1">
        <f t="shared" si="91"/>
        <v>0</v>
      </c>
      <c r="AF497" s="1">
        <f t="shared" si="92"/>
        <v>0</v>
      </c>
      <c r="AG497" s="1">
        <f t="shared" si="93"/>
        <v>1</v>
      </c>
      <c r="AH497" s="1">
        <f t="shared" si="94"/>
        <v>0</v>
      </c>
      <c r="AI497" s="1">
        <f t="shared" si="95"/>
        <v>1</v>
      </c>
      <c r="AJ497" s="1">
        <f>SUMXMY2(Z497:AI497, Occurrence!B$3:K$3)</f>
        <v>1</v>
      </c>
      <c r="AK497" s="1">
        <f t="shared" si="96"/>
        <v>9</v>
      </c>
    </row>
    <row r="498" spans="1:37">
      <c r="A498" s="1">
        <v>497</v>
      </c>
      <c r="B498" s="1">
        <v>4252496</v>
      </c>
      <c r="C498" s="6" t="s">
        <v>39</v>
      </c>
      <c r="D498" s="1">
        <v>1.0000000000000001E-5</v>
      </c>
      <c r="E498" s="1">
        <v>2.0000000000000001E-4</v>
      </c>
      <c r="F498" s="1">
        <v>0.97540000000000004</v>
      </c>
      <c r="G498" s="1">
        <v>0.99990000000000001</v>
      </c>
      <c r="H498" s="1">
        <v>0.1462</v>
      </c>
      <c r="I498" s="1">
        <v>0.41</v>
      </c>
      <c r="J498" s="1">
        <v>0.2</v>
      </c>
      <c r="K498" s="1">
        <v>0.12</v>
      </c>
      <c r="L498" s="1">
        <v>0.39</v>
      </c>
      <c r="M498" s="1">
        <v>0.45600000000000002</v>
      </c>
      <c r="N498" s="1">
        <f>(Occurrence!B$3-D498)^2</f>
        <v>1.0000000000000002E-10</v>
      </c>
      <c r="O498" s="1">
        <f>(Occurrence!C$3-E498)^2</f>
        <v>4.0000000000000001E-8</v>
      </c>
      <c r="P498" s="1">
        <f>(Occurrence!D$3-F498)^2</f>
        <v>6.0515999999999782E-4</v>
      </c>
      <c r="Q498" s="1">
        <f>(Occurrence!E$3-G498)^2</f>
        <v>9.9999999999977966E-9</v>
      </c>
      <c r="R498" s="1">
        <f>(Occurrence!F$3-H498)^2</f>
        <v>2.1374439999999998E-2</v>
      </c>
      <c r="S498" s="1">
        <f>(Occurrence!G$3-I498)^2</f>
        <v>0.16809999999999997</v>
      </c>
      <c r="T498" s="1">
        <f>(Occurrence!H$3-J498)^2</f>
        <v>0.64000000000000012</v>
      </c>
      <c r="U498" s="1">
        <f>(Occurrence!I$3-K498)^2</f>
        <v>0.77439999999999998</v>
      </c>
      <c r="V498" s="1">
        <f>(Occurrence!J$3-L498)^2</f>
        <v>0.15210000000000001</v>
      </c>
      <c r="W498" s="1">
        <f>(Occurrence!K$3-M498)^2</f>
        <v>0.29593600000000003</v>
      </c>
      <c r="X498" s="1">
        <f t="shared" si="85"/>
        <v>2.0525156501000001</v>
      </c>
      <c r="Z498" s="1">
        <f t="shared" si="86"/>
        <v>0</v>
      </c>
      <c r="AA498" s="1">
        <f t="shared" si="87"/>
        <v>0</v>
      </c>
      <c r="AB498" s="1">
        <f t="shared" si="88"/>
        <v>1</v>
      </c>
      <c r="AC498" s="1">
        <f t="shared" si="89"/>
        <v>1</v>
      </c>
      <c r="AD498" s="1">
        <f t="shared" si="90"/>
        <v>0</v>
      </c>
      <c r="AE498" s="1">
        <f t="shared" si="91"/>
        <v>0</v>
      </c>
      <c r="AF498" s="1">
        <f t="shared" si="92"/>
        <v>0</v>
      </c>
      <c r="AG498" s="1">
        <f t="shared" si="93"/>
        <v>0</v>
      </c>
      <c r="AH498" s="1">
        <f t="shared" si="94"/>
        <v>0</v>
      </c>
      <c r="AI498" s="1">
        <f t="shared" si="95"/>
        <v>0</v>
      </c>
      <c r="AJ498" s="1">
        <f>SUMXMY2(Z498:AI498, Occurrence!B$3:K$3)</f>
        <v>3</v>
      </c>
      <c r="AK498" s="1">
        <f t="shared" si="96"/>
        <v>7</v>
      </c>
    </row>
    <row r="499" spans="1:37">
      <c r="A499" s="1">
        <v>498</v>
      </c>
      <c r="B499" s="1">
        <v>4252497</v>
      </c>
      <c r="C499" s="6" t="s">
        <v>39</v>
      </c>
      <c r="D499" s="1">
        <v>0.05</v>
      </c>
      <c r="E499" s="1">
        <v>0.1</v>
      </c>
      <c r="F499" s="1">
        <v>0.3</v>
      </c>
      <c r="G499" s="1">
        <v>0.5</v>
      </c>
      <c r="H499" s="1">
        <v>0.45</v>
      </c>
      <c r="I499" s="1">
        <v>0.1</v>
      </c>
      <c r="J499" s="1">
        <v>0.05</v>
      </c>
      <c r="K499" s="1">
        <v>0.6</v>
      </c>
      <c r="L499" s="1">
        <v>0.95</v>
      </c>
      <c r="M499" s="1">
        <v>0.65</v>
      </c>
      <c r="N499" s="1">
        <f>(Occurrence!B$3-D499)^2</f>
        <v>2.5000000000000005E-3</v>
      </c>
      <c r="O499" s="1">
        <f>(Occurrence!C$3-E499)^2</f>
        <v>1.0000000000000002E-2</v>
      </c>
      <c r="P499" s="1">
        <f>(Occurrence!D$3-F499)^2</f>
        <v>0.48999999999999994</v>
      </c>
      <c r="Q499" s="1">
        <f>(Occurrence!E$3-G499)^2</f>
        <v>0.25</v>
      </c>
      <c r="R499" s="1">
        <f>(Occurrence!F$3-H499)^2</f>
        <v>0.20250000000000001</v>
      </c>
      <c r="S499" s="1">
        <f>(Occurrence!G$3-I499)^2</f>
        <v>1.0000000000000002E-2</v>
      </c>
      <c r="T499" s="1">
        <f>(Occurrence!H$3-J499)^2</f>
        <v>0.90249999999999997</v>
      </c>
      <c r="U499" s="1">
        <f>(Occurrence!I$3-K499)^2</f>
        <v>0.16000000000000003</v>
      </c>
      <c r="V499" s="1">
        <f>(Occurrence!J$3-L499)^2</f>
        <v>0.90249999999999997</v>
      </c>
      <c r="W499" s="1">
        <f>(Occurrence!K$3-M499)^2</f>
        <v>0.12249999999999998</v>
      </c>
      <c r="X499" s="1">
        <f t="shared" si="85"/>
        <v>3.0524999999999998</v>
      </c>
      <c r="Z499" s="1">
        <f t="shared" si="86"/>
        <v>0</v>
      </c>
      <c r="AA499" s="1">
        <f t="shared" si="87"/>
        <v>0</v>
      </c>
      <c r="AB499" s="1">
        <f t="shared" si="88"/>
        <v>0</v>
      </c>
      <c r="AC499" s="1">
        <f t="shared" si="89"/>
        <v>1</v>
      </c>
      <c r="AD499" s="1">
        <f t="shared" si="90"/>
        <v>0</v>
      </c>
      <c r="AE499" s="1">
        <f t="shared" si="91"/>
        <v>0</v>
      </c>
      <c r="AF499" s="1">
        <f t="shared" si="92"/>
        <v>0</v>
      </c>
      <c r="AG499" s="1">
        <f t="shared" si="93"/>
        <v>1</v>
      </c>
      <c r="AH499" s="1">
        <f t="shared" si="94"/>
        <v>1</v>
      </c>
      <c r="AI499" s="1">
        <f t="shared" si="95"/>
        <v>1</v>
      </c>
      <c r="AJ499" s="1">
        <f>SUMXMY2(Z499:AI499, Occurrence!B$3:K$3)</f>
        <v>3</v>
      </c>
      <c r="AK499" s="1">
        <f t="shared" si="96"/>
        <v>7</v>
      </c>
    </row>
    <row r="500" spans="1:37">
      <c r="A500" s="1">
        <v>499</v>
      </c>
      <c r="B500" s="1">
        <v>4252498</v>
      </c>
      <c r="C500" s="6" t="s">
        <v>39</v>
      </c>
      <c r="D500" s="1">
        <v>0.05</v>
      </c>
      <c r="E500" s="1">
        <v>0.08</v>
      </c>
      <c r="F500" s="1">
        <v>0.72</v>
      </c>
      <c r="G500" s="1">
        <v>0.9</v>
      </c>
      <c r="H500" s="1">
        <v>0.02</v>
      </c>
      <c r="I500" s="1">
        <v>0.35</v>
      </c>
      <c r="J500" s="1">
        <v>0.25</v>
      </c>
      <c r="K500" s="1">
        <v>0.63</v>
      </c>
      <c r="L500" s="1">
        <v>0.43</v>
      </c>
      <c r="M500" s="1">
        <v>0.2</v>
      </c>
      <c r="N500" s="1">
        <f>(Occurrence!B$3-D500)^2</f>
        <v>2.5000000000000005E-3</v>
      </c>
      <c r="O500" s="1">
        <f>(Occurrence!C$3-E500)^2</f>
        <v>6.4000000000000003E-3</v>
      </c>
      <c r="P500" s="1">
        <f>(Occurrence!D$3-F500)^2</f>
        <v>7.8400000000000011E-2</v>
      </c>
      <c r="Q500" s="1">
        <f>(Occurrence!E$3-G500)^2</f>
        <v>9.999999999999995E-3</v>
      </c>
      <c r="R500" s="1">
        <f>(Occurrence!F$3-H500)^2</f>
        <v>4.0000000000000002E-4</v>
      </c>
      <c r="S500" s="1">
        <f>(Occurrence!G$3-I500)^2</f>
        <v>0.12249999999999998</v>
      </c>
      <c r="T500" s="1">
        <f>(Occurrence!H$3-J500)^2</f>
        <v>0.5625</v>
      </c>
      <c r="U500" s="1">
        <f>(Occurrence!I$3-K500)^2</f>
        <v>0.13689999999999999</v>
      </c>
      <c r="V500" s="1">
        <f>(Occurrence!J$3-L500)^2</f>
        <v>0.18489999999999998</v>
      </c>
      <c r="W500" s="1">
        <f>(Occurrence!K$3-M500)^2</f>
        <v>0.64000000000000012</v>
      </c>
      <c r="X500" s="1">
        <f t="shared" si="85"/>
        <v>1.7445000000000002</v>
      </c>
      <c r="Z500" s="1">
        <f t="shared" si="86"/>
        <v>0</v>
      </c>
      <c r="AA500" s="1">
        <f t="shared" si="87"/>
        <v>0</v>
      </c>
      <c r="AB500" s="1">
        <f t="shared" si="88"/>
        <v>1</v>
      </c>
      <c r="AC500" s="1">
        <f t="shared" si="89"/>
        <v>1</v>
      </c>
      <c r="AD500" s="1">
        <f t="shared" si="90"/>
        <v>0</v>
      </c>
      <c r="AE500" s="1">
        <f t="shared" si="91"/>
        <v>0</v>
      </c>
      <c r="AF500" s="1">
        <f t="shared" si="92"/>
        <v>0</v>
      </c>
      <c r="AG500" s="1">
        <f t="shared" si="93"/>
        <v>1</v>
      </c>
      <c r="AH500" s="1">
        <f t="shared" si="94"/>
        <v>0</v>
      </c>
      <c r="AI500" s="1">
        <f t="shared" si="95"/>
        <v>0</v>
      </c>
      <c r="AJ500" s="1">
        <f>SUMXMY2(Z500:AI500, Occurrence!B$3:K$3)</f>
        <v>2</v>
      </c>
      <c r="AK500" s="1">
        <f t="shared" si="96"/>
        <v>8</v>
      </c>
    </row>
    <row r="501" spans="1:37">
      <c r="A501" s="1">
        <v>500</v>
      </c>
      <c r="B501" s="1">
        <v>4252499</v>
      </c>
      <c r="C501" s="6" t="s">
        <v>39</v>
      </c>
      <c r="D501" s="1">
        <v>0.08</v>
      </c>
      <c r="E501" s="1">
        <v>0.32</v>
      </c>
      <c r="F501" s="1">
        <v>0.88</v>
      </c>
      <c r="G501" s="1">
        <v>0.98</v>
      </c>
      <c r="H501" s="1">
        <v>0.04</v>
      </c>
      <c r="I501" s="1">
        <v>0.08</v>
      </c>
      <c r="J501" s="1">
        <v>0.57999999999999996</v>
      </c>
      <c r="K501" s="1">
        <v>0.88</v>
      </c>
      <c r="L501" s="1">
        <v>0.08</v>
      </c>
      <c r="M501" s="1">
        <v>0.5</v>
      </c>
      <c r="N501" s="1">
        <f>(Occurrence!B$3-D501)^2</f>
        <v>6.4000000000000003E-3</v>
      </c>
      <c r="O501" s="1">
        <f>(Occurrence!C$3-E501)^2</f>
        <v>0.1024</v>
      </c>
      <c r="P501" s="1">
        <f>(Occurrence!D$3-F501)^2</f>
        <v>1.44E-2</v>
      </c>
      <c r="Q501" s="1">
        <f>(Occurrence!E$3-G501)^2</f>
        <v>4.0000000000000072E-4</v>
      </c>
      <c r="R501" s="1">
        <f>(Occurrence!F$3-H501)^2</f>
        <v>1.6000000000000001E-3</v>
      </c>
      <c r="S501" s="1">
        <f>(Occurrence!G$3-I501)^2</f>
        <v>6.4000000000000003E-3</v>
      </c>
      <c r="T501" s="1">
        <f>(Occurrence!H$3-J501)^2</f>
        <v>0.17640000000000003</v>
      </c>
      <c r="U501" s="1">
        <f>(Occurrence!I$3-K501)^2</f>
        <v>1.44E-2</v>
      </c>
      <c r="V501" s="1">
        <f>(Occurrence!J$3-L501)^2</f>
        <v>6.4000000000000003E-3</v>
      </c>
      <c r="W501" s="1">
        <f>(Occurrence!K$3-M501)^2</f>
        <v>0.25</v>
      </c>
      <c r="X501" s="1">
        <f t="shared" si="85"/>
        <v>0.57880000000000009</v>
      </c>
      <c r="Z501" s="1">
        <f t="shared" si="86"/>
        <v>0</v>
      </c>
      <c r="AA501" s="1">
        <f t="shared" si="87"/>
        <v>0</v>
      </c>
      <c r="AB501" s="1">
        <f t="shared" si="88"/>
        <v>1</v>
      </c>
      <c r="AC501" s="1">
        <f t="shared" si="89"/>
        <v>1</v>
      </c>
      <c r="AD501" s="1">
        <f t="shared" si="90"/>
        <v>0</v>
      </c>
      <c r="AE501" s="1">
        <f t="shared" si="91"/>
        <v>0</v>
      </c>
      <c r="AF501" s="1">
        <f t="shared" si="92"/>
        <v>1</v>
      </c>
      <c r="AG501" s="1">
        <f t="shared" si="93"/>
        <v>1</v>
      </c>
      <c r="AH501" s="1">
        <f t="shared" si="94"/>
        <v>0</v>
      </c>
      <c r="AI501" s="1">
        <f t="shared" si="95"/>
        <v>1</v>
      </c>
      <c r="AJ501" s="1">
        <f>SUMXMY2(Z501:AI501, Occurrence!B$3:K$3)</f>
        <v>0</v>
      </c>
      <c r="AK501" s="1">
        <f t="shared" si="96"/>
        <v>10</v>
      </c>
    </row>
    <row r="502" spans="1:37">
      <c r="A502" s="1">
        <v>501</v>
      </c>
      <c r="B502" s="1">
        <v>4252500</v>
      </c>
      <c r="C502" s="6" t="s">
        <v>39</v>
      </c>
      <c r="D502" s="1">
        <v>0.5</v>
      </c>
      <c r="E502" s="1">
        <v>0.75</v>
      </c>
      <c r="F502" s="1">
        <v>0.75</v>
      </c>
      <c r="G502" s="1">
        <v>0.85</v>
      </c>
      <c r="H502" s="1">
        <v>0.8</v>
      </c>
      <c r="I502" s="1">
        <v>0.8</v>
      </c>
      <c r="J502" s="1">
        <v>0.6</v>
      </c>
      <c r="K502" s="1">
        <v>0.75</v>
      </c>
      <c r="L502" s="1">
        <v>0.7</v>
      </c>
      <c r="M502" s="1">
        <v>0.7</v>
      </c>
      <c r="N502" s="1">
        <f>(Occurrence!B$3-D502)^2</f>
        <v>0.25</v>
      </c>
      <c r="O502" s="1">
        <f>(Occurrence!C$3-E502)^2</f>
        <v>0.5625</v>
      </c>
      <c r="P502" s="1">
        <f>(Occurrence!D$3-F502)^2</f>
        <v>6.25E-2</v>
      </c>
      <c r="Q502" s="1">
        <f>(Occurrence!E$3-G502)^2</f>
        <v>2.2500000000000006E-2</v>
      </c>
      <c r="R502" s="1">
        <f>(Occurrence!F$3-H502)^2</f>
        <v>0.64000000000000012</v>
      </c>
      <c r="S502" s="1">
        <f>(Occurrence!G$3-I502)^2</f>
        <v>0.64000000000000012</v>
      </c>
      <c r="T502" s="1">
        <f>(Occurrence!H$3-J502)^2</f>
        <v>0.16000000000000003</v>
      </c>
      <c r="U502" s="1">
        <f>(Occurrence!I$3-K502)^2</f>
        <v>6.25E-2</v>
      </c>
      <c r="V502" s="1">
        <f>(Occurrence!J$3-L502)^2</f>
        <v>0.48999999999999994</v>
      </c>
      <c r="W502" s="1">
        <f>(Occurrence!K$3-M502)^2</f>
        <v>9.0000000000000024E-2</v>
      </c>
      <c r="X502" s="1">
        <f t="shared" si="85"/>
        <v>2.98</v>
      </c>
      <c r="Z502" s="1">
        <f t="shared" si="86"/>
        <v>1</v>
      </c>
      <c r="AA502" s="1">
        <f t="shared" si="87"/>
        <v>1</v>
      </c>
      <c r="AB502" s="1">
        <f t="shared" si="88"/>
        <v>1</v>
      </c>
      <c r="AC502" s="1">
        <f t="shared" si="89"/>
        <v>1</v>
      </c>
      <c r="AD502" s="1">
        <f t="shared" si="90"/>
        <v>1</v>
      </c>
      <c r="AE502" s="1">
        <f t="shared" si="91"/>
        <v>1</v>
      </c>
      <c r="AF502" s="1">
        <f t="shared" si="92"/>
        <v>1</v>
      </c>
      <c r="AG502" s="1">
        <f t="shared" si="93"/>
        <v>1</v>
      </c>
      <c r="AH502" s="1">
        <f t="shared" si="94"/>
        <v>1</v>
      </c>
      <c r="AI502" s="1">
        <f t="shared" si="95"/>
        <v>1</v>
      </c>
      <c r="AJ502" s="1">
        <f>SUMXMY2(Z502:AI502, Occurrence!B$3:K$3)</f>
        <v>5</v>
      </c>
      <c r="AK502" s="1">
        <f t="shared" si="96"/>
        <v>5</v>
      </c>
    </row>
    <row r="503" spans="1:37">
      <c r="A503" s="1">
        <v>502</v>
      </c>
      <c r="B503" s="1">
        <v>4252501</v>
      </c>
      <c r="C503" s="6" t="s">
        <v>39</v>
      </c>
      <c r="D503" s="1">
        <v>1E-4</v>
      </c>
      <c r="E503" s="1">
        <v>1E-3</v>
      </c>
      <c r="F503" s="1">
        <v>0.98</v>
      </c>
      <c r="G503" s="1">
        <v>0.99</v>
      </c>
      <c r="H503" s="1">
        <v>0.1</v>
      </c>
      <c r="I503" s="1">
        <v>0.05</v>
      </c>
      <c r="J503" s="1">
        <v>0.04</v>
      </c>
      <c r="K503" s="1">
        <v>0.01</v>
      </c>
      <c r="L503" s="1">
        <v>0.1</v>
      </c>
      <c r="M503" s="1">
        <v>0.15</v>
      </c>
      <c r="N503" s="1">
        <f>(Occurrence!B$3-D503)^2</f>
        <v>1E-8</v>
      </c>
      <c r="O503" s="1">
        <f>(Occurrence!C$3-E503)^2</f>
        <v>9.9999999999999995E-7</v>
      </c>
      <c r="P503" s="1">
        <f>(Occurrence!D$3-F503)^2</f>
        <v>4.0000000000000072E-4</v>
      </c>
      <c r="Q503" s="1">
        <f>(Occurrence!E$3-G503)^2</f>
        <v>1.0000000000000018E-4</v>
      </c>
      <c r="R503" s="1">
        <f>(Occurrence!F$3-H503)^2</f>
        <v>1.0000000000000002E-2</v>
      </c>
      <c r="S503" s="1">
        <f>(Occurrence!G$3-I503)^2</f>
        <v>2.5000000000000005E-3</v>
      </c>
      <c r="T503" s="1">
        <f>(Occurrence!H$3-J503)^2</f>
        <v>0.92159999999999997</v>
      </c>
      <c r="U503" s="1">
        <f>(Occurrence!I$3-K503)^2</f>
        <v>0.98009999999999997</v>
      </c>
      <c r="V503" s="1">
        <f>(Occurrence!J$3-L503)^2</f>
        <v>1.0000000000000002E-2</v>
      </c>
      <c r="W503" s="1">
        <f>(Occurrence!K$3-M503)^2</f>
        <v>0.72249999999999992</v>
      </c>
      <c r="X503" s="1">
        <f t="shared" si="85"/>
        <v>2.6472010099999999</v>
      </c>
      <c r="Z503" s="1">
        <f t="shared" si="86"/>
        <v>0</v>
      </c>
      <c r="AA503" s="1">
        <f t="shared" si="87"/>
        <v>0</v>
      </c>
      <c r="AB503" s="1">
        <f t="shared" si="88"/>
        <v>1</v>
      </c>
      <c r="AC503" s="1">
        <f t="shared" si="89"/>
        <v>1</v>
      </c>
      <c r="AD503" s="1">
        <f t="shared" si="90"/>
        <v>0</v>
      </c>
      <c r="AE503" s="1">
        <f t="shared" si="91"/>
        <v>0</v>
      </c>
      <c r="AF503" s="1">
        <f t="shared" si="92"/>
        <v>0</v>
      </c>
      <c r="AG503" s="1">
        <f t="shared" si="93"/>
        <v>0</v>
      </c>
      <c r="AH503" s="1">
        <f t="shared" si="94"/>
        <v>0</v>
      </c>
      <c r="AI503" s="1">
        <f t="shared" si="95"/>
        <v>0</v>
      </c>
      <c r="AJ503" s="1">
        <f>SUMXMY2(Z503:AI503, Occurrence!B$3:K$3)</f>
        <v>3</v>
      </c>
      <c r="AK503" s="1">
        <f t="shared" si="96"/>
        <v>7</v>
      </c>
    </row>
    <row r="504" spans="1:37">
      <c r="A504" s="1">
        <v>503</v>
      </c>
      <c r="B504" s="1">
        <v>4252502</v>
      </c>
      <c r="C504" s="6" t="s">
        <v>39</v>
      </c>
      <c r="D504" s="1">
        <v>1E-3</v>
      </c>
      <c r="E504" s="1">
        <v>0.25</v>
      </c>
      <c r="F504" s="1">
        <v>1</v>
      </c>
      <c r="G504" s="1">
        <v>0.25</v>
      </c>
      <c r="H504" s="1">
        <v>0.5</v>
      </c>
      <c r="I504" s="1">
        <v>0</v>
      </c>
      <c r="J504" s="1">
        <v>1</v>
      </c>
      <c r="K504" s="1">
        <v>1</v>
      </c>
      <c r="L504" s="1">
        <v>1E-3</v>
      </c>
      <c r="M504" s="1">
        <v>0.99</v>
      </c>
      <c r="N504" s="1">
        <f>(Occurrence!B$3-D504)^2</f>
        <v>9.9999999999999995E-7</v>
      </c>
      <c r="O504" s="1">
        <f>(Occurrence!C$3-E504)^2</f>
        <v>6.25E-2</v>
      </c>
      <c r="P504" s="1">
        <f>(Occurrence!D$3-F504)^2</f>
        <v>0</v>
      </c>
      <c r="Q504" s="1">
        <f>(Occurrence!E$3-G504)^2</f>
        <v>0.5625</v>
      </c>
      <c r="R504" s="1">
        <f>(Occurrence!F$3-H504)^2</f>
        <v>0.25</v>
      </c>
      <c r="S504" s="1">
        <f>(Occurrence!G$3-I504)^2</f>
        <v>0</v>
      </c>
      <c r="T504" s="1">
        <f>(Occurrence!H$3-J504)^2</f>
        <v>0</v>
      </c>
      <c r="U504" s="1">
        <f>(Occurrence!I$3-K504)^2</f>
        <v>0</v>
      </c>
      <c r="V504" s="1">
        <f>(Occurrence!J$3-L504)^2</f>
        <v>9.9999999999999995E-7</v>
      </c>
      <c r="W504" s="1">
        <f>(Occurrence!K$3-M504)^2</f>
        <v>1.0000000000000018E-4</v>
      </c>
      <c r="X504" s="1">
        <f t="shared" si="85"/>
        <v>0.87510200000000005</v>
      </c>
      <c r="Z504" s="1">
        <f t="shared" si="86"/>
        <v>0</v>
      </c>
      <c r="AA504" s="1">
        <f t="shared" si="87"/>
        <v>0</v>
      </c>
      <c r="AB504" s="1">
        <f t="shared" si="88"/>
        <v>1</v>
      </c>
      <c r="AC504" s="1">
        <f t="shared" si="89"/>
        <v>0</v>
      </c>
      <c r="AD504" s="1">
        <f t="shared" si="90"/>
        <v>1</v>
      </c>
      <c r="AE504" s="1">
        <f t="shared" si="91"/>
        <v>0</v>
      </c>
      <c r="AF504" s="1">
        <f t="shared" si="92"/>
        <v>1</v>
      </c>
      <c r="AG504" s="1">
        <f t="shared" si="93"/>
        <v>1</v>
      </c>
      <c r="AH504" s="1">
        <f t="shared" si="94"/>
        <v>0</v>
      </c>
      <c r="AI504" s="1">
        <f t="shared" si="95"/>
        <v>1</v>
      </c>
      <c r="AJ504" s="1">
        <f>SUMXMY2(Z504:AI504, Occurrence!B$3:K$3)</f>
        <v>2</v>
      </c>
      <c r="AK504" s="1">
        <f t="shared" si="96"/>
        <v>8</v>
      </c>
    </row>
    <row r="505" spans="1:37">
      <c r="A505" s="1">
        <v>504</v>
      </c>
      <c r="B505" s="1">
        <v>4252503</v>
      </c>
      <c r="C505" s="6" t="s">
        <v>39</v>
      </c>
      <c r="D505" s="1">
        <v>7.0000000000000007E-2</v>
      </c>
      <c r="E505" s="1">
        <v>0.14000000000000001</v>
      </c>
      <c r="F505" s="1">
        <v>0.45</v>
      </c>
      <c r="G505" s="1">
        <v>0.85</v>
      </c>
      <c r="H505" s="1">
        <v>0.55000000000000004</v>
      </c>
      <c r="I505" s="1">
        <v>0.8</v>
      </c>
      <c r="J505" s="1">
        <v>0.3</v>
      </c>
      <c r="K505" s="1">
        <v>0.65</v>
      </c>
      <c r="L505" s="1">
        <v>0.85</v>
      </c>
      <c r="M505" s="1">
        <v>0.5</v>
      </c>
      <c r="N505" s="1">
        <f>(Occurrence!B$3-D505)^2</f>
        <v>4.9000000000000007E-3</v>
      </c>
      <c r="O505" s="1">
        <f>(Occurrence!C$3-E505)^2</f>
        <v>1.9600000000000003E-2</v>
      </c>
      <c r="P505" s="1">
        <f>(Occurrence!D$3-F505)^2</f>
        <v>0.30250000000000005</v>
      </c>
      <c r="Q505" s="1">
        <f>(Occurrence!E$3-G505)^2</f>
        <v>2.2500000000000006E-2</v>
      </c>
      <c r="R505" s="1">
        <f>(Occurrence!F$3-H505)^2</f>
        <v>0.30250000000000005</v>
      </c>
      <c r="S505" s="1">
        <f>(Occurrence!G$3-I505)^2</f>
        <v>0.64000000000000012</v>
      </c>
      <c r="T505" s="1">
        <f>(Occurrence!H$3-J505)^2</f>
        <v>0.48999999999999994</v>
      </c>
      <c r="U505" s="1">
        <f>(Occurrence!I$3-K505)^2</f>
        <v>0.12249999999999998</v>
      </c>
      <c r="V505" s="1">
        <f>(Occurrence!J$3-L505)^2</f>
        <v>0.72249999999999992</v>
      </c>
      <c r="W505" s="1">
        <f>(Occurrence!K$3-M505)^2</f>
        <v>0.25</v>
      </c>
      <c r="X505" s="1">
        <f t="shared" si="85"/>
        <v>2.8770000000000002</v>
      </c>
      <c r="Z505" s="1">
        <f t="shared" si="86"/>
        <v>0</v>
      </c>
      <c r="AA505" s="1">
        <f t="shared" si="87"/>
        <v>0</v>
      </c>
      <c r="AB505" s="1">
        <f t="shared" si="88"/>
        <v>0</v>
      </c>
      <c r="AC505" s="1">
        <f t="shared" si="89"/>
        <v>1</v>
      </c>
      <c r="AD505" s="1">
        <f t="shared" si="90"/>
        <v>1</v>
      </c>
      <c r="AE505" s="1">
        <f t="shared" si="91"/>
        <v>1</v>
      </c>
      <c r="AF505" s="1">
        <f t="shared" si="92"/>
        <v>0</v>
      </c>
      <c r="AG505" s="1">
        <f t="shared" si="93"/>
        <v>1</v>
      </c>
      <c r="AH505" s="1">
        <f t="shared" si="94"/>
        <v>1</v>
      </c>
      <c r="AI505" s="1">
        <f t="shared" si="95"/>
        <v>1</v>
      </c>
      <c r="AJ505" s="1">
        <f>SUMXMY2(Z505:AI505, Occurrence!B$3:K$3)</f>
        <v>5</v>
      </c>
      <c r="AK505" s="1">
        <f t="shared" si="96"/>
        <v>5</v>
      </c>
    </row>
    <row r="506" spans="1:37">
      <c r="A506" s="1">
        <v>505</v>
      </c>
      <c r="B506" s="1">
        <v>4252504</v>
      </c>
      <c r="C506" s="6" t="s">
        <v>39</v>
      </c>
      <c r="D506" s="1">
        <v>0.03</v>
      </c>
      <c r="E506" s="1">
        <v>0.06</v>
      </c>
      <c r="F506" s="1">
        <v>0.09</v>
      </c>
      <c r="G506" s="1">
        <v>0.93</v>
      </c>
      <c r="H506" s="1">
        <v>0.02</v>
      </c>
      <c r="I506" s="1">
        <v>0.27</v>
      </c>
      <c r="J506" s="1">
        <v>0.3</v>
      </c>
      <c r="K506" s="1">
        <v>0.04</v>
      </c>
      <c r="L506" s="1">
        <v>0.45</v>
      </c>
      <c r="M506" s="1">
        <v>0.32</v>
      </c>
      <c r="N506" s="1">
        <f>(Occurrence!B$3-D506)^2</f>
        <v>8.9999999999999998E-4</v>
      </c>
      <c r="O506" s="1">
        <f>(Occurrence!C$3-E506)^2</f>
        <v>3.5999999999999999E-3</v>
      </c>
      <c r="P506" s="1">
        <f>(Occurrence!D$3-F506)^2</f>
        <v>0.82810000000000006</v>
      </c>
      <c r="Q506" s="1">
        <f>(Occurrence!E$3-G506)^2</f>
        <v>4.8999999999999929E-3</v>
      </c>
      <c r="R506" s="1">
        <f>(Occurrence!F$3-H506)^2</f>
        <v>4.0000000000000002E-4</v>
      </c>
      <c r="S506" s="1">
        <f>(Occurrence!G$3-I506)^2</f>
        <v>7.2900000000000006E-2</v>
      </c>
      <c r="T506" s="1">
        <f>(Occurrence!H$3-J506)^2</f>
        <v>0.48999999999999994</v>
      </c>
      <c r="U506" s="1">
        <f>(Occurrence!I$3-K506)^2</f>
        <v>0.92159999999999997</v>
      </c>
      <c r="V506" s="1">
        <f>(Occurrence!J$3-L506)^2</f>
        <v>0.20250000000000001</v>
      </c>
      <c r="W506" s="1">
        <f>(Occurrence!K$3-M506)^2</f>
        <v>0.46239999999999992</v>
      </c>
      <c r="X506" s="1">
        <f t="shared" si="85"/>
        <v>2.9873000000000003</v>
      </c>
      <c r="Z506" s="1">
        <f t="shared" si="86"/>
        <v>0</v>
      </c>
      <c r="AA506" s="1">
        <f t="shared" si="87"/>
        <v>0</v>
      </c>
      <c r="AB506" s="1">
        <f t="shared" si="88"/>
        <v>0</v>
      </c>
      <c r="AC506" s="1">
        <f t="shared" si="89"/>
        <v>1</v>
      </c>
      <c r="AD506" s="1">
        <f t="shared" si="90"/>
        <v>0</v>
      </c>
      <c r="AE506" s="1">
        <f t="shared" si="91"/>
        <v>0</v>
      </c>
      <c r="AF506" s="1">
        <f t="shared" si="92"/>
        <v>0</v>
      </c>
      <c r="AG506" s="1">
        <f t="shared" si="93"/>
        <v>0</v>
      </c>
      <c r="AH506" s="1">
        <f t="shared" si="94"/>
        <v>0</v>
      </c>
      <c r="AI506" s="1">
        <f t="shared" si="95"/>
        <v>0</v>
      </c>
      <c r="AJ506" s="1">
        <f>SUMXMY2(Z506:AI506, Occurrence!B$3:K$3)</f>
        <v>4</v>
      </c>
      <c r="AK506" s="1">
        <f t="shared" si="96"/>
        <v>6</v>
      </c>
    </row>
    <row r="507" spans="1:37">
      <c r="A507" s="1">
        <v>506</v>
      </c>
      <c r="B507" s="1">
        <v>4252505</v>
      </c>
      <c r="C507" s="6" t="s">
        <v>39</v>
      </c>
      <c r="D507" s="1">
        <v>0.61</v>
      </c>
      <c r="E507" s="1">
        <v>0.22</v>
      </c>
      <c r="F507" s="1">
        <v>0.71</v>
      </c>
      <c r="G507" s="1">
        <v>0.13</v>
      </c>
      <c r="H507" s="1">
        <v>0.47</v>
      </c>
      <c r="I507" s="1">
        <v>0.81</v>
      </c>
      <c r="J507" s="1">
        <v>0.41</v>
      </c>
      <c r="K507" s="1">
        <v>0.77</v>
      </c>
      <c r="L507" s="1">
        <v>0.11</v>
      </c>
      <c r="M507" s="1">
        <v>0.57999999999999996</v>
      </c>
      <c r="N507" s="1">
        <f>(Occurrence!B$3-D507)^2</f>
        <v>0.37209999999999999</v>
      </c>
      <c r="O507" s="1">
        <f>(Occurrence!C$3-E507)^2</f>
        <v>4.8399999999999999E-2</v>
      </c>
      <c r="P507" s="1">
        <f>(Occurrence!D$3-F507)^2</f>
        <v>8.4100000000000022E-2</v>
      </c>
      <c r="Q507" s="1">
        <f>(Occurrence!E$3-G507)^2</f>
        <v>0.75690000000000002</v>
      </c>
      <c r="R507" s="1">
        <f>(Occurrence!F$3-H507)^2</f>
        <v>0.22089999999999999</v>
      </c>
      <c r="S507" s="1">
        <f>(Occurrence!G$3-I507)^2</f>
        <v>0.65610000000000013</v>
      </c>
      <c r="T507" s="1">
        <f>(Occurrence!H$3-J507)^2</f>
        <v>0.34810000000000008</v>
      </c>
      <c r="U507" s="1">
        <f>(Occurrence!I$3-K507)^2</f>
        <v>5.2899999999999989E-2</v>
      </c>
      <c r="V507" s="1">
        <f>(Occurrence!J$3-L507)^2</f>
        <v>1.21E-2</v>
      </c>
      <c r="W507" s="1">
        <f>(Occurrence!K$3-M507)^2</f>
        <v>0.17640000000000003</v>
      </c>
      <c r="X507" s="1">
        <f t="shared" si="85"/>
        <v>2.7280000000000006</v>
      </c>
      <c r="Z507" s="1">
        <f t="shared" si="86"/>
        <v>1</v>
      </c>
      <c r="AA507" s="1">
        <f t="shared" si="87"/>
        <v>0</v>
      </c>
      <c r="AB507" s="1">
        <f t="shared" si="88"/>
        <v>1</v>
      </c>
      <c r="AC507" s="1">
        <f t="shared" si="89"/>
        <v>0</v>
      </c>
      <c r="AD507" s="1">
        <f t="shared" si="90"/>
        <v>0</v>
      </c>
      <c r="AE507" s="1">
        <f t="shared" si="91"/>
        <v>1</v>
      </c>
      <c r="AF507" s="1">
        <f t="shared" si="92"/>
        <v>0</v>
      </c>
      <c r="AG507" s="1">
        <f t="shared" si="93"/>
        <v>1</v>
      </c>
      <c r="AH507" s="1">
        <f t="shared" si="94"/>
        <v>0</v>
      </c>
      <c r="AI507" s="1">
        <f t="shared" si="95"/>
        <v>1</v>
      </c>
      <c r="AJ507" s="1">
        <f>SUMXMY2(Z507:AI507, Occurrence!B$3:K$3)</f>
        <v>4</v>
      </c>
      <c r="AK507" s="1">
        <f t="shared" si="96"/>
        <v>6</v>
      </c>
    </row>
    <row r="508" spans="1:37">
      <c r="A508" s="1">
        <v>507</v>
      </c>
      <c r="B508" s="1">
        <v>4252506</v>
      </c>
      <c r="C508" s="6" t="s">
        <v>39</v>
      </c>
      <c r="D508" s="1">
        <v>0.5</v>
      </c>
      <c r="E508" s="1">
        <v>0.5</v>
      </c>
      <c r="F508" s="1">
        <v>0.7</v>
      </c>
      <c r="G508" s="1">
        <v>0.9</v>
      </c>
      <c r="H508" s="1">
        <v>0.7</v>
      </c>
      <c r="I508" s="1">
        <v>0.99</v>
      </c>
      <c r="J508" s="1">
        <v>0.6</v>
      </c>
      <c r="K508" s="1">
        <v>0.67</v>
      </c>
      <c r="L508" s="1">
        <v>0.87</v>
      </c>
      <c r="M508" s="1">
        <v>0.5</v>
      </c>
      <c r="N508" s="1">
        <f>(Occurrence!B$3-D508)^2</f>
        <v>0.25</v>
      </c>
      <c r="O508" s="1">
        <f>(Occurrence!C$3-E508)^2</f>
        <v>0.25</v>
      </c>
      <c r="P508" s="1">
        <f>(Occurrence!D$3-F508)^2</f>
        <v>9.0000000000000024E-2</v>
      </c>
      <c r="Q508" s="1">
        <f>(Occurrence!E$3-G508)^2</f>
        <v>9.999999999999995E-3</v>
      </c>
      <c r="R508" s="1">
        <f>(Occurrence!F$3-H508)^2</f>
        <v>0.48999999999999994</v>
      </c>
      <c r="S508" s="1">
        <f>(Occurrence!G$3-I508)^2</f>
        <v>0.98009999999999997</v>
      </c>
      <c r="T508" s="1">
        <f>(Occurrence!H$3-J508)^2</f>
        <v>0.16000000000000003</v>
      </c>
      <c r="U508" s="1">
        <f>(Occurrence!I$3-K508)^2</f>
        <v>0.10889999999999997</v>
      </c>
      <c r="V508" s="1">
        <f>(Occurrence!J$3-L508)^2</f>
        <v>0.75690000000000002</v>
      </c>
      <c r="W508" s="1">
        <f>(Occurrence!K$3-M508)^2</f>
        <v>0.25</v>
      </c>
      <c r="X508" s="1">
        <f t="shared" si="85"/>
        <v>3.3458999999999999</v>
      </c>
      <c r="Z508" s="1">
        <f t="shared" si="86"/>
        <v>1</v>
      </c>
      <c r="AA508" s="1">
        <f t="shared" si="87"/>
        <v>1</v>
      </c>
      <c r="AB508" s="1">
        <f t="shared" si="88"/>
        <v>1</v>
      </c>
      <c r="AC508" s="1">
        <f t="shared" si="89"/>
        <v>1</v>
      </c>
      <c r="AD508" s="1">
        <f t="shared" si="90"/>
        <v>1</v>
      </c>
      <c r="AE508" s="1">
        <f t="shared" si="91"/>
        <v>1</v>
      </c>
      <c r="AF508" s="1">
        <f t="shared" si="92"/>
        <v>1</v>
      </c>
      <c r="AG508" s="1">
        <f t="shared" si="93"/>
        <v>1</v>
      </c>
      <c r="AH508" s="1">
        <f t="shared" si="94"/>
        <v>1</v>
      </c>
      <c r="AI508" s="1">
        <f t="shared" si="95"/>
        <v>1</v>
      </c>
      <c r="AJ508" s="1">
        <f>SUMXMY2(Z508:AI508, Occurrence!B$3:K$3)</f>
        <v>5</v>
      </c>
      <c r="AK508" s="1">
        <f t="shared" si="96"/>
        <v>5</v>
      </c>
    </row>
    <row r="509" spans="1:37">
      <c r="A509" s="1">
        <v>508</v>
      </c>
      <c r="B509" s="1">
        <v>4252507</v>
      </c>
      <c r="C509" s="6" t="s">
        <v>40</v>
      </c>
      <c r="D509" s="1">
        <v>0.08</v>
      </c>
      <c r="E509" s="1">
        <v>0.16</v>
      </c>
      <c r="F509" s="1">
        <v>0.92</v>
      </c>
      <c r="G509" s="1">
        <v>0.84</v>
      </c>
      <c r="H509" s="1">
        <v>1</v>
      </c>
      <c r="I509" s="1">
        <v>0.5</v>
      </c>
      <c r="J509" s="1">
        <v>0.15</v>
      </c>
      <c r="K509" s="1">
        <v>0.5</v>
      </c>
      <c r="L509" s="1">
        <v>0.51</v>
      </c>
      <c r="M509" s="1">
        <v>0.34</v>
      </c>
      <c r="N509" s="1">
        <f>(Occurrence!B$3-D509)^2</f>
        <v>6.4000000000000003E-3</v>
      </c>
      <c r="O509" s="1">
        <f>(Occurrence!C$3-E509)^2</f>
        <v>2.5600000000000001E-2</v>
      </c>
      <c r="P509" s="1">
        <f>(Occurrence!D$3-F509)^2</f>
        <v>6.3999999999999934E-3</v>
      </c>
      <c r="Q509" s="1">
        <f>(Occurrence!E$3-G509)^2</f>
        <v>2.5600000000000012E-2</v>
      </c>
      <c r="R509" s="1">
        <f>(Occurrence!F$3-H509)^2</f>
        <v>1</v>
      </c>
      <c r="S509" s="1">
        <f>(Occurrence!G$3-I509)^2</f>
        <v>0.25</v>
      </c>
      <c r="T509" s="1">
        <f>(Occurrence!H$3-J509)^2</f>
        <v>0.72249999999999992</v>
      </c>
      <c r="U509" s="1">
        <f>(Occurrence!I$3-K509)^2</f>
        <v>0.25</v>
      </c>
      <c r="V509" s="1">
        <f>(Occurrence!J$3-L509)^2</f>
        <v>0.2601</v>
      </c>
      <c r="W509" s="1">
        <f>(Occurrence!K$3-M509)^2</f>
        <v>0.43559999999999988</v>
      </c>
      <c r="X509" s="1">
        <f t="shared" si="85"/>
        <v>2.9822000000000002</v>
      </c>
      <c r="Z509" s="1">
        <f t="shared" si="86"/>
        <v>0</v>
      </c>
      <c r="AA509" s="1">
        <f t="shared" si="87"/>
        <v>0</v>
      </c>
      <c r="AB509" s="1">
        <f t="shared" si="88"/>
        <v>1</v>
      </c>
      <c r="AC509" s="1">
        <f t="shared" si="89"/>
        <v>1</v>
      </c>
      <c r="AD509" s="1">
        <f t="shared" si="90"/>
        <v>1</v>
      </c>
      <c r="AE509" s="1">
        <f t="shared" si="91"/>
        <v>1</v>
      </c>
      <c r="AF509" s="1">
        <f t="shared" si="92"/>
        <v>0</v>
      </c>
      <c r="AG509" s="1">
        <f t="shared" si="93"/>
        <v>1</v>
      </c>
      <c r="AH509" s="1">
        <f t="shared" si="94"/>
        <v>1</v>
      </c>
      <c r="AI509" s="1">
        <f t="shared" si="95"/>
        <v>0</v>
      </c>
      <c r="AJ509" s="1">
        <f>SUMXMY2(Z509:AI509, Occurrence!B$3:K$3)</f>
        <v>5</v>
      </c>
      <c r="AK509" s="1">
        <f t="shared" si="96"/>
        <v>5</v>
      </c>
    </row>
    <row r="510" spans="1:37">
      <c r="A510" s="1">
        <v>509</v>
      </c>
      <c r="B510" s="1">
        <v>4252508</v>
      </c>
      <c r="C510" s="6" t="s">
        <v>40</v>
      </c>
      <c r="D510" s="1">
        <v>0.18</v>
      </c>
      <c r="E510" s="1">
        <v>0.3</v>
      </c>
      <c r="F510" s="1">
        <v>0.1</v>
      </c>
      <c r="G510" s="1">
        <v>0.4</v>
      </c>
      <c r="H510" s="1">
        <v>0.2</v>
      </c>
      <c r="I510" s="1">
        <v>0.6</v>
      </c>
      <c r="J510" s="1">
        <v>0.1</v>
      </c>
      <c r="K510" s="1">
        <v>0.1</v>
      </c>
      <c r="L510" s="1">
        <v>0.8</v>
      </c>
      <c r="M510" s="1">
        <v>0.6</v>
      </c>
      <c r="N510" s="1">
        <f>(Occurrence!B$3-D510)^2</f>
        <v>3.2399999999999998E-2</v>
      </c>
      <c r="O510" s="1">
        <f>(Occurrence!C$3-E510)^2</f>
        <v>0.09</v>
      </c>
      <c r="P510" s="1">
        <f>(Occurrence!D$3-F510)^2</f>
        <v>0.81</v>
      </c>
      <c r="Q510" s="1">
        <f>(Occurrence!E$3-G510)^2</f>
        <v>0.36</v>
      </c>
      <c r="R510" s="1">
        <f>(Occurrence!F$3-H510)^2</f>
        <v>4.0000000000000008E-2</v>
      </c>
      <c r="S510" s="1">
        <f>(Occurrence!G$3-I510)^2</f>
        <v>0.36</v>
      </c>
      <c r="T510" s="1">
        <f>(Occurrence!H$3-J510)^2</f>
        <v>0.81</v>
      </c>
      <c r="U510" s="1">
        <f>(Occurrence!I$3-K510)^2</f>
        <v>0.81</v>
      </c>
      <c r="V510" s="1">
        <f>(Occurrence!J$3-L510)^2</f>
        <v>0.64000000000000012</v>
      </c>
      <c r="W510" s="1">
        <f>(Occurrence!K$3-M510)^2</f>
        <v>0.16000000000000003</v>
      </c>
      <c r="X510" s="1">
        <f t="shared" si="85"/>
        <v>4.1124000000000001</v>
      </c>
      <c r="Z510" s="1">
        <f t="shared" si="86"/>
        <v>0</v>
      </c>
      <c r="AA510" s="1">
        <f t="shared" si="87"/>
        <v>0</v>
      </c>
      <c r="AB510" s="1">
        <f t="shared" si="88"/>
        <v>0</v>
      </c>
      <c r="AC510" s="1">
        <f t="shared" si="89"/>
        <v>0</v>
      </c>
      <c r="AD510" s="1">
        <f t="shared" si="90"/>
        <v>0</v>
      </c>
      <c r="AE510" s="1">
        <f t="shared" si="91"/>
        <v>1</v>
      </c>
      <c r="AF510" s="1">
        <f t="shared" si="92"/>
        <v>0</v>
      </c>
      <c r="AG510" s="1">
        <f t="shared" si="93"/>
        <v>0</v>
      </c>
      <c r="AH510" s="1">
        <f t="shared" si="94"/>
        <v>1</v>
      </c>
      <c r="AI510" s="1">
        <f t="shared" si="95"/>
        <v>1</v>
      </c>
      <c r="AJ510" s="1">
        <f>SUMXMY2(Z510:AI510, Occurrence!B$3:K$3)</f>
        <v>6</v>
      </c>
      <c r="AK510" s="1">
        <f t="shared" si="96"/>
        <v>4</v>
      </c>
    </row>
    <row r="511" spans="1:37">
      <c r="A511" s="1">
        <v>510</v>
      </c>
      <c r="B511" s="1">
        <v>4252509</v>
      </c>
      <c r="C511" s="6" t="s">
        <v>40</v>
      </c>
      <c r="D511" s="1">
        <v>0.6</v>
      </c>
      <c r="E511" s="1">
        <v>0.8</v>
      </c>
      <c r="F511" s="1">
        <v>0.6</v>
      </c>
      <c r="G511" s="1">
        <v>0.8</v>
      </c>
      <c r="H511" s="1">
        <v>0.6</v>
      </c>
      <c r="I511" s="1">
        <v>0.3</v>
      </c>
      <c r="J511" s="1">
        <v>0.6</v>
      </c>
      <c r="K511" s="1">
        <v>0.5</v>
      </c>
      <c r="L511" s="1">
        <v>0.8</v>
      </c>
      <c r="M511" s="1">
        <v>0.6</v>
      </c>
      <c r="N511" s="1">
        <f>(Occurrence!B$3-D511)^2</f>
        <v>0.36</v>
      </c>
      <c r="O511" s="1">
        <f>(Occurrence!C$3-E511)^2</f>
        <v>0.64000000000000012</v>
      </c>
      <c r="P511" s="1">
        <f>(Occurrence!D$3-F511)^2</f>
        <v>0.16000000000000003</v>
      </c>
      <c r="Q511" s="1">
        <f>(Occurrence!E$3-G511)^2</f>
        <v>3.999999999999998E-2</v>
      </c>
      <c r="R511" s="1">
        <f>(Occurrence!F$3-H511)^2</f>
        <v>0.36</v>
      </c>
      <c r="S511" s="1">
        <f>(Occurrence!G$3-I511)^2</f>
        <v>0.09</v>
      </c>
      <c r="T511" s="1">
        <f>(Occurrence!H$3-J511)^2</f>
        <v>0.16000000000000003</v>
      </c>
      <c r="U511" s="1">
        <f>(Occurrence!I$3-K511)^2</f>
        <v>0.25</v>
      </c>
      <c r="V511" s="1">
        <f>(Occurrence!J$3-L511)^2</f>
        <v>0.64000000000000012</v>
      </c>
      <c r="W511" s="1">
        <f>(Occurrence!K$3-M511)^2</f>
        <v>0.16000000000000003</v>
      </c>
      <c r="X511" s="1">
        <f t="shared" si="85"/>
        <v>2.8600000000000003</v>
      </c>
      <c r="Z511" s="1">
        <f t="shared" si="86"/>
        <v>1</v>
      </c>
      <c r="AA511" s="1">
        <f t="shared" si="87"/>
        <v>1</v>
      </c>
      <c r="AB511" s="1">
        <f t="shared" si="88"/>
        <v>1</v>
      </c>
      <c r="AC511" s="1">
        <f t="shared" si="89"/>
        <v>1</v>
      </c>
      <c r="AD511" s="1">
        <f t="shared" si="90"/>
        <v>1</v>
      </c>
      <c r="AE511" s="1">
        <f t="shared" si="91"/>
        <v>0</v>
      </c>
      <c r="AF511" s="1">
        <f t="shared" si="92"/>
        <v>1</v>
      </c>
      <c r="AG511" s="1">
        <f t="shared" si="93"/>
        <v>1</v>
      </c>
      <c r="AH511" s="1">
        <f t="shared" si="94"/>
        <v>1</v>
      </c>
      <c r="AI511" s="1">
        <f t="shared" si="95"/>
        <v>1</v>
      </c>
      <c r="AJ511" s="1">
        <f>SUMXMY2(Z511:AI511, Occurrence!B$3:K$3)</f>
        <v>4</v>
      </c>
      <c r="AK511" s="1">
        <f t="shared" si="96"/>
        <v>6</v>
      </c>
    </row>
    <row r="512" spans="1:37">
      <c r="A512" s="1">
        <v>511</v>
      </c>
      <c r="B512" s="1">
        <v>4252510</v>
      </c>
      <c r="C512" s="6" t="s">
        <v>40</v>
      </c>
      <c r="D512" s="1">
        <v>0.14000000000000001</v>
      </c>
      <c r="E512" s="1">
        <v>0.86</v>
      </c>
      <c r="F512" s="1">
        <v>0.6</v>
      </c>
      <c r="G512" s="1">
        <v>0.4</v>
      </c>
      <c r="H512" s="1">
        <v>0.8</v>
      </c>
      <c r="I512" s="1">
        <v>0.7</v>
      </c>
      <c r="J512" s="1">
        <v>0.5</v>
      </c>
      <c r="K512" s="1">
        <v>0.7</v>
      </c>
      <c r="L512" s="1">
        <v>0.1</v>
      </c>
      <c r="M512" s="1">
        <v>0.6</v>
      </c>
      <c r="N512" s="1">
        <f>(Occurrence!B$3-D512)^2</f>
        <v>1.9600000000000003E-2</v>
      </c>
      <c r="O512" s="1">
        <f>(Occurrence!C$3-E512)^2</f>
        <v>0.73959999999999992</v>
      </c>
      <c r="P512" s="1">
        <f>(Occurrence!D$3-F512)^2</f>
        <v>0.16000000000000003</v>
      </c>
      <c r="Q512" s="1">
        <f>(Occurrence!E$3-G512)^2</f>
        <v>0.36</v>
      </c>
      <c r="R512" s="1">
        <f>(Occurrence!F$3-H512)^2</f>
        <v>0.64000000000000012</v>
      </c>
      <c r="S512" s="1">
        <f>(Occurrence!G$3-I512)^2</f>
        <v>0.48999999999999994</v>
      </c>
      <c r="T512" s="1">
        <f>(Occurrence!H$3-J512)^2</f>
        <v>0.25</v>
      </c>
      <c r="U512" s="1">
        <f>(Occurrence!I$3-K512)^2</f>
        <v>9.0000000000000024E-2</v>
      </c>
      <c r="V512" s="1">
        <f>(Occurrence!J$3-L512)^2</f>
        <v>1.0000000000000002E-2</v>
      </c>
      <c r="W512" s="1">
        <f>(Occurrence!K$3-M512)^2</f>
        <v>0.16000000000000003</v>
      </c>
      <c r="X512" s="1">
        <f t="shared" si="85"/>
        <v>2.9191999999999996</v>
      </c>
      <c r="Z512" s="1">
        <f t="shared" si="86"/>
        <v>0</v>
      </c>
      <c r="AA512" s="1">
        <f t="shared" si="87"/>
        <v>1</v>
      </c>
      <c r="AB512" s="1">
        <f t="shared" si="88"/>
        <v>1</v>
      </c>
      <c r="AC512" s="1">
        <f t="shared" si="89"/>
        <v>0</v>
      </c>
      <c r="AD512" s="1">
        <f t="shared" si="90"/>
        <v>1</v>
      </c>
      <c r="AE512" s="1">
        <f t="shared" si="91"/>
        <v>1</v>
      </c>
      <c r="AF512" s="1">
        <f t="shared" si="92"/>
        <v>1</v>
      </c>
      <c r="AG512" s="1">
        <f t="shared" si="93"/>
        <v>1</v>
      </c>
      <c r="AH512" s="1">
        <f t="shared" si="94"/>
        <v>0</v>
      </c>
      <c r="AI512" s="1">
        <f t="shared" si="95"/>
        <v>1</v>
      </c>
      <c r="AJ512" s="1">
        <f>SUMXMY2(Z512:AI512, Occurrence!B$3:K$3)</f>
        <v>4</v>
      </c>
      <c r="AK512" s="1">
        <f t="shared" si="96"/>
        <v>6</v>
      </c>
    </row>
    <row r="513" spans="1:37">
      <c r="A513" s="1">
        <v>512</v>
      </c>
      <c r="B513" s="1">
        <v>4252511</v>
      </c>
      <c r="C513" s="6" t="s">
        <v>40</v>
      </c>
      <c r="D513" s="1">
        <v>0.3</v>
      </c>
      <c r="E513" s="1">
        <v>0.5</v>
      </c>
      <c r="F513" s="1">
        <v>0.05</v>
      </c>
      <c r="G513" s="1">
        <v>0.1</v>
      </c>
      <c r="H513" s="1">
        <v>1.4999999999999999E-2</v>
      </c>
      <c r="I513" s="1">
        <v>0.1</v>
      </c>
      <c r="J513" s="1">
        <v>0.25</v>
      </c>
      <c r="K513" s="1">
        <v>0.6</v>
      </c>
      <c r="L513" s="1">
        <v>0.4</v>
      </c>
      <c r="M513" s="1">
        <v>0.7</v>
      </c>
      <c r="N513" s="1">
        <f>(Occurrence!B$3-D513)^2</f>
        <v>0.09</v>
      </c>
      <c r="O513" s="1">
        <f>(Occurrence!C$3-E513)^2</f>
        <v>0.25</v>
      </c>
      <c r="P513" s="1">
        <f>(Occurrence!D$3-F513)^2</f>
        <v>0.90249999999999997</v>
      </c>
      <c r="Q513" s="1">
        <f>(Occurrence!E$3-G513)^2</f>
        <v>0.81</v>
      </c>
      <c r="R513" s="1">
        <f>(Occurrence!F$3-H513)^2</f>
        <v>2.2499999999999999E-4</v>
      </c>
      <c r="S513" s="1">
        <f>(Occurrence!G$3-I513)^2</f>
        <v>1.0000000000000002E-2</v>
      </c>
      <c r="T513" s="1">
        <f>(Occurrence!H$3-J513)^2</f>
        <v>0.5625</v>
      </c>
      <c r="U513" s="1">
        <f>(Occurrence!I$3-K513)^2</f>
        <v>0.16000000000000003</v>
      </c>
      <c r="V513" s="1">
        <f>(Occurrence!J$3-L513)^2</f>
        <v>0.16000000000000003</v>
      </c>
      <c r="W513" s="1">
        <f>(Occurrence!K$3-M513)^2</f>
        <v>9.0000000000000024E-2</v>
      </c>
      <c r="X513" s="1">
        <f t="shared" si="85"/>
        <v>3.0352250000000001</v>
      </c>
      <c r="Z513" s="1">
        <f t="shared" si="86"/>
        <v>0</v>
      </c>
      <c r="AA513" s="1">
        <f t="shared" si="87"/>
        <v>1</v>
      </c>
      <c r="AB513" s="1">
        <f t="shared" si="88"/>
        <v>0</v>
      </c>
      <c r="AC513" s="1">
        <f t="shared" si="89"/>
        <v>0</v>
      </c>
      <c r="AD513" s="1">
        <f t="shared" si="90"/>
        <v>0</v>
      </c>
      <c r="AE513" s="1">
        <f t="shared" si="91"/>
        <v>0</v>
      </c>
      <c r="AF513" s="1">
        <f t="shared" si="92"/>
        <v>0</v>
      </c>
      <c r="AG513" s="1">
        <f t="shared" si="93"/>
        <v>1</v>
      </c>
      <c r="AH513" s="1">
        <f t="shared" si="94"/>
        <v>0</v>
      </c>
      <c r="AI513" s="1">
        <f t="shared" si="95"/>
        <v>1</v>
      </c>
      <c r="AJ513" s="1">
        <f>SUMXMY2(Z513:AI513, Occurrence!B$3:K$3)</f>
        <v>4</v>
      </c>
      <c r="AK513" s="1">
        <f t="shared" si="96"/>
        <v>6</v>
      </c>
    </row>
    <row r="514" spans="1:37">
      <c r="A514" s="1">
        <v>513</v>
      </c>
      <c r="B514" s="1">
        <v>4252512</v>
      </c>
      <c r="C514" s="6" t="s">
        <v>40</v>
      </c>
      <c r="D514" s="1">
        <v>0</v>
      </c>
      <c r="E514" s="1">
        <v>0.1</v>
      </c>
      <c r="F514" s="1">
        <v>0.2</v>
      </c>
      <c r="G514" s="1">
        <v>0.7</v>
      </c>
      <c r="H514" s="1">
        <v>0.8</v>
      </c>
      <c r="I514" s="1">
        <v>0.6</v>
      </c>
      <c r="J514" s="1">
        <v>0.3</v>
      </c>
      <c r="K514" s="1">
        <v>0.9</v>
      </c>
      <c r="L514" s="1">
        <v>0.9</v>
      </c>
      <c r="M514" s="1">
        <v>0.5</v>
      </c>
      <c r="N514" s="1">
        <f>(Occurrence!B$3-D514)^2</f>
        <v>0</v>
      </c>
      <c r="O514" s="1">
        <f>(Occurrence!C$3-E514)^2</f>
        <v>1.0000000000000002E-2</v>
      </c>
      <c r="P514" s="1">
        <f>(Occurrence!D$3-F514)^2</f>
        <v>0.64000000000000012</v>
      </c>
      <c r="Q514" s="1">
        <f>(Occurrence!E$3-G514)^2</f>
        <v>9.0000000000000024E-2</v>
      </c>
      <c r="R514" s="1">
        <f>(Occurrence!F$3-H514)^2</f>
        <v>0.64000000000000012</v>
      </c>
      <c r="S514" s="1">
        <f>(Occurrence!G$3-I514)^2</f>
        <v>0.36</v>
      </c>
      <c r="T514" s="1">
        <f>(Occurrence!H$3-J514)^2</f>
        <v>0.48999999999999994</v>
      </c>
      <c r="U514" s="1">
        <f>(Occurrence!I$3-K514)^2</f>
        <v>9.999999999999995E-3</v>
      </c>
      <c r="V514" s="1">
        <f>(Occurrence!J$3-L514)^2</f>
        <v>0.81</v>
      </c>
      <c r="W514" s="1">
        <f>(Occurrence!K$3-M514)^2</f>
        <v>0.25</v>
      </c>
      <c r="X514" s="1">
        <f t="shared" si="85"/>
        <v>3.3</v>
      </c>
      <c r="Z514" s="1">
        <f t="shared" si="86"/>
        <v>0</v>
      </c>
      <c r="AA514" s="1">
        <f t="shared" si="87"/>
        <v>0</v>
      </c>
      <c r="AB514" s="1">
        <f t="shared" si="88"/>
        <v>0</v>
      </c>
      <c r="AC514" s="1">
        <f t="shared" si="89"/>
        <v>1</v>
      </c>
      <c r="AD514" s="1">
        <f t="shared" si="90"/>
        <v>1</v>
      </c>
      <c r="AE514" s="1">
        <f t="shared" si="91"/>
        <v>1</v>
      </c>
      <c r="AF514" s="1">
        <f t="shared" si="92"/>
        <v>0</v>
      </c>
      <c r="AG514" s="1">
        <f t="shared" si="93"/>
        <v>1</v>
      </c>
      <c r="AH514" s="1">
        <f t="shared" si="94"/>
        <v>1</v>
      </c>
      <c r="AI514" s="1">
        <f t="shared" si="95"/>
        <v>1</v>
      </c>
      <c r="AJ514" s="1">
        <f>SUMXMY2(Z514:AI514, Occurrence!B$3:K$3)</f>
        <v>5</v>
      </c>
      <c r="AK514" s="1">
        <f t="shared" si="96"/>
        <v>5</v>
      </c>
    </row>
    <row r="515" spans="1:37">
      <c r="A515" s="1">
        <v>514</v>
      </c>
      <c r="B515" s="1">
        <v>4252513</v>
      </c>
      <c r="C515" s="6" t="s">
        <v>40</v>
      </c>
      <c r="D515" s="1">
        <v>0.1</v>
      </c>
      <c r="E515" s="1">
        <v>0.5</v>
      </c>
      <c r="F515" s="1">
        <v>0.1</v>
      </c>
      <c r="G515" s="1">
        <v>0.5</v>
      </c>
      <c r="H515" s="1">
        <v>0.99</v>
      </c>
      <c r="I515" s="1">
        <v>0.2</v>
      </c>
      <c r="J515" s="1">
        <v>0.5</v>
      </c>
      <c r="K515" s="1">
        <v>0.9</v>
      </c>
      <c r="L515" s="1">
        <v>0.4</v>
      </c>
      <c r="M515" s="1">
        <v>0.6</v>
      </c>
      <c r="N515" s="1">
        <f>(Occurrence!B$3-D515)^2</f>
        <v>1.0000000000000002E-2</v>
      </c>
      <c r="O515" s="1">
        <f>(Occurrence!C$3-E515)^2</f>
        <v>0.25</v>
      </c>
      <c r="P515" s="1">
        <f>(Occurrence!D$3-F515)^2</f>
        <v>0.81</v>
      </c>
      <c r="Q515" s="1">
        <f>(Occurrence!E$3-G515)^2</f>
        <v>0.25</v>
      </c>
      <c r="R515" s="1">
        <f>(Occurrence!F$3-H515)^2</f>
        <v>0.98009999999999997</v>
      </c>
      <c r="S515" s="1">
        <f>(Occurrence!G$3-I515)^2</f>
        <v>4.0000000000000008E-2</v>
      </c>
      <c r="T515" s="1">
        <f>(Occurrence!H$3-J515)^2</f>
        <v>0.25</v>
      </c>
      <c r="U515" s="1">
        <f>(Occurrence!I$3-K515)^2</f>
        <v>9.999999999999995E-3</v>
      </c>
      <c r="V515" s="1">
        <f>(Occurrence!J$3-L515)^2</f>
        <v>0.16000000000000003</v>
      </c>
      <c r="W515" s="1">
        <f>(Occurrence!K$3-M515)^2</f>
        <v>0.16000000000000003</v>
      </c>
      <c r="X515" s="1">
        <f t="shared" ref="X515:X578" si="97">SUM(N515:W515)</f>
        <v>2.9201000000000001</v>
      </c>
      <c r="Z515" s="1">
        <f t="shared" ref="Z515:Z578" si="98">ROUND(D515, 0)</f>
        <v>0</v>
      </c>
      <c r="AA515" s="1">
        <f t="shared" ref="AA515:AA578" si="99">ROUND(E515, 0)</f>
        <v>1</v>
      </c>
      <c r="AB515" s="1">
        <f t="shared" ref="AB515:AB578" si="100">ROUND(F515, 0)</f>
        <v>0</v>
      </c>
      <c r="AC515" s="1">
        <f t="shared" ref="AC515:AC578" si="101">ROUND(G515, 0)</f>
        <v>1</v>
      </c>
      <c r="AD515" s="1">
        <f t="shared" ref="AD515:AD578" si="102">ROUND(H515, 0)</f>
        <v>1</v>
      </c>
      <c r="AE515" s="1">
        <f t="shared" ref="AE515:AE578" si="103">ROUND(I515, 0)</f>
        <v>0</v>
      </c>
      <c r="AF515" s="1">
        <f t="shared" ref="AF515:AF578" si="104">ROUND(J515, 0)</f>
        <v>1</v>
      </c>
      <c r="AG515" s="1">
        <f t="shared" ref="AG515:AG578" si="105">ROUND(K515, 0)</f>
        <v>1</v>
      </c>
      <c r="AH515" s="1">
        <f t="shared" ref="AH515:AH578" si="106">ROUND(L515, 0)</f>
        <v>0</v>
      </c>
      <c r="AI515" s="1">
        <f t="shared" ref="AI515:AI578" si="107">ROUND(M515, 0)</f>
        <v>1</v>
      </c>
      <c r="AJ515" s="1">
        <f>SUMXMY2(Z515:AI515, Occurrence!B$3:K$3)</f>
        <v>3</v>
      </c>
      <c r="AK515" s="1">
        <f t="shared" ref="AK515:AK578" si="108">10-AJ515</f>
        <v>7</v>
      </c>
    </row>
    <row r="516" spans="1:37">
      <c r="A516" s="1">
        <v>515</v>
      </c>
      <c r="B516" s="1">
        <v>4252514</v>
      </c>
      <c r="C516" s="6" t="s">
        <v>40</v>
      </c>
      <c r="D516" s="1">
        <v>0.03</v>
      </c>
      <c r="E516" s="1">
        <v>0.3</v>
      </c>
      <c r="F516" s="1">
        <v>0.03</v>
      </c>
      <c r="G516" s="1">
        <v>0.3</v>
      </c>
      <c r="H516" s="1">
        <v>0.94</v>
      </c>
      <c r="I516" s="1">
        <v>0</v>
      </c>
      <c r="J516" s="1">
        <v>0.24</v>
      </c>
      <c r="K516" s="1">
        <v>0.16</v>
      </c>
      <c r="L516" s="1">
        <v>0.42</v>
      </c>
      <c r="M516" s="1">
        <v>0.53</v>
      </c>
      <c r="N516" s="1">
        <f>(Occurrence!B$3-D516)^2</f>
        <v>8.9999999999999998E-4</v>
      </c>
      <c r="O516" s="1">
        <f>(Occurrence!C$3-E516)^2</f>
        <v>0.09</v>
      </c>
      <c r="P516" s="1">
        <f>(Occurrence!D$3-F516)^2</f>
        <v>0.94089999999999996</v>
      </c>
      <c r="Q516" s="1">
        <f>(Occurrence!E$3-G516)^2</f>
        <v>0.48999999999999994</v>
      </c>
      <c r="R516" s="1">
        <f>(Occurrence!F$3-H516)^2</f>
        <v>0.88359999999999994</v>
      </c>
      <c r="S516" s="1">
        <f>(Occurrence!G$3-I516)^2</f>
        <v>0</v>
      </c>
      <c r="T516" s="1">
        <f>(Occurrence!H$3-J516)^2</f>
        <v>0.5776</v>
      </c>
      <c r="U516" s="1">
        <f>(Occurrence!I$3-K516)^2</f>
        <v>0.70559999999999989</v>
      </c>
      <c r="V516" s="1">
        <f>(Occurrence!J$3-L516)^2</f>
        <v>0.17639999999999997</v>
      </c>
      <c r="W516" s="1">
        <f>(Occurrence!K$3-M516)^2</f>
        <v>0.22089999999999999</v>
      </c>
      <c r="X516" s="1">
        <f t="shared" si="97"/>
        <v>4.0859000000000005</v>
      </c>
      <c r="Z516" s="1">
        <f t="shared" si="98"/>
        <v>0</v>
      </c>
      <c r="AA516" s="1">
        <f t="shared" si="99"/>
        <v>0</v>
      </c>
      <c r="AB516" s="1">
        <f t="shared" si="100"/>
        <v>0</v>
      </c>
      <c r="AC516" s="1">
        <f t="shared" si="101"/>
        <v>0</v>
      </c>
      <c r="AD516" s="1">
        <f t="shared" si="102"/>
        <v>1</v>
      </c>
      <c r="AE516" s="1">
        <f t="shared" si="103"/>
        <v>0</v>
      </c>
      <c r="AF516" s="1">
        <f t="shared" si="104"/>
        <v>0</v>
      </c>
      <c r="AG516" s="1">
        <f t="shared" si="105"/>
        <v>0</v>
      </c>
      <c r="AH516" s="1">
        <f t="shared" si="106"/>
        <v>0</v>
      </c>
      <c r="AI516" s="1">
        <f t="shared" si="107"/>
        <v>1</v>
      </c>
      <c r="AJ516" s="1">
        <f>SUMXMY2(Z516:AI516, Occurrence!B$3:K$3)</f>
        <v>5</v>
      </c>
      <c r="AK516" s="1">
        <f t="shared" si="108"/>
        <v>5</v>
      </c>
    </row>
    <row r="517" spans="1:37">
      <c r="A517" s="1">
        <v>516</v>
      </c>
      <c r="B517" s="1">
        <v>4252515</v>
      </c>
      <c r="C517" s="6" t="s">
        <v>40</v>
      </c>
      <c r="D517" s="1">
        <v>0.1</v>
      </c>
      <c r="E517" s="1">
        <v>0.2</v>
      </c>
      <c r="F517" s="1">
        <v>0.7</v>
      </c>
      <c r="G517" s="1">
        <v>0.2</v>
      </c>
      <c r="H517" s="1">
        <v>0.75</v>
      </c>
      <c r="I517" s="1">
        <v>0.4</v>
      </c>
      <c r="J517" s="1">
        <v>0.3</v>
      </c>
      <c r="K517" s="1">
        <v>0.15</v>
      </c>
      <c r="L517" s="1">
        <v>0.6</v>
      </c>
      <c r="M517" s="1">
        <v>0.4</v>
      </c>
      <c r="N517" s="1">
        <f>(Occurrence!B$3-D517)^2</f>
        <v>1.0000000000000002E-2</v>
      </c>
      <c r="O517" s="1">
        <f>(Occurrence!C$3-E517)^2</f>
        <v>4.0000000000000008E-2</v>
      </c>
      <c r="P517" s="1">
        <f>(Occurrence!D$3-F517)^2</f>
        <v>9.0000000000000024E-2</v>
      </c>
      <c r="Q517" s="1">
        <f>(Occurrence!E$3-G517)^2</f>
        <v>0.64000000000000012</v>
      </c>
      <c r="R517" s="1">
        <f>(Occurrence!F$3-H517)^2</f>
        <v>0.5625</v>
      </c>
      <c r="S517" s="1">
        <f>(Occurrence!G$3-I517)^2</f>
        <v>0.16000000000000003</v>
      </c>
      <c r="T517" s="1">
        <f>(Occurrence!H$3-J517)^2</f>
        <v>0.48999999999999994</v>
      </c>
      <c r="U517" s="1">
        <f>(Occurrence!I$3-K517)^2</f>
        <v>0.72249999999999992</v>
      </c>
      <c r="V517" s="1">
        <f>(Occurrence!J$3-L517)^2</f>
        <v>0.36</v>
      </c>
      <c r="W517" s="1">
        <f>(Occurrence!K$3-M517)^2</f>
        <v>0.36</v>
      </c>
      <c r="X517" s="1">
        <f t="shared" si="97"/>
        <v>3.4350000000000001</v>
      </c>
      <c r="Z517" s="1">
        <f t="shared" si="98"/>
        <v>0</v>
      </c>
      <c r="AA517" s="1">
        <f t="shared" si="99"/>
        <v>0</v>
      </c>
      <c r="AB517" s="1">
        <f t="shared" si="100"/>
        <v>1</v>
      </c>
      <c r="AC517" s="1">
        <f t="shared" si="101"/>
        <v>0</v>
      </c>
      <c r="AD517" s="1">
        <f t="shared" si="102"/>
        <v>1</v>
      </c>
      <c r="AE517" s="1">
        <f t="shared" si="103"/>
        <v>0</v>
      </c>
      <c r="AF517" s="1">
        <f t="shared" si="104"/>
        <v>0</v>
      </c>
      <c r="AG517" s="1">
        <f t="shared" si="105"/>
        <v>0</v>
      </c>
      <c r="AH517" s="1">
        <f t="shared" si="106"/>
        <v>1</v>
      </c>
      <c r="AI517" s="1">
        <f t="shared" si="107"/>
        <v>0</v>
      </c>
      <c r="AJ517" s="1">
        <f>SUMXMY2(Z517:AI517, Occurrence!B$3:K$3)</f>
        <v>6</v>
      </c>
      <c r="AK517" s="1">
        <f t="shared" si="108"/>
        <v>4</v>
      </c>
    </row>
    <row r="518" spans="1:37">
      <c r="A518" s="1">
        <v>517</v>
      </c>
      <c r="B518" s="1">
        <v>4252516</v>
      </c>
      <c r="C518" s="6" t="s">
        <v>40</v>
      </c>
      <c r="D518" s="1">
        <v>0.1</v>
      </c>
      <c r="E518" s="1">
        <v>0.2</v>
      </c>
      <c r="F518" s="1">
        <v>0.15</v>
      </c>
      <c r="G518" s="1">
        <v>0.4</v>
      </c>
      <c r="H518" s="1">
        <v>0.75</v>
      </c>
      <c r="I518" s="1">
        <v>0.25</v>
      </c>
      <c r="J518" s="1">
        <v>0.3</v>
      </c>
      <c r="K518" s="1">
        <v>0.45</v>
      </c>
      <c r="L518" s="1">
        <v>0.35</v>
      </c>
      <c r="M518" s="1">
        <v>0.15</v>
      </c>
      <c r="N518" s="1">
        <f>(Occurrence!B$3-D518)^2</f>
        <v>1.0000000000000002E-2</v>
      </c>
      <c r="O518" s="1">
        <f>(Occurrence!C$3-E518)^2</f>
        <v>4.0000000000000008E-2</v>
      </c>
      <c r="P518" s="1">
        <f>(Occurrence!D$3-F518)^2</f>
        <v>0.72249999999999992</v>
      </c>
      <c r="Q518" s="1">
        <f>(Occurrence!E$3-G518)^2</f>
        <v>0.36</v>
      </c>
      <c r="R518" s="1">
        <f>(Occurrence!F$3-H518)^2</f>
        <v>0.5625</v>
      </c>
      <c r="S518" s="1">
        <f>(Occurrence!G$3-I518)^2</f>
        <v>6.25E-2</v>
      </c>
      <c r="T518" s="1">
        <f>(Occurrence!H$3-J518)^2</f>
        <v>0.48999999999999994</v>
      </c>
      <c r="U518" s="1">
        <f>(Occurrence!I$3-K518)^2</f>
        <v>0.30250000000000005</v>
      </c>
      <c r="V518" s="1">
        <f>(Occurrence!J$3-L518)^2</f>
        <v>0.12249999999999998</v>
      </c>
      <c r="W518" s="1">
        <f>(Occurrence!K$3-M518)^2</f>
        <v>0.72249999999999992</v>
      </c>
      <c r="X518" s="1">
        <f t="shared" si="97"/>
        <v>3.3949999999999996</v>
      </c>
      <c r="Z518" s="1">
        <f t="shared" si="98"/>
        <v>0</v>
      </c>
      <c r="AA518" s="1">
        <f t="shared" si="99"/>
        <v>0</v>
      </c>
      <c r="AB518" s="1">
        <f t="shared" si="100"/>
        <v>0</v>
      </c>
      <c r="AC518" s="1">
        <f t="shared" si="101"/>
        <v>0</v>
      </c>
      <c r="AD518" s="1">
        <f t="shared" si="102"/>
        <v>1</v>
      </c>
      <c r="AE518" s="1">
        <f t="shared" si="103"/>
        <v>0</v>
      </c>
      <c r="AF518" s="1">
        <f t="shared" si="104"/>
        <v>0</v>
      </c>
      <c r="AG518" s="1">
        <f t="shared" si="105"/>
        <v>0</v>
      </c>
      <c r="AH518" s="1">
        <f t="shared" si="106"/>
        <v>0</v>
      </c>
      <c r="AI518" s="1">
        <f t="shared" si="107"/>
        <v>0</v>
      </c>
      <c r="AJ518" s="1">
        <f>SUMXMY2(Z518:AI518, Occurrence!B$3:K$3)</f>
        <v>6</v>
      </c>
      <c r="AK518" s="1">
        <f t="shared" si="108"/>
        <v>4</v>
      </c>
    </row>
    <row r="519" spans="1:37">
      <c r="A519" s="1">
        <v>518</v>
      </c>
      <c r="B519" s="1">
        <v>4252517</v>
      </c>
      <c r="C519" s="6" t="s">
        <v>40</v>
      </c>
      <c r="D519" s="1">
        <v>0.03</v>
      </c>
      <c r="E519" s="1">
        <v>0.1</v>
      </c>
      <c r="F519" s="1">
        <v>5.0000000000000001E-3</v>
      </c>
      <c r="G519" s="1">
        <v>0.01</v>
      </c>
      <c r="H519" s="1">
        <v>0.1</v>
      </c>
      <c r="I519" s="1">
        <v>0.2</v>
      </c>
      <c r="J519" s="1">
        <v>0.8</v>
      </c>
      <c r="K519" s="1">
        <v>0.4</v>
      </c>
      <c r="L519" s="1">
        <v>0.3</v>
      </c>
      <c r="M519" s="1">
        <v>0.7</v>
      </c>
      <c r="N519" s="1">
        <f>(Occurrence!B$3-D519)^2</f>
        <v>8.9999999999999998E-4</v>
      </c>
      <c r="O519" s="1">
        <f>(Occurrence!C$3-E519)^2</f>
        <v>1.0000000000000002E-2</v>
      </c>
      <c r="P519" s="1">
        <f>(Occurrence!D$3-F519)^2</f>
        <v>0.99002500000000004</v>
      </c>
      <c r="Q519" s="1">
        <f>(Occurrence!E$3-G519)^2</f>
        <v>0.98009999999999997</v>
      </c>
      <c r="R519" s="1">
        <f>(Occurrence!F$3-H519)^2</f>
        <v>1.0000000000000002E-2</v>
      </c>
      <c r="S519" s="1">
        <f>(Occurrence!G$3-I519)^2</f>
        <v>4.0000000000000008E-2</v>
      </c>
      <c r="T519" s="1">
        <f>(Occurrence!H$3-J519)^2</f>
        <v>3.999999999999998E-2</v>
      </c>
      <c r="U519" s="1">
        <f>(Occurrence!I$3-K519)^2</f>
        <v>0.36</v>
      </c>
      <c r="V519" s="1">
        <f>(Occurrence!J$3-L519)^2</f>
        <v>0.09</v>
      </c>
      <c r="W519" s="1">
        <f>(Occurrence!K$3-M519)^2</f>
        <v>9.0000000000000024E-2</v>
      </c>
      <c r="X519" s="1">
        <f t="shared" si="97"/>
        <v>2.6110249999999997</v>
      </c>
      <c r="Z519" s="1">
        <f t="shared" si="98"/>
        <v>0</v>
      </c>
      <c r="AA519" s="1">
        <f t="shared" si="99"/>
        <v>0</v>
      </c>
      <c r="AB519" s="1">
        <f t="shared" si="100"/>
        <v>0</v>
      </c>
      <c r="AC519" s="1">
        <f t="shared" si="101"/>
        <v>0</v>
      </c>
      <c r="AD519" s="1">
        <f t="shared" si="102"/>
        <v>0</v>
      </c>
      <c r="AE519" s="1">
        <f t="shared" si="103"/>
        <v>0</v>
      </c>
      <c r="AF519" s="1">
        <f t="shared" si="104"/>
        <v>1</v>
      </c>
      <c r="AG519" s="1">
        <f t="shared" si="105"/>
        <v>0</v>
      </c>
      <c r="AH519" s="1">
        <f t="shared" si="106"/>
        <v>0</v>
      </c>
      <c r="AI519" s="1">
        <f t="shared" si="107"/>
        <v>1</v>
      </c>
      <c r="AJ519" s="1">
        <f>SUMXMY2(Z519:AI519, Occurrence!B$3:K$3)</f>
        <v>3</v>
      </c>
      <c r="AK519" s="1">
        <f t="shared" si="108"/>
        <v>7</v>
      </c>
    </row>
    <row r="520" spans="1:37">
      <c r="A520" s="1">
        <v>519</v>
      </c>
      <c r="B520" s="1">
        <v>4252518</v>
      </c>
      <c r="C520" s="6" t="s">
        <v>40</v>
      </c>
      <c r="D520" s="1">
        <v>0.15</v>
      </c>
      <c r="E520" s="1">
        <v>0.3</v>
      </c>
      <c r="F520" s="1">
        <v>0.15</v>
      </c>
      <c r="G520" s="1">
        <v>0.2</v>
      </c>
      <c r="H520" s="1">
        <v>0.7</v>
      </c>
      <c r="I520" s="1">
        <v>0.5</v>
      </c>
      <c r="J520" s="1">
        <v>0.3</v>
      </c>
      <c r="K520" s="1">
        <v>0.3</v>
      </c>
      <c r="L520" s="1">
        <v>0.6</v>
      </c>
      <c r="M520" s="1">
        <v>0.5</v>
      </c>
      <c r="N520" s="1">
        <f>(Occurrence!B$3-D520)^2</f>
        <v>2.2499999999999999E-2</v>
      </c>
      <c r="O520" s="1">
        <f>(Occurrence!C$3-E520)^2</f>
        <v>0.09</v>
      </c>
      <c r="P520" s="1">
        <f>(Occurrence!D$3-F520)^2</f>
        <v>0.72249999999999992</v>
      </c>
      <c r="Q520" s="1">
        <f>(Occurrence!E$3-G520)^2</f>
        <v>0.64000000000000012</v>
      </c>
      <c r="R520" s="1">
        <f>(Occurrence!F$3-H520)^2</f>
        <v>0.48999999999999994</v>
      </c>
      <c r="S520" s="1">
        <f>(Occurrence!G$3-I520)^2</f>
        <v>0.25</v>
      </c>
      <c r="T520" s="1">
        <f>(Occurrence!H$3-J520)^2</f>
        <v>0.48999999999999994</v>
      </c>
      <c r="U520" s="1">
        <f>(Occurrence!I$3-K520)^2</f>
        <v>0.48999999999999994</v>
      </c>
      <c r="V520" s="1">
        <f>(Occurrence!J$3-L520)^2</f>
        <v>0.36</v>
      </c>
      <c r="W520" s="1">
        <f>(Occurrence!K$3-M520)^2</f>
        <v>0.25</v>
      </c>
      <c r="X520" s="1">
        <f t="shared" si="97"/>
        <v>3.8049999999999993</v>
      </c>
      <c r="Z520" s="1">
        <f t="shared" si="98"/>
        <v>0</v>
      </c>
      <c r="AA520" s="1">
        <f t="shared" si="99"/>
        <v>0</v>
      </c>
      <c r="AB520" s="1">
        <f t="shared" si="100"/>
        <v>0</v>
      </c>
      <c r="AC520" s="1">
        <f t="shared" si="101"/>
        <v>0</v>
      </c>
      <c r="AD520" s="1">
        <f t="shared" si="102"/>
        <v>1</v>
      </c>
      <c r="AE520" s="1">
        <f t="shared" si="103"/>
        <v>1</v>
      </c>
      <c r="AF520" s="1">
        <f t="shared" si="104"/>
        <v>0</v>
      </c>
      <c r="AG520" s="1">
        <f t="shared" si="105"/>
        <v>0</v>
      </c>
      <c r="AH520" s="1">
        <f t="shared" si="106"/>
        <v>1</v>
      </c>
      <c r="AI520" s="1">
        <f t="shared" si="107"/>
        <v>1</v>
      </c>
      <c r="AJ520" s="1">
        <f>SUMXMY2(Z520:AI520, Occurrence!B$3:K$3)</f>
        <v>7</v>
      </c>
      <c r="AK520" s="1">
        <f t="shared" si="108"/>
        <v>3</v>
      </c>
    </row>
    <row r="521" spans="1:37">
      <c r="A521" s="1">
        <v>520</v>
      </c>
      <c r="B521" s="1">
        <v>4252519</v>
      </c>
      <c r="C521" s="6" t="s">
        <v>40</v>
      </c>
      <c r="D521" s="1">
        <v>0.03</v>
      </c>
      <c r="E521" s="1">
        <v>0.1</v>
      </c>
      <c r="F521" s="1">
        <v>0.25</v>
      </c>
      <c r="G521" s="1">
        <v>0.7</v>
      </c>
      <c r="H521" s="1">
        <v>0.82</v>
      </c>
      <c r="I521" s="1">
        <v>0.5</v>
      </c>
      <c r="J521" s="1">
        <v>0.3</v>
      </c>
      <c r="K521" s="1">
        <v>0.34</v>
      </c>
      <c r="L521" s="1">
        <v>0.65</v>
      </c>
      <c r="M521" s="1">
        <v>0.5</v>
      </c>
      <c r="N521" s="1">
        <f>(Occurrence!B$3-D521)^2</f>
        <v>8.9999999999999998E-4</v>
      </c>
      <c r="O521" s="1">
        <f>(Occurrence!C$3-E521)^2</f>
        <v>1.0000000000000002E-2</v>
      </c>
      <c r="P521" s="1">
        <f>(Occurrence!D$3-F521)^2</f>
        <v>0.5625</v>
      </c>
      <c r="Q521" s="1">
        <f>(Occurrence!E$3-G521)^2</f>
        <v>9.0000000000000024E-2</v>
      </c>
      <c r="R521" s="1">
        <f>(Occurrence!F$3-H521)^2</f>
        <v>0.67239999999999989</v>
      </c>
      <c r="S521" s="1">
        <f>(Occurrence!G$3-I521)^2</f>
        <v>0.25</v>
      </c>
      <c r="T521" s="1">
        <f>(Occurrence!H$3-J521)^2</f>
        <v>0.48999999999999994</v>
      </c>
      <c r="U521" s="1">
        <f>(Occurrence!I$3-K521)^2</f>
        <v>0.43559999999999988</v>
      </c>
      <c r="V521" s="1">
        <f>(Occurrence!J$3-L521)^2</f>
        <v>0.42250000000000004</v>
      </c>
      <c r="W521" s="1">
        <f>(Occurrence!K$3-M521)^2</f>
        <v>0.25</v>
      </c>
      <c r="X521" s="1">
        <f t="shared" si="97"/>
        <v>3.1838999999999995</v>
      </c>
      <c r="Z521" s="1">
        <f t="shared" si="98"/>
        <v>0</v>
      </c>
      <c r="AA521" s="1">
        <f t="shared" si="99"/>
        <v>0</v>
      </c>
      <c r="AB521" s="1">
        <f t="shared" si="100"/>
        <v>0</v>
      </c>
      <c r="AC521" s="1">
        <f t="shared" si="101"/>
        <v>1</v>
      </c>
      <c r="AD521" s="1">
        <f t="shared" si="102"/>
        <v>1</v>
      </c>
      <c r="AE521" s="1">
        <f t="shared" si="103"/>
        <v>1</v>
      </c>
      <c r="AF521" s="1">
        <f t="shared" si="104"/>
        <v>0</v>
      </c>
      <c r="AG521" s="1">
        <f t="shared" si="105"/>
        <v>0</v>
      </c>
      <c r="AH521" s="1">
        <f t="shared" si="106"/>
        <v>1</v>
      </c>
      <c r="AI521" s="1">
        <f t="shared" si="107"/>
        <v>1</v>
      </c>
      <c r="AJ521" s="1">
        <f>SUMXMY2(Z521:AI521, Occurrence!B$3:K$3)</f>
        <v>6</v>
      </c>
      <c r="AK521" s="1">
        <f t="shared" si="108"/>
        <v>4</v>
      </c>
    </row>
    <row r="522" spans="1:37">
      <c r="A522" s="1">
        <v>521</v>
      </c>
      <c r="B522" s="1">
        <v>4252520</v>
      </c>
      <c r="C522" s="6" t="s">
        <v>40</v>
      </c>
      <c r="D522" s="1">
        <v>0.16</v>
      </c>
      <c r="E522" s="1">
        <v>0.3</v>
      </c>
      <c r="F522" s="1">
        <v>0.18</v>
      </c>
      <c r="G522" s="1">
        <v>0.35</v>
      </c>
      <c r="H522" s="1">
        <v>0.35</v>
      </c>
      <c r="I522" s="1">
        <v>0.6</v>
      </c>
      <c r="J522" s="1">
        <v>0.01</v>
      </c>
      <c r="K522" s="1">
        <v>0.22</v>
      </c>
      <c r="L522" s="1">
        <v>0.05</v>
      </c>
      <c r="M522" s="1">
        <v>0.34</v>
      </c>
      <c r="N522" s="1">
        <f>(Occurrence!B$3-D522)^2</f>
        <v>2.5600000000000001E-2</v>
      </c>
      <c r="O522" s="1">
        <f>(Occurrence!C$3-E522)^2</f>
        <v>0.09</v>
      </c>
      <c r="P522" s="1">
        <f>(Occurrence!D$3-F522)^2</f>
        <v>0.67240000000000011</v>
      </c>
      <c r="Q522" s="1">
        <f>(Occurrence!E$3-G522)^2</f>
        <v>0.42250000000000004</v>
      </c>
      <c r="R522" s="1">
        <f>(Occurrence!F$3-H522)^2</f>
        <v>0.12249999999999998</v>
      </c>
      <c r="S522" s="1">
        <f>(Occurrence!G$3-I522)^2</f>
        <v>0.36</v>
      </c>
      <c r="T522" s="1">
        <f>(Occurrence!H$3-J522)^2</f>
        <v>0.98009999999999997</v>
      </c>
      <c r="U522" s="1">
        <f>(Occurrence!I$3-K522)^2</f>
        <v>0.60840000000000005</v>
      </c>
      <c r="V522" s="1">
        <f>(Occurrence!J$3-L522)^2</f>
        <v>2.5000000000000005E-3</v>
      </c>
      <c r="W522" s="1">
        <f>(Occurrence!K$3-M522)^2</f>
        <v>0.43559999999999988</v>
      </c>
      <c r="X522" s="1">
        <f t="shared" si="97"/>
        <v>3.7195999999999998</v>
      </c>
      <c r="Z522" s="1">
        <f t="shared" si="98"/>
        <v>0</v>
      </c>
      <c r="AA522" s="1">
        <f t="shared" si="99"/>
        <v>0</v>
      </c>
      <c r="AB522" s="1">
        <f t="shared" si="100"/>
        <v>0</v>
      </c>
      <c r="AC522" s="1">
        <f t="shared" si="101"/>
        <v>0</v>
      </c>
      <c r="AD522" s="1">
        <f t="shared" si="102"/>
        <v>0</v>
      </c>
      <c r="AE522" s="1">
        <f t="shared" si="103"/>
        <v>1</v>
      </c>
      <c r="AF522" s="1">
        <f t="shared" si="104"/>
        <v>0</v>
      </c>
      <c r="AG522" s="1">
        <f t="shared" si="105"/>
        <v>0</v>
      </c>
      <c r="AH522" s="1">
        <f t="shared" si="106"/>
        <v>0</v>
      </c>
      <c r="AI522" s="1">
        <f t="shared" si="107"/>
        <v>0</v>
      </c>
      <c r="AJ522" s="1">
        <f>SUMXMY2(Z522:AI522, Occurrence!B$3:K$3)</f>
        <v>6</v>
      </c>
      <c r="AK522" s="1">
        <f t="shared" si="108"/>
        <v>4</v>
      </c>
    </row>
    <row r="523" spans="1:37">
      <c r="A523" s="1">
        <v>522</v>
      </c>
      <c r="B523" s="1">
        <v>4252521</v>
      </c>
      <c r="C523" s="6" t="s">
        <v>40</v>
      </c>
      <c r="D523" s="1">
        <v>0.15</v>
      </c>
      <c r="E523" s="1">
        <v>0.3</v>
      </c>
      <c r="F523" s="1">
        <v>0.1</v>
      </c>
      <c r="G523" s="1">
        <v>0.2</v>
      </c>
      <c r="H523" s="1">
        <v>0.75</v>
      </c>
      <c r="I523" s="1">
        <v>0.4</v>
      </c>
      <c r="J523" s="1">
        <v>0.3</v>
      </c>
      <c r="K523" s="1">
        <v>0.6</v>
      </c>
      <c r="L523" s="1">
        <v>0.4</v>
      </c>
      <c r="M523" s="1">
        <v>0.4</v>
      </c>
      <c r="N523" s="1">
        <f>(Occurrence!B$3-D523)^2</f>
        <v>2.2499999999999999E-2</v>
      </c>
      <c r="O523" s="1">
        <f>(Occurrence!C$3-E523)^2</f>
        <v>0.09</v>
      </c>
      <c r="P523" s="1">
        <f>(Occurrence!D$3-F523)^2</f>
        <v>0.81</v>
      </c>
      <c r="Q523" s="1">
        <f>(Occurrence!E$3-G523)^2</f>
        <v>0.64000000000000012</v>
      </c>
      <c r="R523" s="1">
        <f>(Occurrence!F$3-H523)^2</f>
        <v>0.5625</v>
      </c>
      <c r="S523" s="1">
        <f>(Occurrence!G$3-I523)^2</f>
        <v>0.16000000000000003</v>
      </c>
      <c r="T523" s="1">
        <f>(Occurrence!H$3-J523)^2</f>
        <v>0.48999999999999994</v>
      </c>
      <c r="U523" s="1">
        <f>(Occurrence!I$3-K523)^2</f>
        <v>0.16000000000000003</v>
      </c>
      <c r="V523" s="1">
        <f>(Occurrence!J$3-L523)^2</f>
        <v>0.16000000000000003</v>
      </c>
      <c r="W523" s="1">
        <f>(Occurrence!K$3-M523)^2</f>
        <v>0.36</v>
      </c>
      <c r="X523" s="1">
        <f t="shared" si="97"/>
        <v>3.4550000000000001</v>
      </c>
      <c r="Z523" s="1">
        <f t="shared" si="98"/>
        <v>0</v>
      </c>
      <c r="AA523" s="1">
        <f t="shared" si="99"/>
        <v>0</v>
      </c>
      <c r="AB523" s="1">
        <f t="shared" si="100"/>
        <v>0</v>
      </c>
      <c r="AC523" s="1">
        <f t="shared" si="101"/>
        <v>0</v>
      </c>
      <c r="AD523" s="1">
        <f t="shared" si="102"/>
        <v>1</v>
      </c>
      <c r="AE523" s="1">
        <f t="shared" si="103"/>
        <v>0</v>
      </c>
      <c r="AF523" s="1">
        <f t="shared" si="104"/>
        <v>0</v>
      </c>
      <c r="AG523" s="1">
        <f t="shared" si="105"/>
        <v>1</v>
      </c>
      <c r="AH523" s="1">
        <f t="shared" si="106"/>
        <v>0</v>
      </c>
      <c r="AI523" s="1">
        <f t="shared" si="107"/>
        <v>0</v>
      </c>
      <c r="AJ523" s="1">
        <f>SUMXMY2(Z523:AI523, Occurrence!B$3:K$3)</f>
        <v>5</v>
      </c>
      <c r="AK523" s="1">
        <f t="shared" si="108"/>
        <v>5</v>
      </c>
    </row>
    <row r="524" spans="1:37">
      <c r="A524" s="1">
        <v>523</v>
      </c>
      <c r="B524" s="1">
        <v>4252522</v>
      </c>
      <c r="C524" s="6" t="s">
        <v>40</v>
      </c>
      <c r="D524" s="1">
        <v>0.02</v>
      </c>
      <c r="E524" s="1">
        <v>0.04</v>
      </c>
      <c r="F524" s="1">
        <v>0.9</v>
      </c>
      <c r="G524" s="1">
        <v>0.95</v>
      </c>
      <c r="H524" s="1">
        <v>0.08</v>
      </c>
      <c r="I524" s="1">
        <v>0.4</v>
      </c>
      <c r="J524" s="1">
        <v>0.7</v>
      </c>
      <c r="K524" s="1">
        <v>0.2</v>
      </c>
      <c r="L524" s="1">
        <v>0.4</v>
      </c>
      <c r="M524" s="1">
        <v>0.6</v>
      </c>
      <c r="N524" s="1">
        <f>(Occurrence!B$3-D524)^2</f>
        <v>4.0000000000000002E-4</v>
      </c>
      <c r="O524" s="1">
        <f>(Occurrence!C$3-E524)^2</f>
        <v>1.6000000000000001E-3</v>
      </c>
      <c r="P524" s="1">
        <f>(Occurrence!D$3-F524)^2</f>
        <v>9.999999999999995E-3</v>
      </c>
      <c r="Q524" s="1">
        <f>(Occurrence!E$3-G524)^2</f>
        <v>2.5000000000000044E-3</v>
      </c>
      <c r="R524" s="1">
        <f>(Occurrence!F$3-H524)^2</f>
        <v>6.4000000000000003E-3</v>
      </c>
      <c r="S524" s="1">
        <f>(Occurrence!G$3-I524)^2</f>
        <v>0.16000000000000003</v>
      </c>
      <c r="T524" s="1">
        <f>(Occurrence!H$3-J524)^2</f>
        <v>9.0000000000000024E-2</v>
      </c>
      <c r="U524" s="1">
        <f>(Occurrence!I$3-K524)^2</f>
        <v>0.64000000000000012</v>
      </c>
      <c r="V524" s="1">
        <f>(Occurrence!J$3-L524)^2</f>
        <v>0.16000000000000003</v>
      </c>
      <c r="W524" s="1">
        <f>(Occurrence!K$3-M524)^2</f>
        <v>0.16000000000000003</v>
      </c>
      <c r="X524" s="1">
        <f t="shared" si="97"/>
        <v>1.2309000000000001</v>
      </c>
      <c r="Z524" s="1">
        <f t="shared" si="98"/>
        <v>0</v>
      </c>
      <c r="AA524" s="1">
        <f t="shared" si="99"/>
        <v>0</v>
      </c>
      <c r="AB524" s="1">
        <f t="shared" si="100"/>
        <v>1</v>
      </c>
      <c r="AC524" s="1">
        <f t="shared" si="101"/>
        <v>1</v>
      </c>
      <c r="AD524" s="1">
        <f t="shared" si="102"/>
        <v>0</v>
      </c>
      <c r="AE524" s="1">
        <f t="shared" si="103"/>
        <v>0</v>
      </c>
      <c r="AF524" s="1">
        <f t="shared" si="104"/>
        <v>1</v>
      </c>
      <c r="AG524" s="1">
        <f t="shared" si="105"/>
        <v>0</v>
      </c>
      <c r="AH524" s="1">
        <f t="shared" si="106"/>
        <v>0</v>
      </c>
      <c r="AI524" s="1">
        <f t="shared" si="107"/>
        <v>1</v>
      </c>
      <c r="AJ524" s="1">
        <f>SUMXMY2(Z524:AI524, Occurrence!B$3:K$3)</f>
        <v>1</v>
      </c>
      <c r="AK524" s="1">
        <f t="shared" si="108"/>
        <v>9</v>
      </c>
    </row>
    <row r="525" spans="1:37">
      <c r="A525" s="1">
        <v>524</v>
      </c>
      <c r="B525" s="1">
        <v>4252523</v>
      </c>
      <c r="C525" s="6" t="s">
        <v>40</v>
      </c>
      <c r="D525" s="1">
        <v>0.1</v>
      </c>
      <c r="E525" s="1">
        <v>0.25</v>
      </c>
      <c r="F525" s="1">
        <v>0.1</v>
      </c>
      <c r="G525" s="1">
        <v>0.25</v>
      </c>
      <c r="H525" s="1">
        <v>0.8</v>
      </c>
      <c r="I525" s="1">
        <v>0.4</v>
      </c>
      <c r="J525" s="1">
        <v>0.7</v>
      </c>
      <c r="K525" s="1">
        <v>0.3</v>
      </c>
      <c r="L525" s="1">
        <v>0.1</v>
      </c>
      <c r="M525" s="1">
        <v>0.3</v>
      </c>
      <c r="N525" s="1">
        <f>(Occurrence!B$3-D525)^2</f>
        <v>1.0000000000000002E-2</v>
      </c>
      <c r="O525" s="1">
        <f>(Occurrence!C$3-E525)^2</f>
        <v>6.25E-2</v>
      </c>
      <c r="P525" s="1">
        <f>(Occurrence!D$3-F525)^2</f>
        <v>0.81</v>
      </c>
      <c r="Q525" s="1">
        <f>(Occurrence!E$3-G525)^2</f>
        <v>0.5625</v>
      </c>
      <c r="R525" s="1">
        <f>(Occurrence!F$3-H525)^2</f>
        <v>0.64000000000000012</v>
      </c>
      <c r="S525" s="1">
        <f>(Occurrence!G$3-I525)^2</f>
        <v>0.16000000000000003</v>
      </c>
      <c r="T525" s="1">
        <f>(Occurrence!H$3-J525)^2</f>
        <v>9.0000000000000024E-2</v>
      </c>
      <c r="U525" s="1">
        <f>(Occurrence!I$3-K525)^2</f>
        <v>0.48999999999999994</v>
      </c>
      <c r="V525" s="1">
        <f>(Occurrence!J$3-L525)^2</f>
        <v>1.0000000000000002E-2</v>
      </c>
      <c r="W525" s="1">
        <f>(Occurrence!K$3-M525)^2</f>
        <v>0.48999999999999994</v>
      </c>
      <c r="X525" s="1">
        <f t="shared" si="97"/>
        <v>3.3249999999999993</v>
      </c>
      <c r="Z525" s="1">
        <f t="shared" si="98"/>
        <v>0</v>
      </c>
      <c r="AA525" s="1">
        <f t="shared" si="99"/>
        <v>0</v>
      </c>
      <c r="AB525" s="1">
        <f t="shared" si="100"/>
        <v>0</v>
      </c>
      <c r="AC525" s="1">
        <f t="shared" si="101"/>
        <v>0</v>
      </c>
      <c r="AD525" s="1">
        <f t="shared" si="102"/>
        <v>1</v>
      </c>
      <c r="AE525" s="1">
        <f t="shared" si="103"/>
        <v>0</v>
      </c>
      <c r="AF525" s="1">
        <f t="shared" si="104"/>
        <v>1</v>
      </c>
      <c r="AG525" s="1">
        <f t="shared" si="105"/>
        <v>0</v>
      </c>
      <c r="AH525" s="1">
        <f t="shared" si="106"/>
        <v>0</v>
      </c>
      <c r="AI525" s="1">
        <f t="shared" si="107"/>
        <v>0</v>
      </c>
      <c r="AJ525" s="1">
        <f>SUMXMY2(Z525:AI525, Occurrence!B$3:K$3)</f>
        <v>5</v>
      </c>
      <c r="AK525" s="1">
        <f t="shared" si="108"/>
        <v>5</v>
      </c>
    </row>
    <row r="526" spans="1:37">
      <c r="A526" s="1">
        <v>525</v>
      </c>
      <c r="B526" s="1">
        <v>4252524</v>
      </c>
      <c r="C526" s="6" t="s">
        <v>40</v>
      </c>
      <c r="D526" s="1">
        <v>0.02</v>
      </c>
      <c r="E526" s="1">
        <v>0.04</v>
      </c>
      <c r="F526" s="1">
        <v>0.2</v>
      </c>
      <c r="G526" s="1">
        <v>0.4</v>
      </c>
      <c r="H526" s="1">
        <v>0.46</v>
      </c>
      <c r="I526" s="1">
        <v>0.4</v>
      </c>
      <c r="J526" s="1">
        <v>0.25</v>
      </c>
      <c r="K526" s="1">
        <v>0.1</v>
      </c>
      <c r="L526" s="1">
        <v>0.12</v>
      </c>
      <c r="M526" s="1">
        <v>0.5</v>
      </c>
      <c r="N526" s="1">
        <f>(Occurrence!B$3-D526)^2</f>
        <v>4.0000000000000002E-4</v>
      </c>
      <c r="O526" s="1">
        <f>(Occurrence!C$3-E526)^2</f>
        <v>1.6000000000000001E-3</v>
      </c>
      <c r="P526" s="1">
        <f>(Occurrence!D$3-F526)^2</f>
        <v>0.64000000000000012</v>
      </c>
      <c r="Q526" s="1">
        <f>(Occurrence!E$3-G526)^2</f>
        <v>0.36</v>
      </c>
      <c r="R526" s="1">
        <f>(Occurrence!F$3-H526)^2</f>
        <v>0.21160000000000001</v>
      </c>
      <c r="S526" s="1">
        <f>(Occurrence!G$3-I526)^2</f>
        <v>0.16000000000000003</v>
      </c>
      <c r="T526" s="1">
        <f>(Occurrence!H$3-J526)^2</f>
        <v>0.5625</v>
      </c>
      <c r="U526" s="1">
        <f>(Occurrence!I$3-K526)^2</f>
        <v>0.81</v>
      </c>
      <c r="V526" s="1">
        <f>(Occurrence!J$3-L526)^2</f>
        <v>1.44E-2</v>
      </c>
      <c r="W526" s="1">
        <f>(Occurrence!K$3-M526)^2</f>
        <v>0.25</v>
      </c>
      <c r="X526" s="1">
        <f t="shared" si="97"/>
        <v>3.0105000000000004</v>
      </c>
      <c r="Z526" s="1">
        <f t="shared" si="98"/>
        <v>0</v>
      </c>
      <c r="AA526" s="1">
        <f t="shared" si="99"/>
        <v>0</v>
      </c>
      <c r="AB526" s="1">
        <f t="shared" si="100"/>
        <v>0</v>
      </c>
      <c r="AC526" s="1">
        <f t="shared" si="101"/>
        <v>0</v>
      </c>
      <c r="AD526" s="1">
        <f t="shared" si="102"/>
        <v>0</v>
      </c>
      <c r="AE526" s="1">
        <f t="shared" si="103"/>
        <v>0</v>
      </c>
      <c r="AF526" s="1">
        <f t="shared" si="104"/>
        <v>0</v>
      </c>
      <c r="AG526" s="1">
        <f t="shared" si="105"/>
        <v>0</v>
      </c>
      <c r="AH526" s="1">
        <f t="shared" si="106"/>
        <v>0</v>
      </c>
      <c r="AI526" s="1">
        <f t="shared" si="107"/>
        <v>1</v>
      </c>
      <c r="AJ526" s="1">
        <f>SUMXMY2(Z526:AI526, Occurrence!B$3:K$3)</f>
        <v>4</v>
      </c>
      <c r="AK526" s="1">
        <f t="shared" si="108"/>
        <v>6</v>
      </c>
    </row>
    <row r="527" spans="1:37">
      <c r="A527" s="1">
        <v>526</v>
      </c>
      <c r="B527" s="1">
        <v>4252525</v>
      </c>
      <c r="C527" s="6" t="s">
        <v>40</v>
      </c>
      <c r="D527" s="1">
        <v>0.3</v>
      </c>
      <c r="E527" s="1">
        <v>0.6</v>
      </c>
      <c r="F527" s="1">
        <v>0.1</v>
      </c>
      <c r="G527" s="1">
        <v>0.3</v>
      </c>
      <c r="H527" s="1">
        <v>0.1</v>
      </c>
      <c r="I527" s="1">
        <v>0.4</v>
      </c>
      <c r="J527" s="1">
        <v>0.7</v>
      </c>
      <c r="K527" s="1">
        <v>0.5</v>
      </c>
      <c r="L527" s="1">
        <v>0.6</v>
      </c>
      <c r="M527" s="1">
        <v>0.4</v>
      </c>
      <c r="N527" s="1">
        <f>(Occurrence!B$3-D527)^2</f>
        <v>0.09</v>
      </c>
      <c r="O527" s="1">
        <f>(Occurrence!C$3-E527)^2</f>
        <v>0.36</v>
      </c>
      <c r="P527" s="1">
        <f>(Occurrence!D$3-F527)^2</f>
        <v>0.81</v>
      </c>
      <c r="Q527" s="1">
        <f>(Occurrence!E$3-G527)^2</f>
        <v>0.48999999999999994</v>
      </c>
      <c r="R527" s="1">
        <f>(Occurrence!F$3-H527)^2</f>
        <v>1.0000000000000002E-2</v>
      </c>
      <c r="S527" s="1">
        <f>(Occurrence!G$3-I527)^2</f>
        <v>0.16000000000000003</v>
      </c>
      <c r="T527" s="1">
        <f>(Occurrence!H$3-J527)^2</f>
        <v>9.0000000000000024E-2</v>
      </c>
      <c r="U527" s="1">
        <f>(Occurrence!I$3-K527)^2</f>
        <v>0.25</v>
      </c>
      <c r="V527" s="1">
        <f>(Occurrence!J$3-L527)^2</f>
        <v>0.36</v>
      </c>
      <c r="W527" s="1">
        <f>(Occurrence!K$3-M527)^2</f>
        <v>0.36</v>
      </c>
      <c r="X527" s="1">
        <f t="shared" si="97"/>
        <v>2.9799999999999995</v>
      </c>
      <c r="Z527" s="1">
        <f t="shared" si="98"/>
        <v>0</v>
      </c>
      <c r="AA527" s="1">
        <f t="shared" si="99"/>
        <v>1</v>
      </c>
      <c r="AB527" s="1">
        <f t="shared" si="100"/>
        <v>0</v>
      </c>
      <c r="AC527" s="1">
        <f t="shared" si="101"/>
        <v>0</v>
      </c>
      <c r="AD527" s="1">
        <f t="shared" si="102"/>
        <v>0</v>
      </c>
      <c r="AE527" s="1">
        <f t="shared" si="103"/>
        <v>0</v>
      </c>
      <c r="AF527" s="1">
        <f t="shared" si="104"/>
        <v>1</v>
      </c>
      <c r="AG527" s="1">
        <f t="shared" si="105"/>
        <v>1</v>
      </c>
      <c r="AH527" s="1">
        <f t="shared" si="106"/>
        <v>1</v>
      </c>
      <c r="AI527" s="1">
        <f t="shared" si="107"/>
        <v>0</v>
      </c>
      <c r="AJ527" s="1">
        <f>SUMXMY2(Z527:AI527, Occurrence!B$3:K$3)</f>
        <v>5</v>
      </c>
      <c r="AK527" s="1">
        <f t="shared" si="108"/>
        <v>5</v>
      </c>
    </row>
    <row r="528" spans="1:37">
      <c r="A528" s="1">
        <v>527</v>
      </c>
      <c r="B528" s="1">
        <v>4252526</v>
      </c>
      <c r="C528" s="6" t="s">
        <v>40</v>
      </c>
      <c r="D528" s="1">
        <v>0.3</v>
      </c>
      <c r="E528" s="1">
        <v>0.6</v>
      </c>
      <c r="F528" s="1">
        <v>0.1</v>
      </c>
      <c r="G528" s="1">
        <v>0.3</v>
      </c>
      <c r="H528" s="1">
        <v>0.1</v>
      </c>
      <c r="I528" s="1">
        <v>0.4</v>
      </c>
      <c r="J528" s="1">
        <v>0.7</v>
      </c>
      <c r="K528" s="1">
        <v>0.5</v>
      </c>
      <c r="L528" s="1">
        <v>0.6</v>
      </c>
      <c r="M528" s="1">
        <v>0.4</v>
      </c>
      <c r="N528" s="1">
        <f>(Occurrence!B$3-D528)^2</f>
        <v>0.09</v>
      </c>
      <c r="O528" s="1">
        <f>(Occurrence!C$3-E528)^2</f>
        <v>0.36</v>
      </c>
      <c r="P528" s="1">
        <f>(Occurrence!D$3-F528)^2</f>
        <v>0.81</v>
      </c>
      <c r="Q528" s="1">
        <f>(Occurrence!E$3-G528)^2</f>
        <v>0.48999999999999994</v>
      </c>
      <c r="R528" s="1">
        <f>(Occurrence!F$3-H528)^2</f>
        <v>1.0000000000000002E-2</v>
      </c>
      <c r="S528" s="1">
        <f>(Occurrence!G$3-I528)^2</f>
        <v>0.16000000000000003</v>
      </c>
      <c r="T528" s="1">
        <f>(Occurrence!H$3-J528)^2</f>
        <v>9.0000000000000024E-2</v>
      </c>
      <c r="U528" s="1">
        <f>(Occurrence!I$3-K528)^2</f>
        <v>0.25</v>
      </c>
      <c r="V528" s="1">
        <f>(Occurrence!J$3-L528)^2</f>
        <v>0.36</v>
      </c>
      <c r="W528" s="1">
        <f>(Occurrence!K$3-M528)^2</f>
        <v>0.36</v>
      </c>
      <c r="X528" s="1">
        <f t="shared" si="97"/>
        <v>2.9799999999999995</v>
      </c>
      <c r="Z528" s="1">
        <f t="shared" si="98"/>
        <v>0</v>
      </c>
      <c r="AA528" s="1">
        <f t="shared" si="99"/>
        <v>1</v>
      </c>
      <c r="AB528" s="1">
        <f t="shared" si="100"/>
        <v>0</v>
      </c>
      <c r="AC528" s="1">
        <f t="shared" si="101"/>
        <v>0</v>
      </c>
      <c r="AD528" s="1">
        <f t="shared" si="102"/>
        <v>0</v>
      </c>
      <c r="AE528" s="1">
        <f t="shared" si="103"/>
        <v>0</v>
      </c>
      <c r="AF528" s="1">
        <f t="shared" si="104"/>
        <v>1</v>
      </c>
      <c r="AG528" s="1">
        <f t="shared" si="105"/>
        <v>1</v>
      </c>
      <c r="AH528" s="1">
        <f t="shared" si="106"/>
        <v>1</v>
      </c>
      <c r="AI528" s="1">
        <f t="shared" si="107"/>
        <v>0</v>
      </c>
      <c r="AJ528" s="1">
        <f>SUMXMY2(Z528:AI528, Occurrence!B$3:K$3)</f>
        <v>5</v>
      </c>
      <c r="AK528" s="1">
        <f t="shared" si="108"/>
        <v>5</v>
      </c>
    </row>
    <row r="529" spans="1:37">
      <c r="A529" s="1">
        <v>528</v>
      </c>
      <c r="B529" s="1">
        <v>4252527</v>
      </c>
      <c r="C529" s="6" t="s">
        <v>40</v>
      </c>
      <c r="D529" s="1">
        <v>0.3</v>
      </c>
      <c r="E529" s="1">
        <v>0.6</v>
      </c>
      <c r="F529" s="1">
        <v>0.1</v>
      </c>
      <c r="G529" s="1">
        <v>0.3</v>
      </c>
      <c r="H529" s="1">
        <v>0.1</v>
      </c>
      <c r="I529" s="1">
        <v>0.4</v>
      </c>
      <c r="J529" s="1">
        <v>0.7</v>
      </c>
      <c r="K529" s="1">
        <v>0.5</v>
      </c>
      <c r="L529" s="1">
        <v>0.6</v>
      </c>
      <c r="M529" s="1">
        <v>0.4</v>
      </c>
      <c r="N529" s="1">
        <f>(Occurrence!B$3-D529)^2</f>
        <v>0.09</v>
      </c>
      <c r="O529" s="1">
        <f>(Occurrence!C$3-E529)^2</f>
        <v>0.36</v>
      </c>
      <c r="P529" s="1">
        <f>(Occurrence!D$3-F529)^2</f>
        <v>0.81</v>
      </c>
      <c r="Q529" s="1">
        <f>(Occurrence!E$3-G529)^2</f>
        <v>0.48999999999999994</v>
      </c>
      <c r="R529" s="1">
        <f>(Occurrence!F$3-H529)^2</f>
        <v>1.0000000000000002E-2</v>
      </c>
      <c r="S529" s="1">
        <f>(Occurrence!G$3-I529)^2</f>
        <v>0.16000000000000003</v>
      </c>
      <c r="T529" s="1">
        <f>(Occurrence!H$3-J529)^2</f>
        <v>9.0000000000000024E-2</v>
      </c>
      <c r="U529" s="1">
        <f>(Occurrence!I$3-K529)^2</f>
        <v>0.25</v>
      </c>
      <c r="V529" s="1">
        <f>(Occurrence!J$3-L529)^2</f>
        <v>0.36</v>
      </c>
      <c r="W529" s="1">
        <f>(Occurrence!K$3-M529)^2</f>
        <v>0.36</v>
      </c>
      <c r="X529" s="1">
        <f t="shared" si="97"/>
        <v>2.9799999999999995</v>
      </c>
      <c r="Z529" s="1">
        <f t="shared" si="98"/>
        <v>0</v>
      </c>
      <c r="AA529" s="1">
        <f t="shared" si="99"/>
        <v>1</v>
      </c>
      <c r="AB529" s="1">
        <f t="shared" si="100"/>
        <v>0</v>
      </c>
      <c r="AC529" s="1">
        <f t="shared" si="101"/>
        <v>0</v>
      </c>
      <c r="AD529" s="1">
        <f t="shared" si="102"/>
        <v>0</v>
      </c>
      <c r="AE529" s="1">
        <f t="shared" si="103"/>
        <v>0</v>
      </c>
      <c r="AF529" s="1">
        <f t="shared" si="104"/>
        <v>1</v>
      </c>
      <c r="AG529" s="1">
        <f t="shared" si="105"/>
        <v>1</v>
      </c>
      <c r="AH529" s="1">
        <f t="shared" si="106"/>
        <v>1</v>
      </c>
      <c r="AI529" s="1">
        <f t="shared" si="107"/>
        <v>0</v>
      </c>
      <c r="AJ529" s="1">
        <f>SUMXMY2(Z529:AI529, Occurrence!B$3:K$3)</f>
        <v>5</v>
      </c>
      <c r="AK529" s="1">
        <f t="shared" si="108"/>
        <v>5</v>
      </c>
    </row>
    <row r="530" spans="1:37">
      <c r="A530" s="1">
        <v>529</v>
      </c>
      <c r="B530" s="1">
        <v>4252528</v>
      </c>
      <c r="C530" s="6" t="s">
        <v>40</v>
      </c>
      <c r="D530" s="1">
        <v>0.3</v>
      </c>
      <c r="E530" s="1">
        <v>0.6</v>
      </c>
      <c r="F530" s="1">
        <v>0.1</v>
      </c>
      <c r="G530" s="1">
        <v>0.3</v>
      </c>
      <c r="H530" s="1">
        <v>0.1</v>
      </c>
      <c r="I530" s="1">
        <v>0.4</v>
      </c>
      <c r="J530" s="1">
        <v>0.7</v>
      </c>
      <c r="K530" s="1">
        <v>0.5</v>
      </c>
      <c r="L530" s="1">
        <v>0.6</v>
      </c>
      <c r="M530" s="1">
        <v>0.4</v>
      </c>
      <c r="N530" s="1">
        <f>(Occurrence!B$3-D530)^2</f>
        <v>0.09</v>
      </c>
      <c r="O530" s="1">
        <f>(Occurrence!C$3-E530)^2</f>
        <v>0.36</v>
      </c>
      <c r="P530" s="1">
        <f>(Occurrence!D$3-F530)^2</f>
        <v>0.81</v>
      </c>
      <c r="Q530" s="1">
        <f>(Occurrence!E$3-G530)^2</f>
        <v>0.48999999999999994</v>
      </c>
      <c r="R530" s="1">
        <f>(Occurrence!F$3-H530)^2</f>
        <v>1.0000000000000002E-2</v>
      </c>
      <c r="S530" s="1">
        <f>(Occurrence!G$3-I530)^2</f>
        <v>0.16000000000000003</v>
      </c>
      <c r="T530" s="1">
        <f>(Occurrence!H$3-J530)^2</f>
        <v>9.0000000000000024E-2</v>
      </c>
      <c r="U530" s="1">
        <f>(Occurrence!I$3-K530)^2</f>
        <v>0.25</v>
      </c>
      <c r="V530" s="1">
        <f>(Occurrence!J$3-L530)^2</f>
        <v>0.36</v>
      </c>
      <c r="W530" s="1">
        <f>(Occurrence!K$3-M530)^2</f>
        <v>0.36</v>
      </c>
      <c r="X530" s="1">
        <f t="shared" si="97"/>
        <v>2.9799999999999995</v>
      </c>
      <c r="Z530" s="1">
        <f t="shared" si="98"/>
        <v>0</v>
      </c>
      <c r="AA530" s="1">
        <f t="shared" si="99"/>
        <v>1</v>
      </c>
      <c r="AB530" s="1">
        <f t="shared" si="100"/>
        <v>0</v>
      </c>
      <c r="AC530" s="1">
        <f t="shared" si="101"/>
        <v>0</v>
      </c>
      <c r="AD530" s="1">
        <f t="shared" si="102"/>
        <v>0</v>
      </c>
      <c r="AE530" s="1">
        <f t="shared" si="103"/>
        <v>0</v>
      </c>
      <c r="AF530" s="1">
        <f t="shared" si="104"/>
        <v>1</v>
      </c>
      <c r="AG530" s="1">
        <f t="shared" si="105"/>
        <v>1</v>
      </c>
      <c r="AH530" s="1">
        <f t="shared" si="106"/>
        <v>1</v>
      </c>
      <c r="AI530" s="1">
        <f t="shared" si="107"/>
        <v>0</v>
      </c>
      <c r="AJ530" s="1">
        <f>SUMXMY2(Z530:AI530, Occurrence!B$3:K$3)</f>
        <v>5</v>
      </c>
      <c r="AK530" s="1">
        <f t="shared" si="108"/>
        <v>5</v>
      </c>
    </row>
    <row r="531" spans="1:37">
      <c r="A531" s="1">
        <v>530</v>
      </c>
      <c r="B531" s="1">
        <v>4252529</v>
      </c>
      <c r="C531" s="6" t="s">
        <v>40</v>
      </c>
      <c r="D531" s="1">
        <v>0.3</v>
      </c>
      <c r="E531" s="1">
        <v>0.6</v>
      </c>
      <c r="F531" s="1">
        <v>0.1</v>
      </c>
      <c r="G531" s="1">
        <v>0.3</v>
      </c>
      <c r="H531" s="1">
        <v>0.1</v>
      </c>
      <c r="I531" s="1">
        <v>0.4</v>
      </c>
      <c r="J531" s="1">
        <v>0.7</v>
      </c>
      <c r="K531" s="1">
        <v>0.5</v>
      </c>
      <c r="L531" s="1">
        <v>0.6</v>
      </c>
      <c r="M531" s="1">
        <v>0.4</v>
      </c>
      <c r="N531" s="1">
        <f>(Occurrence!B$3-D531)^2</f>
        <v>0.09</v>
      </c>
      <c r="O531" s="1">
        <f>(Occurrence!C$3-E531)^2</f>
        <v>0.36</v>
      </c>
      <c r="P531" s="1">
        <f>(Occurrence!D$3-F531)^2</f>
        <v>0.81</v>
      </c>
      <c r="Q531" s="1">
        <f>(Occurrence!E$3-G531)^2</f>
        <v>0.48999999999999994</v>
      </c>
      <c r="R531" s="1">
        <f>(Occurrence!F$3-H531)^2</f>
        <v>1.0000000000000002E-2</v>
      </c>
      <c r="S531" s="1">
        <f>(Occurrence!G$3-I531)^2</f>
        <v>0.16000000000000003</v>
      </c>
      <c r="T531" s="1">
        <f>(Occurrence!H$3-J531)^2</f>
        <v>9.0000000000000024E-2</v>
      </c>
      <c r="U531" s="1">
        <f>(Occurrence!I$3-K531)^2</f>
        <v>0.25</v>
      </c>
      <c r="V531" s="1">
        <f>(Occurrence!J$3-L531)^2</f>
        <v>0.36</v>
      </c>
      <c r="W531" s="1">
        <f>(Occurrence!K$3-M531)^2</f>
        <v>0.36</v>
      </c>
      <c r="X531" s="1">
        <f t="shared" si="97"/>
        <v>2.9799999999999995</v>
      </c>
      <c r="Z531" s="1">
        <f t="shared" si="98"/>
        <v>0</v>
      </c>
      <c r="AA531" s="1">
        <f t="shared" si="99"/>
        <v>1</v>
      </c>
      <c r="AB531" s="1">
        <f t="shared" si="100"/>
        <v>0</v>
      </c>
      <c r="AC531" s="1">
        <f t="shared" si="101"/>
        <v>0</v>
      </c>
      <c r="AD531" s="1">
        <f t="shared" si="102"/>
        <v>0</v>
      </c>
      <c r="AE531" s="1">
        <f t="shared" si="103"/>
        <v>0</v>
      </c>
      <c r="AF531" s="1">
        <f t="shared" si="104"/>
        <v>1</v>
      </c>
      <c r="AG531" s="1">
        <f t="shared" si="105"/>
        <v>1</v>
      </c>
      <c r="AH531" s="1">
        <f t="shared" si="106"/>
        <v>1</v>
      </c>
      <c r="AI531" s="1">
        <f t="shared" si="107"/>
        <v>0</v>
      </c>
      <c r="AJ531" s="1">
        <f>SUMXMY2(Z531:AI531, Occurrence!B$3:K$3)</f>
        <v>5</v>
      </c>
      <c r="AK531" s="1">
        <f t="shared" si="108"/>
        <v>5</v>
      </c>
    </row>
    <row r="532" spans="1:37">
      <c r="A532" s="1">
        <v>531</v>
      </c>
      <c r="B532" s="1">
        <v>4252530</v>
      </c>
      <c r="C532" s="6" t="s">
        <v>40</v>
      </c>
      <c r="D532" s="1">
        <v>0.2</v>
      </c>
      <c r="E532" s="1">
        <v>0.15</v>
      </c>
      <c r="F532" s="1">
        <v>0.3</v>
      </c>
      <c r="G532" s="1">
        <v>0.15</v>
      </c>
      <c r="H532" s="1">
        <v>0.99</v>
      </c>
      <c r="I532" s="1">
        <v>0.75</v>
      </c>
      <c r="J532" s="1">
        <v>0.5</v>
      </c>
      <c r="K532" s="1">
        <v>0.5</v>
      </c>
      <c r="L532" s="1">
        <v>0.25</v>
      </c>
      <c r="M532" s="1">
        <v>0.5</v>
      </c>
      <c r="N532" s="1">
        <f>(Occurrence!B$3-D532)^2</f>
        <v>4.0000000000000008E-2</v>
      </c>
      <c r="O532" s="1">
        <f>(Occurrence!C$3-E532)^2</f>
        <v>2.2499999999999999E-2</v>
      </c>
      <c r="P532" s="1">
        <f>(Occurrence!D$3-F532)^2</f>
        <v>0.48999999999999994</v>
      </c>
      <c r="Q532" s="1">
        <f>(Occurrence!E$3-G532)^2</f>
        <v>0.72249999999999992</v>
      </c>
      <c r="R532" s="1">
        <f>(Occurrence!F$3-H532)^2</f>
        <v>0.98009999999999997</v>
      </c>
      <c r="S532" s="1">
        <f>(Occurrence!G$3-I532)^2</f>
        <v>0.5625</v>
      </c>
      <c r="T532" s="1">
        <f>(Occurrence!H$3-J532)^2</f>
        <v>0.25</v>
      </c>
      <c r="U532" s="1">
        <f>(Occurrence!I$3-K532)^2</f>
        <v>0.25</v>
      </c>
      <c r="V532" s="1">
        <f>(Occurrence!J$3-L532)^2</f>
        <v>6.25E-2</v>
      </c>
      <c r="W532" s="1">
        <f>(Occurrence!K$3-M532)^2</f>
        <v>0.25</v>
      </c>
      <c r="X532" s="1">
        <f t="shared" si="97"/>
        <v>3.6300999999999997</v>
      </c>
      <c r="Z532" s="1">
        <f t="shared" si="98"/>
        <v>0</v>
      </c>
      <c r="AA532" s="1">
        <f t="shared" si="99"/>
        <v>0</v>
      </c>
      <c r="AB532" s="1">
        <f t="shared" si="100"/>
        <v>0</v>
      </c>
      <c r="AC532" s="1">
        <f t="shared" si="101"/>
        <v>0</v>
      </c>
      <c r="AD532" s="1">
        <f t="shared" si="102"/>
        <v>1</v>
      </c>
      <c r="AE532" s="1">
        <f t="shared" si="103"/>
        <v>1</v>
      </c>
      <c r="AF532" s="1">
        <f t="shared" si="104"/>
        <v>1</v>
      </c>
      <c r="AG532" s="1">
        <f t="shared" si="105"/>
        <v>1</v>
      </c>
      <c r="AH532" s="1">
        <f t="shared" si="106"/>
        <v>0</v>
      </c>
      <c r="AI532" s="1">
        <f t="shared" si="107"/>
        <v>1</v>
      </c>
      <c r="AJ532" s="1">
        <f>SUMXMY2(Z532:AI532, Occurrence!B$3:K$3)</f>
        <v>4</v>
      </c>
      <c r="AK532" s="1">
        <f t="shared" si="108"/>
        <v>6</v>
      </c>
    </row>
    <row r="533" spans="1:37">
      <c r="A533" s="1">
        <v>532</v>
      </c>
      <c r="B533" s="1">
        <v>4252531</v>
      </c>
      <c r="C533" s="6" t="s">
        <v>40</v>
      </c>
      <c r="D533" s="1">
        <v>0.02</v>
      </c>
      <c r="E533" s="1">
        <v>0.05</v>
      </c>
      <c r="F533" s="1">
        <v>0.6</v>
      </c>
      <c r="G533" s="1">
        <v>0.7</v>
      </c>
      <c r="H533" s="1">
        <v>0.99</v>
      </c>
      <c r="I533" s="1">
        <v>0.78</v>
      </c>
      <c r="J533" s="1">
        <v>0.6</v>
      </c>
      <c r="K533" s="1">
        <v>0.5</v>
      </c>
      <c r="L533" s="1">
        <v>0.6</v>
      </c>
      <c r="M533" s="1">
        <v>0.7</v>
      </c>
      <c r="N533" s="1">
        <f>(Occurrence!B$3-D533)^2</f>
        <v>4.0000000000000002E-4</v>
      </c>
      <c r="O533" s="1">
        <f>(Occurrence!C$3-E533)^2</f>
        <v>2.5000000000000005E-3</v>
      </c>
      <c r="P533" s="1">
        <f>(Occurrence!D$3-F533)^2</f>
        <v>0.16000000000000003</v>
      </c>
      <c r="Q533" s="1">
        <f>(Occurrence!E$3-G533)^2</f>
        <v>9.0000000000000024E-2</v>
      </c>
      <c r="R533" s="1">
        <f>(Occurrence!F$3-H533)^2</f>
        <v>0.98009999999999997</v>
      </c>
      <c r="S533" s="1">
        <f>(Occurrence!G$3-I533)^2</f>
        <v>0.60840000000000005</v>
      </c>
      <c r="T533" s="1">
        <f>(Occurrence!H$3-J533)^2</f>
        <v>0.16000000000000003</v>
      </c>
      <c r="U533" s="1">
        <f>(Occurrence!I$3-K533)^2</f>
        <v>0.25</v>
      </c>
      <c r="V533" s="1">
        <f>(Occurrence!J$3-L533)^2</f>
        <v>0.36</v>
      </c>
      <c r="W533" s="1">
        <f>(Occurrence!K$3-M533)^2</f>
        <v>9.0000000000000024E-2</v>
      </c>
      <c r="X533" s="1">
        <f t="shared" si="97"/>
        <v>2.7014</v>
      </c>
      <c r="Z533" s="1">
        <f t="shared" si="98"/>
        <v>0</v>
      </c>
      <c r="AA533" s="1">
        <f t="shared" si="99"/>
        <v>0</v>
      </c>
      <c r="AB533" s="1">
        <f t="shared" si="100"/>
        <v>1</v>
      </c>
      <c r="AC533" s="1">
        <f t="shared" si="101"/>
        <v>1</v>
      </c>
      <c r="AD533" s="1">
        <f t="shared" si="102"/>
        <v>1</v>
      </c>
      <c r="AE533" s="1">
        <f t="shared" si="103"/>
        <v>1</v>
      </c>
      <c r="AF533" s="1">
        <f t="shared" si="104"/>
        <v>1</v>
      </c>
      <c r="AG533" s="1">
        <f t="shared" si="105"/>
        <v>1</v>
      </c>
      <c r="AH533" s="1">
        <f t="shared" si="106"/>
        <v>1</v>
      </c>
      <c r="AI533" s="1">
        <f t="shared" si="107"/>
        <v>1</v>
      </c>
      <c r="AJ533" s="1">
        <f>SUMXMY2(Z533:AI533, Occurrence!B$3:K$3)</f>
        <v>3</v>
      </c>
      <c r="AK533" s="1">
        <f t="shared" si="108"/>
        <v>7</v>
      </c>
    </row>
    <row r="534" spans="1:37">
      <c r="A534" s="1">
        <v>533</v>
      </c>
      <c r="B534" s="1">
        <v>4252532</v>
      </c>
      <c r="C534" s="6" t="s">
        <v>40</v>
      </c>
      <c r="D534" s="1">
        <v>0.2</v>
      </c>
      <c r="E534" s="1">
        <v>0.35</v>
      </c>
      <c r="F534" s="1">
        <v>0.25</v>
      </c>
      <c r="G534" s="1">
        <v>0.4</v>
      </c>
      <c r="H534" s="1">
        <v>0.25</v>
      </c>
      <c r="I534" s="1">
        <v>0.92</v>
      </c>
      <c r="J534" s="1">
        <v>0.97</v>
      </c>
      <c r="K534" s="1">
        <v>0.55000000000000004</v>
      </c>
      <c r="L534" s="1">
        <v>0.33329999999999999</v>
      </c>
      <c r="M534" s="1">
        <v>0.5444</v>
      </c>
      <c r="N534" s="1">
        <f>(Occurrence!B$3-D534)^2</f>
        <v>4.0000000000000008E-2</v>
      </c>
      <c r="O534" s="1">
        <f>(Occurrence!C$3-E534)^2</f>
        <v>0.12249999999999998</v>
      </c>
      <c r="P534" s="1">
        <f>(Occurrence!D$3-F534)^2</f>
        <v>0.5625</v>
      </c>
      <c r="Q534" s="1">
        <f>(Occurrence!E$3-G534)^2</f>
        <v>0.36</v>
      </c>
      <c r="R534" s="1">
        <f>(Occurrence!F$3-H534)^2</f>
        <v>6.25E-2</v>
      </c>
      <c r="S534" s="1">
        <f>(Occurrence!G$3-I534)^2</f>
        <v>0.84640000000000004</v>
      </c>
      <c r="T534" s="1">
        <f>(Occurrence!H$3-J534)^2</f>
        <v>9.000000000000016E-4</v>
      </c>
      <c r="U534" s="1">
        <f>(Occurrence!I$3-K534)^2</f>
        <v>0.20249999999999996</v>
      </c>
      <c r="V534" s="1">
        <f>(Occurrence!J$3-L534)^2</f>
        <v>0.11108889</v>
      </c>
      <c r="W534" s="1">
        <f>(Occurrence!K$3-M534)^2</f>
        <v>0.20757136000000001</v>
      </c>
      <c r="X534" s="1">
        <f t="shared" si="97"/>
        <v>2.51596025</v>
      </c>
      <c r="Z534" s="1">
        <f t="shared" si="98"/>
        <v>0</v>
      </c>
      <c r="AA534" s="1">
        <f t="shared" si="99"/>
        <v>0</v>
      </c>
      <c r="AB534" s="1">
        <f t="shared" si="100"/>
        <v>0</v>
      </c>
      <c r="AC534" s="1">
        <f t="shared" si="101"/>
        <v>0</v>
      </c>
      <c r="AD534" s="1">
        <f t="shared" si="102"/>
        <v>0</v>
      </c>
      <c r="AE534" s="1">
        <f t="shared" si="103"/>
        <v>1</v>
      </c>
      <c r="AF534" s="1">
        <f t="shared" si="104"/>
        <v>1</v>
      </c>
      <c r="AG534" s="1">
        <f t="shared" si="105"/>
        <v>1</v>
      </c>
      <c r="AH534" s="1">
        <f t="shared" si="106"/>
        <v>0</v>
      </c>
      <c r="AI534" s="1">
        <f t="shared" si="107"/>
        <v>1</v>
      </c>
      <c r="AJ534" s="1">
        <f>SUMXMY2(Z534:AI534, Occurrence!B$3:K$3)</f>
        <v>3</v>
      </c>
      <c r="AK534" s="1">
        <f t="shared" si="108"/>
        <v>7</v>
      </c>
    </row>
    <row r="535" spans="1:37">
      <c r="A535" s="1">
        <v>534</v>
      </c>
      <c r="B535" s="1">
        <v>4252533</v>
      </c>
      <c r="C535" s="6" t="s">
        <v>40</v>
      </c>
      <c r="D535" s="1">
        <v>0.15</v>
      </c>
      <c r="E535" s="1">
        <v>0.3</v>
      </c>
      <c r="F535" s="1">
        <v>0.25</v>
      </c>
      <c r="G535" s="1">
        <v>0.5</v>
      </c>
      <c r="H535" s="1">
        <v>0.8</v>
      </c>
      <c r="I535" s="1">
        <v>0.14000000000000001</v>
      </c>
      <c r="J535" s="1">
        <v>0</v>
      </c>
      <c r="K535" s="1">
        <v>0.8</v>
      </c>
      <c r="L535" s="1">
        <v>0.1</v>
      </c>
      <c r="M535" s="1">
        <v>0.85</v>
      </c>
      <c r="N535" s="1">
        <f>(Occurrence!B$3-D535)^2</f>
        <v>2.2499999999999999E-2</v>
      </c>
      <c r="O535" s="1">
        <f>(Occurrence!C$3-E535)^2</f>
        <v>0.09</v>
      </c>
      <c r="P535" s="1">
        <f>(Occurrence!D$3-F535)^2</f>
        <v>0.5625</v>
      </c>
      <c r="Q535" s="1">
        <f>(Occurrence!E$3-G535)^2</f>
        <v>0.25</v>
      </c>
      <c r="R535" s="1">
        <f>(Occurrence!F$3-H535)^2</f>
        <v>0.64000000000000012</v>
      </c>
      <c r="S535" s="1">
        <f>(Occurrence!G$3-I535)^2</f>
        <v>1.9600000000000003E-2</v>
      </c>
      <c r="T535" s="1">
        <f>(Occurrence!H$3-J535)^2</f>
        <v>1</v>
      </c>
      <c r="U535" s="1">
        <f>(Occurrence!I$3-K535)^2</f>
        <v>3.999999999999998E-2</v>
      </c>
      <c r="V535" s="1">
        <f>(Occurrence!J$3-L535)^2</f>
        <v>1.0000000000000002E-2</v>
      </c>
      <c r="W535" s="1">
        <f>(Occurrence!K$3-M535)^2</f>
        <v>2.2500000000000006E-2</v>
      </c>
      <c r="X535" s="1">
        <f t="shared" si="97"/>
        <v>2.6570999999999998</v>
      </c>
      <c r="Z535" s="1">
        <f t="shared" si="98"/>
        <v>0</v>
      </c>
      <c r="AA535" s="1">
        <f t="shared" si="99"/>
        <v>0</v>
      </c>
      <c r="AB535" s="1">
        <f t="shared" si="100"/>
        <v>0</v>
      </c>
      <c r="AC535" s="1">
        <f t="shared" si="101"/>
        <v>1</v>
      </c>
      <c r="AD535" s="1">
        <f t="shared" si="102"/>
        <v>1</v>
      </c>
      <c r="AE535" s="1">
        <f t="shared" si="103"/>
        <v>0</v>
      </c>
      <c r="AF535" s="1">
        <f t="shared" si="104"/>
        <v>0</v>
      </c>
      <c r="AG535" s="1">
        <f t="shared" si="105"/>
        <v>1</v>
      </c>
      <c r="AH535" s="1">
        <f t="shared" si="106"/>
        <v>0</v>
      </c>
      <c r="AI535" s="1">
        <f t="shared" si="107"/>
        <v>1</v>
      </c>
      <c r="AJ535" s="1">
        <f>SUMXMY2(Z535:AI535, Occurrence!B$3:K$3)</f>
        <v>3</v>
      </c>
      <c r="AK535" s="1">
        <f t="shared" si="108"/>
        <v>7</v>
      </c>
    </row>
    <row r="536" spans="1:37">
      <c r="A536" s="1">
        <v>535</v>
      </c>
      <c r="B536" s="1">
        <v>4252534</v>
      </c>
      <c r="C536" s="6" t="s">
        <v>40</v>
      </c>
      <c r="D536" s="1">
        <v>0.19</v>
      </c>
      <c r="E536" s="1">
        <v>0.55000000000000004</v>
      </c>
      <c r="F536" s="1">
        <v>7.0000000000000007E-2</v>
      </c>
      <c r="G536" s="1">
        <v>0.35</v>
      </c>
      <c r="H536" s="1">
        <v>0.9</v>
      </c>
      <c r="I536" s="1">
        <v>0.14000000000000001</v>
      </c>
      <c r="J536" s="1">
        <v>6.8999999999999996E-8</v>
      </c>
      <c r="K536" s="1">
        <v>1</v>
      </c>
      <c r="L536" s="1">
        <v>1E-4</v>
      </c>
      <c r="M536" s="1">
        <v>0.97</v>
      </c>
      <c r="N536" s="1">
        <f>(Occurrence!B$3-D536)^2</f>
        <v>3.61E-2</v>
      </c>
      <c r="O536" s="1">
        <f>(Occurrence!C$3-E536)^2</f>
        <v>0.30250000000000005</v>
      </c>
      <c r="P536" s="1">
        <f>(Occurrence!D$3-F536)^2</f>
        <v>0.86489999999999989</v>
      </c>
      <c r="Q536" s="1">
        <f>(Occurrence!E$3-G536)^2</f>
        <v>0.42250000000000004</v>
      </c>
      <c r="R536" s="1">
        <f>(Occurrence!F$3-H536)^2</f>
        <v>0.81</v>
      </c>
      <c r="S536" s="1">
        <f>(Occurrence!G$3-I536)^2</f>
        <v>1.9600000000000003E-2</v>
      </c>
      <c r="T536" s="1">
        <f>(Occurrence!H$3-J536)^2</f>
        <v>0.99999986200000468</v>
      </c>
      <c r="U536" s="1">
        <f>(Occurrence!I$3-K536)^2</f>
        <v>0</v>
      </c>
      <c r="V536" s="1">
        <f>(Occurrence!J$3-L536)^2</f>
        <v>1E-8</v>
      </c>
      <c r="W536" s="1">
        <f>(Occurrence!K$3-M536)^2</f>
        <v>9.000000000000016E-4</v>
      </c>
      <c r="X536" s="1">
        <f t="shared" si="97"/>
        <v>3.4564998720000046</v>
      </c>
      <c r="Z536" s="1">
        <f t="shared" si="98"/>
        <v>0</v>
      </c>
      <c r="AA536" s="1">
        <f t="shared" si="99"/>
        <v>1</v>
      </c>
      <c r="AB536" s="1">
        <f t="shared" si="100"/>
        <v>0</v>
      </c>
      <c r="AC536" s="1">
        <f t="shared" si="101"/>
        <v>0</v>
      </c>
      <c r="AD536" s="1">
        <f t="shared" si="102"/>
        <v>1</v>
      </c>
      <c r="AE536" s="1">
        <f t="shared" si="103"/>
        <v>0</v>
      </c>
      <c r="AF536" s="1">
        <f t="shared" si="104"/>
        <v>0</v>
      </c>
      <c r="AG536" s="1">
        <f t="shared" si="105"/>
        <v>1</v>
      </c>
      <c r="AH536" s="1">
        <f t="shared" si="106"/>
        <v>0</v>
      </c>
      <c r="AI536" s="1">
        <f t="shared" si="107"/>
        <v>1</v>
      </c>
      <c r="AJ536" s="1">
        <f>SUMXMY2(Z536:AI536, Occurrence!B$3:K$3)</f>
        <v>5</v>
      </c>
      <c r="AK536" s="1">
        <f t="shared" si="108"/>
        <v>5</v>
      </c>
    </row>
    <row r="537" spans="1:37">
      <c r="A537" s="1">
        <v>536</v>
      </c>
      <c r="B537" s="1">
        <v>4252535</v>
      </c>
      <c r="C537" s="6" t="s">
        <v>40</v>
      </c>
      <c r="D537" s="1">
        <v>0.5</v>
      </c>
      <c r="E537" s="1">
        <v>0.9</v>
      </c>
      <c r="F537" s="1">
        <v>0.4</v>
      </c>
      <c r="G537" s="1">
        <v>0.8</v>
      </c>
      <c r="H537" s="1">
        <v>0.7</v>
      </c>
      <c r="I537" s="1">
        <v>0.9</v>
      </c>
      <c r="J537" s="1">
        <v>0.5</v>
      </c>
      <c r="K537" s="1">
        <v>0.9</v>
      </c>
      <c r="L537" s="1">
        <v>0.7</v>
      </c>
      <c r="M537" s="1">
        <v>1</v>
      </c>
      <c r="N537" s="1">
        <f>(Occurrence!B$3-D537)^2</f>
        <v>0.25</v>
      </c>
      <c r="O537" s="1">
        <f>(Occurrence!C$3-E537)^2</f>
        <v>0.81</v>
      </c>
      <c r="P537" s="1">
        <f>(Occurrence!D$3-F537)^2</f>
        <v>0.36</v>
      </c>
      <c r="Q537" s="1">
        <f>(Occurrence!E$3-G537)^2</f>
        <v>3.999999999999998E-2</v>
      </c>
      <c r="R537" s="1">
        <f>(Occurrence!F$3-H537)^2</f>
        <v>0.48999999999999994</v>
      </c>
      <c r="S537" s="1">
        <f>(Occurrence!G$3-I537)^2</f>
        <v>0.81</v>
      </c>
      <c r="T537" s="1">
        <f>(Occurrence!H$3-J537)^2</f>
        <v>0.25</v>
      </c>
      <c r="U537" s="1">
        <f>(Occurrence!I$3-K537)^2</f>
        <v>9.999999999999995E-3</v>
      </c>
      <c r="V537" s="1">
        <f>(Occurrence!J$3-L537)^2</f>
        <v>0.48999999999999994</v>
      </c>
      <c r="W537" s="1">
        <f>(Occurrence!K$3-M537)^2</f>
        <v>0</v>
      </c>
      <c r="X537" s="1">
        <f t="shared" si="97"/>
        <v>3.5099999999999993</v>
      </c>
      <c r="Z537" s="1">
        <f t="shared" si="98"/>
        <v>1</v>
      </c>
      <c r="AA537" s="1">
        <f t="shared" si="99"/>
        <v>1</v>
      </c>
      <c r="AB537" s="1">
        <f t="shared" si="100"/>
        <v>0</v>
      </c>
      <c r="AC537" s="1">
        <f t="shared" si="101"/>
        <v>1</v>
      </c>
      <c r="AD537" s="1">
        <f t="shared" si="102"/>
        <v>1</v>
      </c>
      <c r="AE537" s="1">
        <f t="shared" si="103"/>
        <v>1</v>
      </c>
      <c r="AF537" s="1">
        <f t="shared" si="104"/>
        <v>1</v>
      </c>
      <c r="AG537" s="1">
        <f t="shared" si="105"/>
        <v>1</v>
      </c>
      <c r="AH537" s="1">
        <f t="shared" si="106"/>
        <v>1</v>
      </c>
      <c r="AI537" s="1">
        <f t="shared" si="107"/>
        <v>1</v>
      </c>
      <c r="AJ537" s="1">
        <f>SUMXMY2(Z537:AI537, Occurrence!B$3:K$3)</f>
        <v>6</v>
      </c>
      <c r="AK537" s="1">
        <f t="shared" si="108"/>
        <v>4</v>
      </c>
    </row>
    <row r="538" spans="1:37">
      <c r="A538" s="1">
        <v>537</v>
      </c>
      <c r="B538" s="1">
        <v>4252536</v>
      </c>
      <c r="C538" s="6" t="s">
        <v>40</v>
      </c>
      <c r="D538" s="1">
        <v>0.01</v>
      </c>
      <c r="E538" s="1">
        <v>0.4</v>
      </c>
      <c r="F538" s="1">
        <v>0.02</v>
      </c>
      <c r="G538" s="1">
        <v>0.3</v>
      </c>
      <c r="H538" s="1">
        <v>0.97</v>
      </c>
      <c r="I538" s="1">
        <v>0.16700000000000001</v>
      </c>
      <c r="J538" s="1">
        <v>0.99</v>
      </c>
      <c r="K538" s="1">
        <v>0.9</v>
      </c>
      <c r="L538" s="1">
        <v>0.8</v>
      </c>
      <c r="M538" s="1">
        <v>0.75</v>
      </c>
      <c r="N538" s="1">
        <f>(Occurrence!B$3-D538)^2</f>
        <v>1E-4</v>
      </c>
      <c r="O538" s="1">
        <f>(Occurrence!C$3-E538)^2</f>
        <v>0.16000000000000003</v>
      </c>
      <c r="P538" s="1">
        <f>(Occurrence!D$3-F538)^2</f>
        <v>0.96039999999999992</v>
      </c>
      <c r="Q538" s="1">
        <f>(Occurrence!E$3-G538)^2</f>
        <v>0.48999999999999994</v>
      </c>
      <c r="R538" s="1">
        <f>(Occurrence!F$3-H538)^2</f>
        <v>0.94089999999999996</v>
      </c>
      <c r="S538" s="1">
        <f>(Occurrence!G$3-I538)^2</f>
        <v>2.7889000000000004E-2</v>
      </c>
      <c r="T538" s="1">
        <f>(Occurrence!H$3-J538)^2</f>
        <v>1.0000000000000018E-4</v>
      </c>
      <c r="U538" s="1">
        <f>(Occurrence!I$3-K538)^2</f>
        <v>9.999999999999995E-3</v>
      </c>
      <c r="V538" s="1">
        <f>(Occurrence!J$3-L538)^2</f>
        <v>0.64000000000000012</v>
      </c>
      <c r="W538" s="1">
        <f>(Occurrence!K$3-M538)^2</f>
        <v>6.25E-2</v>
      </c>
      <c r="X538" s="1">
        <f t="shared" si="97"/>
        <v>3.2918889999999998</v>
      </c>
      <c r="Z538" s="1">
        <f t="shared" si="98"/>
        <v>0</v>
      </c>
      <c r="AA538" s="1">
        <f t="shared" si="99"/>
        <v>0</v>
      </c>
      <c r="AB538" s="1">
        <f t="shared" si="100"/>
        <v>0</v>
      </c>
      <c r="AC538" s="1">
        <f t="shared" si="101"/>
        <v>0</v>
      </c>
      <c r="AD538" s="1">
        <f t="shared" si="102"/>
        <v>1</v>
      </c>
      <c r="AE538" s="1">
        <f t="shared" si="103"/>
        <v>0</v>
      </c>
      <c r="AF538" s="1">
        <f t="shared" si="104"/>
        <v>1</v>
      </c>
      <c r="AG538" s="1">
        <f t="shared" si="105"/>
        <v>1</v>
      </c>
      <c r="AH538" s="1">
        <f t="shared" si="106"/>
        <v>1</v>
      </c>
      <c r="AI538" s="1">
        <f t="shared" si="107"/>
        <v>1</v>
      </c>
      <c r="AJ538" s="1">
        <f>SUMXMY2(Z538:AI538, Occurrence!B$3:K$3)</f>
        <v>4</v>
      </c>
      <c r="AK538" s="1">
        <f t="shared" si="108"/>
        <v>6</v>
      </c>
    </row>
    <row r="539" spans="1:37">
      <c r="A539" s="1">
        <v>538</v>
      </c>
      <c r="B539" s="1">
        <v>4252537</v>
      </c>
      <c r="C539" s="6" t="s">
        <v>40</v>
      </c>
      <c r="D539" s="1">
        <v>0.01</v>
      </c>
      <c r="E539" s="1">
        <v>0.4</v>
      </c>
      <c r="F539" s="1">
        <v>0.02</v>
      </c>
      <c r="G539" s="1">
        <v>0.3</v>
      </c>
      <c r="H539" s="1">
        <v>0.95</v>
      </c>
      <c r="I539" s="1">
        <v>0.16669999999999999</v>
      </c>
      <c r="J539" s="1">
        <v>0.95</v>
      </c>
      <c r="K539" s="1">
        <v>0.97</v>
      </c>
      <c r="L539" s="1">
        <v>0.8</v>
      </c>
      <c r="M539" s="1">
        <v>0.75</v>
      </c>
      <c r="N539" s="1">
        <f>(Occurrence!B$3-D539)^2</f>
        <v>1E-4</v>
      </c>
      <c r="O539" s="1">
        <f>(Occurrence!C$3-E539)^2</f>
        <v>0.16000000000000003</v>
      </c>
      <c r="P539" s="1">
        <f>(Occurrence!D$3-F539)^2</f>
        <v>0.96039999999999992</v>
      </c>
      <c r="Q539" s="1">
        <f>(Occurrence!E$3-G539)^2</f>
        <v>0.48999999999999994</v>
      </c>
      <c r="R539" s="1">
        <f>(Occurrence!F$3-H539)^2</f>
        <v>0.90249999999999997</v>
      </c>
      <c r="S539" s="1">
        <f>(Occurrence!G$3-I539)^2</f>
        <v>2.7788889999999997E-2</v>
      </c>
      <c r="T539" s="1">
        <f>(Occurrence!H$3-J539)^2</f>
        <v>2.5000000000000044E-3</v>
      </c>
      <c r="U539" s="1">
        <f>(Occurrence!I$3-K539)^2</f>
        <v>9.000000000000016E-4</v>
      </c>
      <c r="V539" s="1">
        <f>(Occurrence!J$3-L539)^2</f>
        <v>0.64000000000000012</v>
      </c>
      <c r="W539" s="1">
        <f>(Occurrence!K$3-M539)^2</f>
        <v>6.25E-2</v>
      </c>
      <c r="X539" s="1">
        <f t="shared" si="97"/>
        <v>3.2466888900000002</v>
      </c>
      <c r="Z539" s="1">
        <f t="shared" si="98"/>
        <v>0</v>
      </c>
      <c r="AA539" s="1">
        <f t="shared" si="99"/>
        <v>0</v>
      </c>
      <c r="AB539" s="1">
        <f t="shared" si="100"/>
        <v>0</v>
      </c>
      <c r="AC539" s="1">
        <f t="shared" si="101"/>
        <v>0</v>
      </c>
      <c r="AD539" s="1">
        <f t="shared" si="102"/>
        <v>1</v>
      </c>
      <c r="AE539" s="1">
        <f t="shared" si="103"/>
        <v>0</v>
      </c>
      <c r="AF539" s="1">
        <f t="shared" si="104"/>
        <v>1</v>
      </c>
      <c r="AG539" s="1">
        <f t="shared" si="105"/>
        <v>1</v>
      </c>
      <c r="AH539" s="1">
        <f t="shared" si="106"/>
        <v>1</v>
      </c>
      <c r="AI539" s="1">
        <f t="shared" si="107"/>
        <v>1</v>
      </c>
      <c r="AJ539" s="1">
        <f>SUMXMY2(Z539:AI539, Occurrence!B$3:K$3)</f>
        <v>4</v>
      </c>
      <c r="AK539" s="1">
        <f t="shared" si="108"/>
        <v>6</v>
      </c>
    </row>
    <row r="540" spans="1:37">
      <c r="A540" s="1">
        <v>539</v>
      </c>
      <c r="B540" s="1">
        <v>4252538</v>
      </c>
      <c r="C540" s="6" t="s">
        <v>40</v>
      </c>
      <c r="D540" s="1">
        <v>0.1</v>
      </c>
      <c r="E540" s="1">
        <v>0.3</v>
      </c>
      <c r="F540" s="1">
        <v>0.1</v>
      </c>
      <c r="G540" s="1">
        <v>0.3</v>
      </c>
      <c r="H540" s="1">
        <v>0.2</v>
      </c>
      <c r="I540" s="1">
        <v>0.45</v>
      </c>
      <c r="J540" s="1">
        <v>0.34</v>
      </c>
      <c r="K540" s="1">
        <v>0.4</v>
      </c>
      <c r="L540" s="1">
        <v>0.05</v>
      </c>
      <c r="M540" s="1">
        <v>0.44</v>
      </c>
      <c r="N540" s="1">
        <f>(Occurrence!B$3-D540)^2</f>
        <v>1.0000000000000002E-2</v>
      </c>
      <c r="O540" s="1">
        <f>(Occurrence!C$3-E540)^2</f>
        <v>0.09</v>
      </c>
      <c r="P540" s="1">
        <f>(Occurrence!D$3-F540)^2</f>
        <v>0.81</v>
      </c>
      <c r="Q540" s="1">
        <f>(Occurrence!E$3-G540)^2</f>
        <v>0.48999999999999994</v>
      </c>
      <c r="R540" s="1">
        <f>(Occurrence!F$3-H540)^2</f>
        <v>4.0000000000000008E-2</v>
      </c>
      <c r="S540" s="1">
        <f>(Occurrence!G$3-I540)^2</f>
        <v>0.20250000000000001</v>
      </c>
      <c r="T540" s="1">
        <f>(Occurrence!H$3-J540)^2</f>
        <v>0.43559999999999988</v>
      </c>
      <c r="U540" s="1">
        <f>(Occurrence!I$3-K540)^2</f>
        <v>0.36</v>
      </c>
      <c r="V540" s="1">
        <f>(Occurrence!J$3-L540)^2</f>
        <v>2.5000000000000005E-3</v>
      </c>
      <c r="W540" s="1">
        <f>(Occurrence!K$3-M540)^2</f>
        <v>0.31360000000000005</v>
      </c>
      <c r="X540" s="1">
        <f t="shared" si="97"/>
        <v>2.7542</v>
      </c>
      <c r="Z540" s="1">
        <f t="shared" si="98"/>
        <v>0</v>
      </c>
      <c r="AA540" s="1">
        <f t="shared" si="99"/>
        <v>0</v>
      </c>
      <c r="AB540" s="1">
        <f t="shared" si="100"/>
        <v>0</v>
      </c>
      <c r="AC540" s="1">
        <f t="shared" si="101"/>
        <v>0</v>
      </c>
      <c r="AD540" s="1">
        <f t="shared" si="102"/>
        <v>0</v>
      </c>
      <c r="AE540" s="1">
        <f t="shared" si="103"/>
        <v>0</v>
      </c>
      <c r="AF540" s="1">
        <f t="shared" si="104"/>
        <v>0</v>
      </c>
      <c r="AG540" s="1">
        <f t="shared" si="105"/>
        <v>0</v>
      </c>
      <c r="AH540" s="1">
        <f t="shared" si="106"/>
        <v>0</v>
      </c>
      <c r="AI540" s="1">
        <f t="shared" si="107"/>
        <v>0</v>
      </c>
      <c r="AJ540" s="1">
        <f>SUMXMY2(Z540:AI540, Occurrence!B$3:K$3)</f>
        <v>5</v>
      </c>
      <c r="AK540" s="1">
        <f t="shared" si="108"/>
        <v>5</v>
      </c>
    </row>
    <row r="541" spans="1:37">
      <c r="A541" s="1">
        <v>540</v>
      </c>
      <c r="B541" s="1">
        <v>4252539</v>
      </c>
      <c r="C541" s="6" t="s">
        <v>40</v>
      </c>
      <c r="D541" s="1">
        <v>0.15</v>
      </c>
      <c r="E541" s="1">
        <v>0.2</v>
      </c>
      <c r="F541" s="1">
        <v>0.15</v>
      </c>
      <c r="G541" s="1">
        <v>0.3</v>
      </c>
      <c r="H541" s="1">
        <v>0.7</v>
      </c>
      <c r="I541" s="1">
        <v>0.65</v>
      </c>
      <c r="J541" s="1">
        <v>0.43</v>
      </c>
      <c r="K541" s="1">
        <v>0.2</v>
      </c>
      <c r="L541" s="1">
        <v>0.16</v>
      </c>
      <c r="M541" s="1">
        <v>0.46</v>
      </c>
      <c r="N541" s="1">
        <f>(Occurrence!B$3-D541)^2</f>
        <v>2.2499999999999999E-2</v>
      </c>
      <c r="O541" s="1">
        <f>(Occurrence!C$3-E541)^2</f>
        <v>4.0000000000000008E-2</v>
      </c>
      <c r="P541" s="1">
        <f>(Occurrence!D$3-F541)^2</f>
        <v>0.72249999999999992</v>
      </c>
      <c r="Q541" s="1">
        <f>(Occurrence!E$3-G541)^2</f>
        <v>0.48999999999999994</v>
      </c>
      <c r="R541" s="1">
        <f>(Occurrence!F$3-H541)^2</f>
        <v>0.48999999999999994</v>
      </c>
      <c r="S541" s="1">
        <f>(Occurrence!G$3-I541)^2</f>
        <v>0.42250000000000004</v>
      </c>
      <c r="T541" s="1">
        <f>(Occurrence!H$3-J541)^2</f>
        <v>0.32490000000000008</v>
      </c>
      <c r="U541" s="1">
        <f>(Occurrence!I$3-K541)^2</f>
        <v>0.64000000000000012</v>
      </c>
      <c r="V541" s="1">
        <f>(Occurrence!J$3-L541)^2</f>
        <v>2.5600000000000001E-2</v>
      </c>
      <c r="W541" s="1">
        <f>(Occurrence!K$3-M541)^2</f>
        <v>0.29160000000000003</v>
      </c>
      <c r="X541" s="1">
        <f t="shared" si="97"/>
        <v>3.4695999999999998</v>
      </c>
      <c r="Z541" s="1">
        <f t="shared" si="98"/>
        <v>0</v>
      </c>
      <c r="AA541" s="1">
        <f t="shared" si="99"/>
        <v>0</v>
      </c>
      <c r="AB541" s="1">
        <f t="shared" si="100"/>
        <v>0</v>
      </c>
      <c r="AC541" s="1">
        <f t="shared" si="101"/>
        <v>0</v>
      </c>
      <c r="AD541" s="1">
        <f t="shared" si="102"/>
        <v>1</v>
      </c>
      <c r="AE541" s="1">
        <f t="shared" si="103"/>
        <v>1</v>
      </c>
      <c r="AF541" s="1">
        <f t="shared" si="104"/>
        <v>0</v>
      </c>
      <c r="AG541" s="1">
        <f t="shared" si="105"/>
        <v>0</v>
      </c>
      <c r="AH541" s="1">
        <f t="shared" si="106"/>
        <v>0</v>
      </c>
      <c r="AI541" s="1">
        <f t="shared" si="107"/>
        <v>0</v>
      </c>
      <c r="AJ541" s="1">
        <f>SUMXMY2(Z541:AI541, Occurrence!B$3:K$3)</f>
        <v>7</v>
      </c>
      <c r="AK541" s="1">
        <f t="shared" si="108"/>
        <v>3</v>
      </c>
    </row>
    <row r="542" spans="1:37">
      <c r="A542" s="1">
        <v>541</v>
      </c>
      <c r="B542" s="1">
        <v>4252540</v>
      </c>
      <c r="C542" s="6" t="s">
        <v>40</v>
      </c>
      <c r="D542" s="1">
        <v>0.01</v>
      </c>
      <c r="E542" s="1">
        <v>0.09</v>
      </c>
      <c r="F542" s="1">
        <v>0.5</v>
      </c>
      <c r="G542" s="1">
        <v>0.7</v>
      </c>
      <c r="H542" s="1">
        <v>0.48</v>
      </c>
      <c r="I542" s="1">
        <v>0.4</v>
      </c>
      <c r="J542" s="1">
        <v>0.86</v>
      </c>
      <c r="K542" s="1">
        <v>0.9</v>
      </c>
      <c r="L542" s="1">
        <v>0.3</v>
      </c>
      <c r="M542" s="1">
        <v>0.78</v>
      </c>
      <c r="N542" s="1">
        <f>(Occurrence!B$3-D542)^2</f>
        <v>1E-4</v>
      </c>
      <c r="O542" s="1">
        <f>(Occurrence!C$3-E542)^2</f>
        <v>8.0999999999999996E-3</v>
      </c>
      <c r="P542" s="1">
        <f>(Occurrence!D$3-F542)^2</f>
        <v>0.25</v>
      </c>
      <c r="Q542" s="1">
        <f>(Occurrence!E$3-G542)^2</f>
        <v>9.0000000000000024E-2</v>
      </c>
      <c r="R542" s="1">
        <f>(Occurrence!F$3-H542)^2</f>
        <v>0.23039999999999999</v>
      </c>
      <c r="S542" s="1">
        <f>(Occurrence!G$3-I542)^2</f>
        <v>0.16000000000000003</v>
      </c>
      <c r="T542" s="1">
        <f>(Occurrence!H$3-J542)^2</f>
        <v>1.9600000000000003E-2</v>
      </c>
      <c r="U542" s="1">
        <f>(Occurrence!I$3-K542)^2</f>
        <v>9.999999999999995E-3</v>
      </c>
      <c r="V542" s="1">
        <f>(Occurrence!J$3-L542)^2</f>
        <v>0.09</v>
      </c>
      <c r="W542" s="1">
        <f>(Occurrence!K$3-M542)^2</f>
        <v>4.8399999999999992E-2</v>
      </c>
      <c r="X542" s="1">
        <f t="shared" si="97"/>
        <v>0.90659999999999996</v>
      </c>
      <c r="Z542" s="1">
        <f t="shared" si="98"/>
        <v>0</v>
      </c>
      <c r="AA542" s="1">
        <f t="shared" si="99"/>
        <v>0</v>
      </c>
      <c r="AB542" s="1">
        <f t="shared" si="100"/>
        <v>1</v>
      </c>
      <c r="AC542" s="1">
        <f t="shared" si="101"/>
        <v>1</v>
      </c>
      <c r="AD542" s="1">
        <f t="shared" si="102"/>
        <v>0</v>
      </c>
      <c r="AE542" s="1">
        <f t="shared" si="103"/>
        <v>0</v>
      </c>
      <c r="AF542" s="1">
        <f t="shared" si="104"/>
        <v>1</v>
      </c>
      <c r="AG542" s="1">
        <f t="shared" si="105"/>
        <v>1</v>
      </c>
      <c r="AH542" s="1">
        <f t="shared" si="106"/>
        <v>0</v>
      </c>
      <c r="AI542" s="1">
        <f t="shared" si="107"/>
        <v>1</v>
      </c>
      <c r="AJ542" s="1">
        <f>SUMXMY2(Z542:AI542, Occurrence!B$3:K$3)</f>
        <v>0</v>
      </c>
      <c r="AK542" s="1">
        <f t="shared" si="108"/>
        <v>10</v>
      </c>
    </row>
    <row r="543" spans="1:37">
      <c r="A543" s="1">
        <v>542</v>
      </c>
      <c r="B543" s="1">
        <v>4252541</v>
      </c>
      <c r="C543" s="6" t="s">
        <v>41</v>
      </c>
      <c r="D543" s="1">
        <v>0.1</v>
      </c>
      <c r="E543" s="1">
        <v>0.15</v>
      </c>
      <c r="F543" s="1">
        <v>0.1</v>
      </c>
      <c r="G543" s="1">
        <v>0.2</v>
      </c>
      <c r="H543" s="1">
        <v>0.23</v>
      </c>
      <c r="I543" s="1">
        <v>0.75</v>
      </c>
      <c r="J543" s="1">
        <v>0.14000000000000001</v>
      </c>
      <c r="K543" s="1">
        <v>0.84</v>
      </c>
      <c r="L543" s="1">
        <v>0.63</v>
      </c>
      <c r="M543" s="1">
        <v>0.33</v>
      </c>
      <c r="N543" s="1">
        <f>(Occurrence!B$3-D543)^2</f>
        <v>1.0000000000000002E-2</v>
      </c>
      <c r="O543" s="1">
        <f>(Occurrence!C$3-E543)^2</f>
        <v>2.2499999999999999E-2</v>
      </c>
      <c r="P543" s="1">
        <f>(Occurrence!D$3-F543)^2</f>
        <v>0.81</v>
      </c>
      <c r="Q543" s="1">
        <f>(Occurrence!E$3-G543)^2</f>
        <v>0.64000000000000012</v>
      </c>
      <c r="R543" s="1">
        <f>(Occurrence!F$3-H543)^2</f>
        <v>5.2900000000000003E-2</v>
      </c>
      <c r="S543" s="1">
        <f>(Occurrence!G$3-I543)^2</f>
        <v>0.5625</v>
      </c>
      <c r="T543" s="1">
        <f>(Occurrence!H$3-J543)^2</f>
        <v>0.73959999999999992</v>
      </c>
      <c r="U543" s="1">
        <f>(Occurrence!I$3-K543)^2</f>
        <v>2.5600000000000012E-2</v>
      </c>
      <c r="V543" s="1">
        <f>(Occurrence!J$3-L543)^2</f>
        <v>0.39690000000000003</v>
      </c>
      <c r="W543" s="1">
        <f>(Occurrence!K$3-M543)^2</f>
        <v>0.44889999999999991</v>
      </c>
      <c r="X543" s="1">
        <f t="shared" si="97"/>
        <v>3.7088999999999999</v>
      </c>
      <c r="Z543" s="1">
        <f t="shared" si="98"/>
        <v>0</v>
      </c>
      <c r="AA543" s="1">
        <f t="shared" si="99"/>
        <v>0</v>
      </c>
      <c r="AB543" s="1">
        <f t="shared" si="100"/>
        <v>0</v>
      </c>
      <c r="AC543" s="1">
        <f t="shared" si="101"/>
        <v>0</v>
      </c>
      <c r="AD543" s="1">
        <f t="shared" si="102"/>
        <v>0</v>
      </c>
      <c r="AE543" s="1">
        <f t="shared" si="103"/>
        <v>1</v>
      </c>
      <c r="AF543" s="1">
        <f t="shared" si="104"/>
        <v>0</v>
      </c>
      <c r="AG543" s="1">
        <f t="shared" si="105"/>
        <v>1</v>
      </c>
      <c r="AH543" s="1">
        <f t="shared" si="106"/>
        <v>1</v>
      </c>
      <c r="AI543" s="1">
        <f t="shared" si="107"/>
        <v>0</v>
      </c>
      <c r="AJ543" s="1">
        <f>SUMXMY2(Z543:AI543, Occurrence!B$3:K$3)</f>
        <v>6</v>
      </c>
      <c r="AK543" s="1">
        <f t="shared" si="108"/>
        <v>4</v>
      </c>
    </row>
    <row r="544" spans="1:37">
      <c r="A544" s="1">
        <v>543</v>
      </c>
      <c r="B544" s="1">
        <v>4252542</v>
      </c>
      <c r="C544" s="6" t="s">
        <v>41</v>
      </c>
      <c r="D544" s="1">
        <v>0.01</v>
      </c>
      <c r="E544" s="1">
        <v>0.1</v>
      </c>
      <c r="F544" s="1">
        <v>0.25</v>
      </c>
      <c r="G544" s="1">
        <v>0.75</v>
      </c>
      <c r="H544" s="1">
        <v>0.74</v>
      </c>
      <c r="I544" s="1">
        <v>0.5</v>
      </c>
      <c r="J544" s="1">
        <v>0.28999999999999998</v>
      </c>
      <c r="K544" s="1">
        <v>0.01</v>
      </c>
      <c r="L544" s="1">
        <v>0.47</v>
      </c>
      <c r="M544" s="1">
        <v>0.84</v>
      </c>
      <c r="N544" s="1">
        <f>(Occurrence!B$3-D544)^2</f>
        <v>1E-4</v>
      </c>
      <c r="O544" s="1">
        <f>(Occurrence!C$3-E544)^2</f>
        <v>1.0000000000000002E-2</v>
      </c>
      <c r="P544" s="1">
        <f>(Occurrence!D$3-F544)^2</f>
        <v>0.5625</v>
      </c>
      <c r="Q544" s="1">
        <f>(Occurrence!E$3-G544)^2</f>
        <v>6.25E-2</v>
      </c>
      <c r="R544" s="1">
        <f>(Occurrence!F$3-H544)^2</f>
        <v>0.54759999999999998</v>
      </c>
      <c r="S544" s="1">
        <f>(Occurrence!G$3-I544)^2</f>
        <v>0.25</v>
      </c>
      <c r="T544" s="1">
        <f>(Occurrence!H$3-J544)^2</f>
        <v>0.50409999999999999</v>
      </c>
      <c r="U544" s="1">
        <f>(Occurrence!I$3-K544)^2</f>
        <v>0.98009999999999997</v>
      </c>
      <c r="V544" s="1">
        <f>(Occurrence!J$3-L544)^2</f>
        <v>0.22089999999999999</v>
      </c>
      <c r="W544" s="1">
        <f>(Occurrence!K$3-M544)^2</f>
        <v>2.5600000000000012E-2</v>
      </c>
      <c r="X544" s="1">
        <f t="shared" si="97"/>
        <v>3.1633999999999998</v>
      </c>
      <c r="Z544" s="1">
        <f t="shared" si="98"/>
        <v>0</v>
      </c>
      <c r="AA544" s="1">
        <f t="shared" si="99"/>
        <v>0</v>
      </c>
      <c r="AB544" s="1">
        <f t="shared" si="100"/>
        <v>0</v>
      </c>
      <c r="AC544" s="1">
        <f t="shared" si="101"/>
        <v>1</v>
      </c>
      <c r="AD544" s="1">
        <f t="shared" si="102"/>
        <v>1</v>
      </c>
      <c r="AE544" s="1">
        <f t="shared" si="103"/>
        <v>1</v>
      </c>
      <c r="AF544" s="1">
        <f t="shared" si="104"/>
        <v>0</v>
      </c>
      <c r="AG544" s="1">
        <f t="shared" si="105"/>
        <v>0</v>
      </c>
      <c r="AH544" s="1">
        <f t="shared" si="106"/>
        <v>0</v>
      </c>
      <c r="AI544" s="1">
        <f t="shared" si="107"/>
        <v>1</v>
      </c>
      <c r="AJ544" s="1">
        <f>SUMXMY2(Z544:AI544, Occurrence!B$3:K$3)</f>
        <v>5</v>
      </c>
      <c r="AK544" s="1">
        <f t="shared" si="108"/>
        <v>5</v>
      </c>
    </row>
    <row r="545" spans="1:37">
      <c r="A545" s="1">
        <v>544</v>
      </c>
      <c r="B545" s="1">
        <v>4252543</v>
      </c>
      <c r="C545" s="6" t="s">
        <v>41</v>
      </c>
      <c r="D545" s="1">
        <v>0.45</v>
      </c>
      <c r="E545" s="1">
        <v>0.8</v>
      </c>
      <c r="F545" s="1">
        <v>0.01</v>
      </c>
      <c r="G545" s="1">
        <v>0.2</v>
      </c>
      <c r="H545" s="1">
        <v>0.65</v>
      </c>
      <c r="I545" s="1">
        <v>0</v>
      </c>
      <c r="J545" s="1">
        <v>0.8</v>
      </c>
      <c r="K545" s="1">
        <v>0.9</v>
      </c>
      <c r="L545" s="1">
        <v>0.4</v>
      </c>
      <c r="M545" s="1">
        <v>0.7</v>
      </c>
      <c r="N545" s="1">
        <f>(Occurrence!B$3-D545)^2</f>
        <v>0.20250000000000001</v>
      </c>
      <c r="O545" s="1">
        <f>(Occurrence!C$3-E545)^2</f>
        <v>0.64000000000000012</v>
      </c>
      <c r="P545" s="1">
        <f>(Occurrence!D$3-F545)^2</f>
        <v>0.98009999999999997</v>
      </c>
      <c r="Q545" s="1">
        <f>(Occurrence!E$3-G545)^2</f>
        <v>0.64000000000000012</v>
      </c>
      <c r="R545" s="1">
        <f>(Occurrence!F$3-H545)^2</f>
        <v>0.42250000000000004</v>
      </c>
      <c r="S545" s="1">
        <f>(Occurrence!G$3-I545)^2</f>
        <v>0</v>
      </c>
      <c r="T545" s="1">
        <f>(Occurrence!H$3-J545)^2</f>
        <v>3.999999999999998E-2</v>
      </c>
      <c r="U545" s="1">
        <f>(Occurrence!I$3-K545)^2</f>
        <v>9.999999999999995E-3</v>
      </c>
      <c r="V545" s="1">
        <f>(Occurrence!J$3-L545)^2</f>
        <v>0.16000000000000003</v>
      </c>
      <c r="W545" s="1">
        <f>(Occurrence!K$3-M545)^2</f>
        <v>9.0000000000000024E-2</v>
      </c>
      <c r="X545" s="1">
        <f t="shared" si="97"/>
        <v>3.1850999999999998</v>
      </c>
      <c r="Z545" s="1">
        <f t="shared" si="98"/>
        <v>0</v>
      </c>
      <c r="AA545" s="1">
        <f t="shared" si="99"/>
        <v>1</v>
      </c>
      <c r="AB545" s="1">
        <f t="shared" si="100"/>
        <v>0</v>
      </c>
      <c r="AC545" s="1">
        <f t="shared" si="101"/>
        <v>0</v>
      </c>
      <c r="AD545" s="1">
        <f t="shared" si="102"/>
        <v>1</v>
      </c>
      <c r="AE545" s="1">
        <f t="shared" si="103"/>
        <v>0</v>
      </c>
      <c r="AF545" s="1">
        <f t="shared" si="104"/>
        <v>1</v>
      </c>
      <c r="AG545" s="1">
        <f t="shared" si="105"/>
        <v>1</v>
      </c>
      <c r="AH545" s="1">
        <f t="shared" si="106"/>
        <v>0</v>
      </c>
      <c r="AI545" s="1">
        <f t="shared" si="107"/>
        <v>1</v>
      </c>
      <c r="AJ545" s="1">
        <f>SUMXMY2(Z545:AI545, Occurrence!B$3:K$3)</f>
        <v>4</v>
      </c>
      <c r="AK545" s="1">
        <f t="shared" si="108"/>
        <v>6</v>
      </c>
    </row>
    <row r="546" spans="1:37">
      <c r="A546" s="1">
        <v>545</v>
      </c>
      <c r="B546" s="1">
        <v>4252544</v>
      </c>
      <c r="C546" s="6" t="s">
        <v>41</v>
      </c>
      <c r="D546" s="1">
        <v>0.1</v>
      </c>
      <c r="E546" s="1">
        <v>0.25</v>
      </c>
      <c r="F546" s="1">
        <v>0.1</v>
      </c>
      <c r="G546" s="1">
        <v>0.25</v>
      </c>
      <c r="H546" s="1">
        <v>0.5</v>
      </c>
      <c r="I546" s="1">
        <v>0.1</v>
      </c>
      <c r="J546" s="1">
        <v>0.3</v>
      </c>
      <c r="K546" s="1">
        <v>1</v>
      </c>
      <c r="L546" s="1">
        <v>0.4</v>
      </c>
      <c r="M546" s="1">
        <v>0.2</v>
      </c>
      <c r="N546" s="1">
        <f>(Occurrence!B$3-D546)^2</f>
        <v>1.0000000000000002E-2</v>
      </c>
      <c r="O546" s="1">
        <f>(Occurrence!C$3-E546)^2</f>
        <v>6.25E-2</v>
      </c>
      <c r="P546" s="1">
        <f>(Occurrence!D$3-F546)^2</f>
        <v>0.81</v>
      </c>
      <c r="Q546" s="1">
        <f>(Occurrence!E$3-G546)^2</f>
        <v>0.5625</v>
      </c>
      <c r="R546" s="1">
        <f>(Occurrence!F$3-H546)^2</f>
        <v>0.25</v>
      </c>
      <c r="S546" s="1">
        <f>(Occurrence!G$3-I546)^2</f>
        <v>1.0000000000000002E-2</v>
      </c>
      <c r="T546" s="1">
        <f>(Occurrence!H$3-J546)^2</f>
        <v>0.48999999999999994</v>
      </c>
      <c r="U546" s="1">
        <f>(Occurrence!I$3-K546)^2</f>
        <v>0</v>
      </c>
      <c r="V546" s="1">
        <f>(Occurrence!J$3-L546)^2</f>
        <v>0.16000000000000003</v>
      </c>
      <c r="W546" s="1">
        <f>(Occurrence!K$3-M546)^2</f>
        <v>0.64000000000000012</v>
      </c>
      <c r="X546" s="1">
        <f t="shared" si="97"/>
        <v>2.9950000000000001</v>
      </c>
      <c r="Z546" s="1">
        <f t="shared" si="98"/>
        <v>0</v>
      </c>
      <c r="AA546" s="1">
        <f t="shared" si="99"/>
        <v>0</v>
      </c>
      <c r="AB546" s="1">
        <f t="shared" si="100"/>
        <v>0</v>
      </c>
      <c r="AC546" s="1">
        <f t="shared" si="101"/>
        <v>0</v>
      </c>
      <c r="AD546" s="1">
        <f t="shared" si="102"/>
        <v>1</v>
      </c>
      <c r="AE546" s="1">
        <f t="shared" si="103"/>
        <v>0</v>
      </c>
      <c r="AF546" s="1">
        <f t="shared" si="104"/>
        <v>0</v>
      </c>
      <c r="AG546" s="1">
        <f t="shared" si="105"/>
        <v>1</v>
      </c>
      <c r="AH546" s="1">
        <f t="shared" si="106"/>
        <v>0</v>
      </c>
      <c r="AI546" s="1">
        <f t="shared" si="107"/>
        <v>0</v>
      </c>
      <c r="AJ546" s="1">
        <f>SUMXMY2(Z546:AI546, Occurrence!B$3:K$3)</f>
        <v>5</v>
      </c>
      <c r="AK546" s="1">
        <f t="shared" si="108"/>
        <v>5</v>
      </c>
    </row>
    <row r="547" spans="1:37">
      <c r="A547" s="1">
        <v>546</v>
      </c>
      <c r="B547" s="1">
        <v>4252545</v>
      </c>
      <c r="C547" s="6" t="s">
        <v>41</v>
      </c>
      <c r="D547" s="1">
        <v>0.05</v>
      </c>
      <c r="E547" s="1">
        <v>0.3</v>
      </c>
      <c r="F547" s="1">
        <v>0.2</v>
      </c>
      <c r="G547" s="1">
        <v>0.6</v>
      </c>
      <c r="H547" s="1">
        <v>0.75</v>
      </c>
      <c r="I547" s="1">
        <v>0.35</v>
      </c>
      <c r="J547" s="1">
        <v>0.22</v>
      </c>
      <c r="K547" s="1">
        <v>0.34</v>
      </c>
      <c r="L547" s="1">
        <v>0.77</v>
      </c>
      <c r="M547" s="1">
        <v>0.83</v>
      </c>
      <c r="N547" s="1">
        <f>(Occurrence!B$3-D547)^2</f>
        <v>2.5000000000000005E-3</v>
      </c>
      <c r="O547" s="1">
        <f>(Occurrence!C$3-E547)^2</f>
        <v>0.09</v>
      </c>
      <c r="P547" s="1">
        <f>(Occurrence!D$3-F547)^2</f>
        <v>0.64000000000000012</v>
      </c>
      <c r="Q547" s="1">
        <f>(Occurrence!E$3-G547)^2</f>
        <v>0.16000000000000003</v>
      </c>
      <c r="R547" s="1">
        <f>(Occurrence!F$3-H547)^2</f>
        <v>0.5625</v>
      </c>
      <c r="S547" s="1">
        <f>(Occurrence!G$3-I547)^2</f>
        <v>0.12249999999999998</v>
      </c>
      <c r="T547" s="1">
        <f>(Occurrence!H$3-J547)^2</f>
        <v>0.60840000000000005</v>
      </c>
      <c r="U547" s="1">
        <f>(Occurrence!I$3-K547)^2</f>
        <v>0.43559999999999988</v>
      </c>
      <c r="V547" s="1">
        <f>(Occurrence!J$3-L547)^2</f>
        <v>0.59289999999999998</v>
      </c>
      <c r="W547" s="1">
        <f>(Occurrence!K$3-M547)^2</f>
        <v>2.8900000000000012E-2</v>
      </c>
      <c r="X547" s="1">
        <f t="shared" si="97"/>
        <v>3.2433000000000005</v>
      </c>
      <c r="Z547" s="1">
        <f t="shared" si="98"/>
        <v>0</v>
      </c>
      <c r="AA547" s="1">
        <f t="shared" si="99"/>
        <v>0</v>
      </c>
      <c r="AB547" s="1">
        <f t="shared" si="100"/>
        <v>0</v>
      </c>
      <c r="AC547" s="1">
        <f t="shared" si="101"/>
        <v>1</v>
      </c>
      <c r="AD547" s="1">
        <f t="shared" si="102"/>
        <v>1</v>
      </c>
      <c r="AE547" s="1">
        <f t="shared" si="103"/>
        <v>0</v>
      </c>
      <c r="AF547" s="1">
        <f t="shared" si="104"/>
        <v>0</v>
      </c>
      <c r="AG547" s="1">
        <f t="shared" si="105"/>
        <v>0</v>
      </c>
      <c r="AH547" s="1">
        <f t="shared" si="106"/>
        <v>1</v>
      </c>
      <c r="AI547" s="1">
        <f t="shared" si="107"/>
        <v>1</v>
      </c>
      <c r="AJ547" s="1">
        <f>SUMXMY2(Z547:AI547, Occurrence!B$3:K$3)</f>
        <v>5</v>
      </c>
      <c r="AK547" s="1">
        <f t="shared" si="108"/>
        <v>5</v>
      </c>
    </row>
    <row r="548" spans="1:37">
      <c r="A548" s="1">
        <v>547</v>
      </c>
      <c r="B548" s="1">
        <v>4252546</v>
      </c>
      <c r="C548" s="6" t="s">
        <v>41</v>
      </c>
      <c r="D548" s="1">
        <v>0.01</v>
      </c>
      <c r="E548" s="1">
        <v>0.09</v>
      </c>
      <c r="F548" s="1">
        <v>0.46</v>
      </c>
      <c r="G548" s="1">
        <v>0.5</v>
      </c>
      <c r="H548" s="1">
        <v>0.53</v>
      </c>
      <c r="I548" s="1">
        <v>0.17</v>
      </c>
      <c r="J548" s="1">
        <v>0.27</v>
      </c>
      <c r="K548" s="1">
        <v>0.34</v>
      </c>
      <c r="L548" s="1">
        <v>0.86</v>
      </c>
      <c r="M548" s="1">
        <v>0.56000000000000005</v>
      </c>
      <c r="N548" s="1">
        <f>(Occurrence!B$3-D548)^2</f>
        <v>1E-4</v>
      </c>
      <c r="O548" s="1">
        <f>(Occurrence!C$3-E548)^2</f>
        <v>8.0999999999999996E-3</v>
      </c>
      <c r="P548" s="1">
        <f>(Occurrence!D$3-F548)^2</f>
        <v>0.29160000000000003</v>
      </c>
      <c r="Q548" s="1">
        <f>(Occurrence!E$3-G548)^2</f>
        <v>0.25</v>
      </c>
      <c r="R548" s="1">
        <f>(Occurrence!F$3-H548)^2</f>
        <v>0.28090000000000004</v>
      </c>
      <c r="S548" s="1">
        <f>(Occurrence!G$3-I548)^2</f>
        <v>2.8900000000000006E-2</v>
      </c>
      <c r="T548" s="1">
        <f>(Occurrence!H$3-J548)^2</f>
        <v>0.53289999999999993</v>
      </c>
      <c r="U548" s="1">
        <f>(Occurrence!I$3-K548)^2</f>
        <v>0.43559999999999988</v>
      </c>
      <c r="V548" s="1">
        <f>(Occurrence!J$3-L548)^2</f>
        <v>0.73959999999999992</v>
      </c>
      <c r="W548" s="1">
        <f>(Occurrence!K$3-M548)^2</f>
        <v>0.19359999999999997</v>
      </c>
      <c r="X548" s="1">
        <f t="shared" si="97"/>
        <v>2.7612999999999999</v>
      </c>
      <c r="Z548" s="1">
        <f t="shared" si="98"/>
        <v>0</v>
      </c>
      <c r="AA548" s="1">
        <f t="shared" si="99"/>
        <v>0</v>
      </c>
      <c r="AB548" s="1">
        <f t="shared" si="100"/>
        <v>0</v>
      </c>
      <c r="AC548" s="1">
        <f t="shared" si="101"/>
        <v>1</v>
      </c>
      <c r="AD548" s="1">
        <f t="shared" si="102"/>
        <v>1</v>
      </c>
      <c r="AE548" s="1">
        <f t="shared" si="103"/>
        <v>0</v>
      </c>
      <c r="AF548" s="1">
        <f t="shared" si="104"/>
        <v>0</v>
      </c>
      <c r="AG548" s="1">
        <f t="shared" si="105"/>
        <v>0</v>
      </c>
      <c r="AH548" s="1">
        <f t="shared" si="106"/>
        <v>1</v>
      </c>
      <c r="AI548" s="1">
        <f t="shared" si="107"/>
        <v>1</v>
      </c>
      <c r="AJ548" s="1">
        <f>SUMXMY2(Z548:AI548, Occurrence!B$3:K$3)</f>
        <v>5</v>
      </c>
      <c r="AK548" s="1">
        <f t="shared" si="108"/>
        <v>5</v>
      </c>
    </row>
    <row r="549" spans="1:37">
      <c r="A549" s="1">
        <v>548</v>
      </c>
      <c r="B549" s="1">
        <v>4252547</v>
      </c>
      <c r="C549" s="6" t="s">
        <v>41</v>
      </c>
      <c r="D549" s="1">
        <v>0.1</v>
      </c>
      <c r="E549" s="1">
        <v>0.2</v>
      </c>
      <c r="F549" s="1">
        <v>0.4</v>
      </c>
      <c r="G549" s="1">
        <v>0.5</v>
      </c>
      <c r="H549" s="1">
        <v>0.5</v>
      </c>
      <c r="I549" s="1">
        <v>0.35</v>
      </c>
      <c r="J549" s="1">
        <v>0.17</v>
      </c>
      <c r="K549" s="1">
        <v>0.55000000000000004</v>
      </c>
      <c r="L549" s="1">
        <v>0.05</v>
      </c>
      <c r="M549" s="1">
        <v>0.2</v>
      </c>
      <c r="N549" s="1">
        <f>(Occurrence!B$3-D549)^2</f>
        <v>1.0000000000000002E-2</v>
      </c>
      <c r="O549" s="1">
        <f>(Occurrence!C$3-E549)^2</f>
        <v>4.0000000000000008E-2</v>
      </c>
      <c r="P549" s="1">
        <f>(Occurrence!D$3-F549)^2</f>
        <v>0.36</v>
      </c>
      <c r="Q549" s="1">
        <f>(Occurrence!E$3-G549)^2</f>
        <v>0.25</v>
      </c>
      <c r="R549" s="1">
        <f>(Occurrence!F$3-H549)^2</f>
        <v>0.25</v>
      </c>
      <c r="S549" s="1">
        <f>(Occurrence!G$3-I549)^2</f>
        <v>0.12249999999999998</v>
      </c>
      <c r="T549" s="1">
        <f>(Occurrence!H$3-J549)^2</f>
        <v>0.68889999999999996</v>
      </c>
      <c r="U549" s="1">
        <f>(Occurrence!I$3-K549)^2</f>
        <v>0.20249999999999996</v>
      </c>
      <c r="V549" s="1">
        <f>(Occurrence!J$3-L549)^2</f>
        <v>2.5000000000000005E-3</v>
      </c>
      <c r="W549" s="1">
        <f>(Occurrence!K$3-M549)^2</f>
        <v>0.64000000000000012</v>
      </c>
      <c r="X549" s="1">
        <f t="shared" si="97"/>
        <v>2.5663999999999998</v>
      </c>
      <c r="Z549" s="1">
        <f t="shared" si="98"/>
        <v>0</v>
      </c>
      <c r="AA549" s="1">
        <f t="shared" si="99"/>
        <v>0</v>
      </c>
      <c r="AB549" s="1">
        <f t="shared" si="100"/>
        <v>0</v>
      </c>
      <c r="AC549" s="1">
        <f t="shared" si="101"/>
        <v>1</v>
      </c>
      <c r="AD549" s="1">
        <f t="shared" si="102"/>
        <v>1</v>
      </c>
      <c r="AE549" s="1">
        <f t="shared" si="103"/>
        <v>0</v>
      </c>
      <c r="AF549" s="1">
        <f t="shared" si="104"/>
        <v>0</v>
      </c>
      <c r="AG549" s="1">
        <f t="shared" si="105"/>
        <v>1</v>
      </c>
      <c r="AH549" s="1">
        <f t="shared" si="106"/>
        <v>0</v>
      </c>
      <c r="AI549" s="1">
        <f t="shared" si="107"/>
        <v>0</v>
      </c>
      <c r="AJ549" s="1">
        <f>SUMXMY2(Z549:AI549, Occurrence!B$3:K$3)</f>
        <v>4</v>
      </c>
      <c r="AK549" s="1">
        <f t="shared" si="108"/>
        <v>6</v>
      </c>
    </row>
    <row r="550" spans="1:37">
      <c r="A550" s="1">
        <v>549</v>
      </c>
      <c r="B550" s="1">
        <v>4252548</v>
      </c>
      <c r="C550" s="6" t="s">
        <v>41</v>
      </c>
      <c r="D550" s="1">
        <v>0.2</v>
      </c>
      <c r="E550" s="1">
        <v>0.4</v>
      </c>
      <c r="F550" s="1">
        <v>0.15</v>
      </c>
      <c r="G550" s="1">
        <v>0.3</v>
      </c>
      <c r="H550" s="1">
        <v>0.65</v>
      </c>
      <c r="I550" s="1">
        <v>0.5</v>
      </c>
      <c r="J550" s="1">
        <v>0.2</v>
      </c>
      <c r="K550" s="1">
        <v>0.32</v>
      </c>
      <c r="L550" s="1">
        <v>0.22</v>
      </c>
      <c r="M550" s="1">
        <v>0.13</v>
      </c>
      <c r="N550" s="1">
        <f>(Occurrence!B$3-D550)^2</f>
        <v>4.0000000000000008E-2</v>
      </c>
      <c r="O550" s="1">
        <f>(Occurrence!C$3-E550)^2</f>
        <v>0.16000000000000003</v>
      </c>
      <c r="P550" s="1">
        <f>(Occurrence!D$3-F550)^2</f>
        <v>0.72249999999999992</v>
      </c>
      <c r="Q550" s="1">
        <f>(Occurrence!E$3-G550)^2</f>
        <v>0.48999999999999994</v>
      </c>
      <c r="R550" s="1">
        <f>(Occurrence!F$3-H550)^2</f>
        <v>0.42250000000000004</v>
      </c>
      <c r="S550" s="1">
        <f>(Occurrence!G$3-I550)^2</f>
        <v>0.25</v>
      </c>
      <c r="T550" s="1">
        <f>(Occurrence!H$3-J550)^2</f>
        <v>0.64000000000000012</v>
      </c>
      <c r="U550" s="1">
        <f>(Occurrence!I$3-K550)^2</f>
        <v>0.46239999999999992</v>
      </c>
      <c r="V550" s="1">
        <f>(Occurrence!J$3-L550)^2</f>
        <v>4.8399999999999999E-2</v>
      </c>
      <c r="W550" s="1">
        <f>(Occurrence!K$3-M550)^2</f>
        <v>0.75690000000000002</v>
      </c>
      <c r="X550" s="1">
        <f t="shared" si="97"/>
        <v>3.9927000000000001</v>
      </c>
      <c r="Z550" s="1">
        <f t="shared" si="98"/>
        <v>0</v>
      </c>
      <c r="AA550" s="1">
        <f t="shared" si="99"/>
        <v>0</v>
      </c>
      <c r="AB550" s="1">
        <f t="shared" si="100"/>
        <v>0</v>
      </c>
      <c r="AC550" s="1">
        <f t="shared" si="101"/>
        <v>0</v>
      </c>
      <c r="AD550" s="1">
        <f t="shared" si="102"/>
        <v>1</v>
      </c>
      <c r="AE550" s="1">
        <f t="shared" si="103"/>
        <v>1</v>
      </c>
      <c r="AF550" s="1">
        <f t="shared" si="104"/>
        <v>0</v>
      </c>
      <c r="AG550" s="1">
        <f t="shared" si="105"/>
        <v>0</v>
      </c>
      <c r="AH550" s="1">
        <f t="shared" si="106"/>
        <v>0</v>
      </c>
      <c r="AI550" s="1">
        <f t="shared" si="107"/>
        <v>0</v>
      </c>
      <c r="AJ550" s="1">
        <f>SUMXMY2(Z550:AI550, Occurrence!B$3:K$3)</f>
        <v>7</v>
      </c>
      <c r="AK550" s="1">
        <f t="shared" si="108"/>
        <v>3</v>
      </c>
    </row>
    <row r="551" spans="1:37">
      <c r="A551" s="1">
        <v>550</v>
      </c>
      <c r="B551" s="1">
        <v>4252549</v>
      </c>
      <c r="C551" s="6" t="s">
        <v>41</v>
      </c>
      <c r="D551" s="1">
        <v>0.08</v>
      </c>
      <c r="E551" s="1">
        <v>0.12</v>
      </c>
      <c r="F551" s="1">
        <v>0.32</v>
      </c>
      <c r="G551" s="1">
        <v>0.48</v>
      </c>
      <c r="H551" s="1">
        <v>0.6</v>
      </c>
      <c r="I551" s="1">
        <v>0.42</v>
      </c>
      <c r="J551" s="1">
        <v>0.21</v>
      </c>
      <c r="K551" s="1">
        <v>0.34</v>
      </c>
      <c r="L551" s="1">
        <v>0.65</v>
      </c>
      <c r="M551" s="1">
        <v>0.99</v>
      </c>
      <c r="N551" s="1">
        <f>(Occurrence!B$3-D551)^2</f>
        <v>6.4000000000000003E-3</v>
      </c>
      <c r="O551" s="1">
        <f>(Occurrence!C$3-E551)^2</f>
        <v>1.44E-2</v>
      </c>
      <c r="P551" s="1">
        <f>(Occurrence!D$3-F551)^2</f>
        <v>0.46239999999999992</v>
      </c>
      <c r="Q551" s="1">
        <f>(Occurrence!E$3-G551)^2</f>
        <v>0.27040000000000003</v>
      </c>
      <c r="R551" s="1">
        <f>(Occurrence!F$3-H551)^2</f>
        <v>0.36</v>
      </c>
      <c r="S551" s="1">
        <f>(Occurrence!G$3-I551)^2</f>
        <v>0.17639999999999997</v>
      </c>
      <c r="T551" s="1">
        <f>(Occurrence!H$3-J551)^2</f>
        <v>0.6241000000000001</v>
      </c>
      <c r="U551" s="1">
        <f>(Occurrence!I$3-K551)^2</f>
        <v>0.43559999999999988</v>
      </c>
      <c r="V551" s="1">
        <f>(Occurrence!J$3-L551)^2</f>
        <v>0.42250000000000004</v>
      </c>
      <c r="W551" s="1">
        <f>(Occurrence!K$3-M551)^2</f>
        <v>1.0000000000000018E-4</v>
      </c>
      <c r="X551" s="1">
        <f t="shared" si="97"/>
        <v>2.7723</v>
      </c>
      <c r="Z551" s="1">
        <f t="shared" si="98"/>
        <v>0</v>
      </c>
      <c r="AA551" s="1">
        <f t="shared" si="99"/>
        <v>0</v>
      </c>
      <c r="AB551" s="1">
        <f t="shared" si="100"/>
        <v>0</v>
      </c>
      <c r="AC551" s="1">
        <f t="shared" si="101"/>
        <v>0</v>
      </c>
      <c r="AD551" s="1">
        <f t="shared" si="102"/>
        <v>1</v>
      </c>
      <c r="AE551" s="1">
        <f t="shared" si="103"/>
        <v>0</v>
      </c>
      <c r="AF551" s="1">
        <f t="shared" si="104"/>
        <v>0</v>
      </c>
      <c r="AG551" s="1">
        <f t="shared" si="105"/>
        <v>0</v>
      </c>
      <c r="AH551" s="1">
        <f t="shared" si="106"/>
        <v>1</v>
      </c>
      <c r="AI551" s="1">
        <f t="shared" si="107"/>
        <v>1</v>
      </c>
      <c r="AJ551" s="1">
        <f>SUMXMY2(Z551:AI551, Occurrence!B$3:K$3)</f>
        <v>6</v>
      </c>
      <c r="AK551" s="1">
        <f t="shared" si="108"/>
        <v>4</v>
      </c>
    </row>
    <row r="552" spans="1:37">
      <c r="A552" s="1">
        <v>551</v>
      </c>
      <c r="B552" s="1">
        <v>4252550</v>
      </c>
      <c r="C552" s="6" t="s">
        <v>41</v>
      </c>
      <c r="D552" s="1">
        <v>0.1</v>
      </c>
      <c r="E552" s="1">
        <v>0.3</v>
      </c>
      <c r="F552" s="1">
        <v>0.1</v>
      </c>
      <c r="G552" s="1">
        <v>0.3</v>
      </c>
      <c r="H552" s="1">
        <v>0.8</v>
      </c>
      <c r="I552" s="1">
        <v>0.9</v>
      </c>
      <c r="J552" s="1">
        <v>0.3</v>
      </c>
      <c r="K552" s="1">
        <v>0.4</v>
      </c>
      <c r="L552" s="1">
        <v>0.3</v>
      </c>
      <c r="M552" s="1">
        <v>0.7</v>
      </c>
      <c r="N552" s="1">
        <f>(Occurrence!B$3-D552)^2</f>
        <v>1.0000000000000002E-2</v>
      </c>
      <c r="O552" s="1">
        <f>(Occurrence!C$3-E552)^2</f>
        <v>0.09</v>
      </c>
      <c r="P552" s="1">
        <f>(Occurrence!D$3-F552)^2</f>
        <v>0.81</v>
      </c>
      <c r="Q552" s="1">
        <f>(Occurrence!E$3-G552)^2</f>
        <v>0.48999999999999994</v>
      </c>
      <c r="R552" s="1">
        <f>(Occurrence!F$3-H552)^2</f>
        <v>0.64000000000000012</v>
      </c>
      <c r="S552" s="1">
        <f>(Occurrence!G$3-I552)^2</f>
        <v>0.81</v>
      </c>
      <c r="T552" s="1">
        <f>(Occurrence!H$3-J552)^2</f>
        <v>0.48999999999999994</v>
      </c>
      <c r="U552" s="1">
        <f>(Occurrence!I$3-K552)^2</f>
        <v>0.36</v>
      </c>
      <c r="V552" s="1">
        <f>(Occurrence!J$3-L552)^2</f>
        <v>0.09</v>
      </c>
      <c r="W552" s="1">
        <f>(Occurrence!K$3-M552)^2</f>
        <v>9.0000000000000024E-2</v>
      </c>
      <c r="X552" s="1">
        <f t="shared" si="97"/>
        <v>3.8799999999999994</v>
      </c>
      <c r="Z552" s="1">
        <f t="shared" si="98"/>
        <v>0</v>
      </c>
      <c r="AA552" s="1">
        <f t="shared" si="99"/>
        <v>0</v>
      </c>
      <c r="AB552" s="1">
        <f t="shared" si="100"/>
        <v>0</v>
      </c>
      <c r="AC552" s="1">
        <f t="shared" si="101"/>
        <v>0</v>
      </c>
      <c r="AD552" s="1">
        <f t="shared" si="102"/>
        <v>1</v>
      </c>
      <c r="AE552" s="1">
        <f t="shared" si="103"/>
        <v>1</v>
      </c>
      <c r="AF552" s="1">
        <f t="shared" si="104"/>
        <v>0</v>
      </c>
      <c r="AG552" s="1">
        <f t="shared" si="105"/>
        <v>0</v>
      </c>
      <c r="AH552" s="1">
        <f t="shared" si="106"/>
        <v>0</v>
      </c>
      <c r="AI552" s="1">
        <f t="shared" si="107"/>
        <v>1</v>
      </c>
      <c r="AJ552" s="1">
        <f>SUMXMY2(Z552:AI552, Occurrence!B$3:K$3)</f>
        <v>6</v>
      </c>
      <c r="AK552" s="1">
        <f t="shared" si="108"/>
        <v>4</v>
      </c>
    </row>
    <row r="553" spans="1:37">
      <c r="A553" s="1">
        <v>552</v>
      </c>
      <c r="B553" s="1">
        <v>4252551</v>
      </c>
      <c r="C553" s="6" t="s">
        <v>41</v>
      </c>
      <c r="D553" s="1">
        <v>0.2</v>
      </c>
      <c r="E553" s="1">
        <v>0.43</v>
      </c>
      <c r="F553" s="1">
        <v>0.3</v>
      </c>
      <c r="G553" s="1">
        <v>0.37</v>
      </c>
      <c r="H553" s="1">
        <v>0.5</v>
      </c>
      <c r="I553" s="1">
        <v>0.3</v>
      </c>
      <c r="J553" s="1">
        <v>1</v>
      </c>
      <c r="K553" s="1">
        <v>0.14000000000000001</v>
      </c>
      <c r="L553" s="1">
        <v>0.5</v>
      </c>
      <c r="M553" s="1">
        <v>0.8</v>
      </c>
      <c r="N553" s="1">
        <f>(Occurrence!B$3-D553)^2</f>
        <v>4.0000000000000008E-2</v>
      </c>
      <c r="O553" s="1">
        <f>(Occurrence!C$3-E553)^2</f>
        <v>0.18489999999999998</v>
      </c>
      <c r="P553" s="1">
        <f>(Occurrence!D$3-F553)^2</f>
        <v>0.48999999999999994</v>
      </c>
      <c r="Q553" s="1">
        <f>(Occurrence!E$3-G553)^2</f>
        <v>0.39690000000000003</v>
      </c>
      <c r="R553" s="1">
        <f>(Occurrence!F$3-H553)^2</f>
        <v>0.25</v>
      </c>
      <c r="S553" s="1">
        <f>(Occurrence!G$3-I553)^2</f>
        <v>0.09</v>
      </c>
      <c r="T553" s="1">
        <f>(Occurrence!H$3-J553)^2</f>
        <v>0</v>
      </c>
      <c r="U553" s="1">
        <f>(Occurrence!I$3-K553)^2</f>
        <v>0.73959999999999992</v>
      </c>
      <c r="V553" s="1">
        <f>(Occurrence!J$3-L553)^2</f>
        <v>0.25</v>
      </c>
      <c r="W553" s="1">
        <f>(Occurrence!K$3-M553)^2</f>
        <v>3.999999999999998E-2</v>
      </c>
      <c r="X553" s="1">
        <f t="shared" si="97"/>
        <v>2.4813999999999998</v>
      </c>
      <c r="Z553" s="1">
        <f t="shared" si="98"/>
        <v>0</v>
      </c>
      <c r="AA553" s="1">
        <f t="shared" si="99"/>
        <v>0</v>
      </c>
      <c r="AB553" s="1">
        <f t="shared" si="100"/>
        <v>0</v>
      </c>
      <c r="AC553" s="1">
        <f t="shared" si="101"/>
        <v>0</v>
      </c>
      <c r="AD553" s="1">
        <f t="shared" si="102"/>
        <v>1</v>
      </c>
      <c r="AE553" s="1">
        <f t="shared" si="103"/>
        <v>0</v>
      </c>
      <c r="AF553" s="1">
        <f t="shared" si="104"/>
        <v>1</v>
      </c>
      <c r="AG553" s="1">
        <f t="shared" si="105"/>
        <v>0</v>
      </c>
      <c r="AH553" s="1">
        <f t="shared" si="106"/>
        <v>1</v>
      </c>
      <c r="AI553" s="1">
        <f t="shared" si="107"/>
        <v>1</v>
      </c>
      <c r="AJ553" s="1">
        <f>SUMXMY2(Z553:AI553, Occurrence!B$3:K$3)</f>
        <v>5</v>
      </c>
      <c r="AK553" s="1">
        <f t="shared" si="108"/>
        <v>5</v>
      </c>
    </row>
    <row r="554" spans="1:37">
      <c r="A554" s="1">
        <v>553</v>
      </c>
      <c r="B554" s="1">
        <v>4252552</v>
      </c>
      <c r="C554" s="6" t="s">
        <v>41</v>
      </c>
      <c r="D554" s="1">
        <v>0.13</v>
      </c>
      <c r="E554" s="1">
        <v>0.2</v>
      </c>
      <c r="F554" s="1">
        <v>0.33</v>
      </c>
      <c r="G554" s="1">
        <v>0.42</v>
      </c>
      <c r="H554" s="1">
        <v>0.54</v>
      </c>
      <c r="I554" s="1">
        <v>0.63</v>
      </c>
      <c r="J554" s="1">
        <v>0.14000000000000001</v>
      </c>
      <c r="K554" s="1">
        <v>0.98</v>
      </c>
      <c r="L554" s="1">
        <v>9.2999999999999999E-2</v>
      </c>
      <c r="M554" s="1">
        <v>0.27</v>
      </c>
      <c r="N554" s="1">
        <f>(Occurrence!B$3-D554)^2</f>
        <v>1.6900000000000002E-2</v>
      </c>
      <c r="O554" s="1">
        <f>(Occurrence!C$3-E554)^2</f>
        <v>4.0000000000000008E-2</v>
      </c>
      <c r="P554" s="1">
        <f>(Occurrence!D$3-F554)^2</f>
        <v>0.44889999999999991</v>
      </c>
      <c r="Q554" s="1">
        <f>(Occurrence!E$3-G554)^2</f>
        <v>0.33640000000000009</v>
      </c>
      <c r="R554" s="1">
        <f>(Occurrence!F$3-H554)^2</f>
        <v>0.29160000000000003</v>
      </c>
      <c r="S554" s="1">
        <f>(Occurrence!G$3-I554)^2</f>
        <v>0.39690000000000003</v>
      </c>
      <c r="T554" s="1">
        <f>(Occurrence!H$3-J554)^2</f>
        <v>0.73959999999999992</v>
      </c>
      <c r="U554" s="1">
        <f>(Occurrence!I$3-K554)^2</f>
        <v>4.0000000000000072E-4</v>
      </c>
      <c r="V554" s="1">
        <f>(Occurrence!J$3-L554)^2</f>
        <v>8.6490000000000004E-3</v>
      </c>
      <c r="W554" s="1">
        <f>(Occurrence!K$3-M554)^2</f>
        <v>0.53289999999999993</v>
      </c>
      <c r="X554" s="1">
        <f t="shared" si="97"/>
        <v>2.8122490000000004</v>
      </c>
      <c r="Z554" s="1">
        <f t="shared" si="98"/>
        <v>0</v>
      </c>
      <c r="AA554" s="1">
        <f t="shared" si="99"/>
        <v>0</v>
      </c>
      <c r="AB554" s="1">
        <f t="shared" si="100"/>
        <v>0</v>
      </c>
      <c r="AC554" s="1">
        <f t="shared" si="101"/>
        <v>0</v>
      </c>
      <c r="AD554" s="1">
        <f t="shared" si="102"/>
        <v>1</v>
      </c>
      <c r="AE554" s="1">
        <f t="shared" si="103"/>
        <v>1</v>
      </c>
      <c r="AF554" s="1">
        <f t="shared" si="104"/>
        <v>0</v>
      </c>
      <c r="AG554" s="1">
        <f t="shared" si="105"/>
        <v>1</v>
      </c>
      <c r="AH554" s="1">
        <f t="shared" si="106"/>
        <v>0</v>
      </c>
      <c r="AI554" s="1">
        <f t="shared" si="107"/>
        <v>0</v>
      </c>
      <c r="AJ554" s="1">
        <f>SUMXMY2(Z554:AI554, Occurrence!B$3:K$3)</f>
        <v>6</v>
      </c>
      <c r="AK554" s="1">
        <f t="shared" si="108"/>
        <v>4</v>
      </c>
    </row>
    <row r="555" spans="1:37">
      <c r="A555" s="1">
        <v>554</v>
      </c>
      <c r="B555" s="1">
        <v>4252553</v>
      </c>
      <c r="C555" s="6" t="s">
        <v>41</v>
      </c>
      <c r="D555" s="1">
        <v>0.1</v>
      </c>
      <c r="E555" s="1">
        <v>0.2</v>
      </c>
      <c r="F555" s="1">
        <v>0.15</v>
      </c>
      <c r="G555" s="1">
        <v>0.3</v>
      </c>
      <c r="H555" s="1">
        <v>0.75</v>
      </c>
      <c r="I555" s="1">
        <v>0.4</v>
      </c>
      <c r="J555" s="1">
        <v>0.5</v>
      </c>
      <c r="K555" s="1">
        <v>0.05</v>
      </c>
      <c r="L555" s="1">
        <v>0.7</v>
      </c>
      <c r="M555" s="1">
        <v>0.3</v>
      </c>
      <c r="N555" s="1">
        <f>(Occurrence!B$3-D555)^2</f>
        <v>1.0000000000000002E-2</v>
      </c>
      <c r="O555" s="1">
        <f>(Occurrence!C$3-E555)^2</f>
        <v>4.0000000000000008E-2</v>
      </c>
      <c r="P555" s="1">
        <f>(Occurrence!D$3-F555)^2</f>
        <v>0.72249999999999992</v>
      </c>
      <c r="Q555" s="1">
        <f>(Occurrence!E$3-G555)^2</f>
        <v>0.48999999999999994</v>
      </c>
      <c r="R555" s="1">
        <f>(Occurrence!F$3-H555)^2</f>
        <v>0.5625</v>
      </c>
      <c r="S555" s="1">
        <f>(Occurrence!G$3-I555)^2</f>
        <v>0.16000000000000003</v>
      </c>
      <c r="T555" s="1">
        <f>(Occurrence!H$3-J555)^2</f>
        <v>0.25</v>
      </c>
      <c r="U555" s="1">
        <f>(Occurrence!I$3-K555)^2</f>
        <v>0.90249999999999997</v>
      </c>
      <c r="V555" s="1">
        <f>(Occurrence!J$3-L555)^2</f>
        <v>0.48999999999999994</v>
      </c>
      <c r="W555" s="1">
        <f>(Occurrence!K$3-M555)^2</f>
        <v>0.48999999999999994</v>
      </c>
      <c r="X555" s="1">
        <f t="shared" si="97"/>
        <v>4.1174999999999997</v>
      </c>
      <c r="Z555" s="1">
        <f t="shared" si="98"/>
        <v>0</v>
      </c>
      <c r="AA555" s="1">
        <f t="shared" si="99"/>
        <v>0</v>
      </c>
      <c r="AB555" s="1">
        <f t="shared" si="100"/>
        <v>0</v>
      </c>
      <c r="AC555" s="1">
        <f t="shared" si="101"/>
        <v>0</v>
      </c>
      <c r="AD555" s="1">
        <f t="shared" si="102"/>
        <v>1</v>
      </c>
      <c r="AE555" s="1">
        <f t="shared" si="103"/>
        <v>0</v>
      </c>
      <c r="AF555" s="1">
        <f t="shared" si="104"/>
        <v>1</v>
      </c>
      <c r="AG555" s="1">
        <f t="shared" si="105"/>
        <v>0</v>
      </c>
      <c r="AH555" s="1">
        <f t="shared" si="106"/>
        <v>1</v>
      </c>
      <c r="AI555" s="1">
        <f t="shared" si="107"/>
        <v>0</v>
      </c>
      <c r="AJ555" s="1">
        <f>SUMXMY2(Z555:AI555, Occurrence!B$3:K$3)</f>
        <v>6</v>
      </c>
      <c r="AK555" s="1">
        <f t="shared" si="108"/>
        <v>4</v>
      </c>
    </row>
    <row r="556" spans="1:37">
      <c r="A556" s="1">
        <v>555</v>
      </c>
      <c r="B556" s="1">
        <v>4252554</v>
      </c>
      <c r="C556" s="6" t="s">
        <v>41</v>
      </c>
      <c r="D556" s="1">
        <v>0.15</v>
      </c>
      <c r="E556" s="1">
        <v>0.3</v>
      </c>
      <c r="F556" s="1">
        <v>0.45</v>
      </c>
      <c r="G556" s="1">
        <v>0.56000000000000005</v>
      </c>
      <c r="H556" s="1">
        <v>0.4</v>
      </c>
      <c r="I556" s="1">
        <v>0.5</v>
      </c>
      <c r="J556" s="1">
        <v>0.5</v>
      </c>
      <c r="K556" s="1">
        <v>0.4</v>
      </c>
      <c r="L556" s="1">
        <v>0.6</v>
      </c>
      <c r="M556" s="1">
        <v>0.75</v>
      </c>
      <c r="N556" s="1">
        <f>(Occurrence!B$3-D556)^2</f>
        <v>2.2499999999999999E-2</v>
      </c>
      <c r="O556" s="1">
        <f>(Occurrence!C$3-E556)^2</f>
        <v>0.09</v>
      </c>
      <c r="P556" s="1">
        <f>(Occurrence!D$3-F556)^2</f>
        <v>0.30250000000000005</v>
      </c>
      <c r="Q556" s="1">
        <f>(Occurrence!E$3-G556)^2</f>
        <v>0.19359999999999997</v>
      </c>
      <c r="R556" s="1">
        <f>(Occurrence!F$3-H556)^2</f>
        <v>0.16000000000000003</v>
      </c>
      <c r="S556" s="1">
        <f>(Occurrence!G$3-I556)^2</f>
        <v>0.25</v>
      </c>
      <c r="T556" s="1">
        <f>(Occurrence!H$3-J556)^2</f>
        <v>0.25</v>
      </c>
      <c r="U556" s="1">
        <f>(Occurrence!I$3-K556)^2</f>
        <v>0.36</v>
      </c>
      <c r="V556" s="1">
        <f>(Occurrence!J$3-L556)^2</f>
        <v>0.36</v>
      </c>
      <c r="W556" s="1">
        <f>(Occurrence!K$3-M556)^2</f>
        <v>6.25E-2</v>
      </c>
      <c r="X556" s="1">
        <f t="shared" si="97"/>
        <v>2.0510999999999999</v>
      </c>
      <c r="Z556" s="1">
        <f t="shared" si="98"/>
        <v>0</v>
      </c>
      <c r="AA556" s="1">
        <f t="shared" si="99"/>
        <v>0</v>
      </c>
      <c r="AB556" s="1">
        <f t="shared" si="100"/>
        <v>0</v>
      </c>
      <c r="AC556" s="1">
        <f t="shared" si="101"/>
        <v>1</v>
      </c>
      <c r="AD556" s="1">
        <f t="shared" si="102"/>
        <v>0</v>
      </c>
      <c r="AE556" s="1">
        <f t="shared" si="103"/>
        <v>1</v>
      </c>
      <c r="AF556" s="1">
        <f t="shared" si="104"/>
        <v>1</v>
      </c>
      <c r="AG556" s="1">
        <f t="shared" si="105"/>
        <v>0</v>
      </c>
      <c r="AH556" s="1">
        <f t="shared" si="106"/>
        <v>1</v>
      </c>
      <c r="AI556" s="1">
        <f t="shared" si="107"/>
        <v>1</v>
      </c>
      <c r="AJ556" s="1">
        <f>SUMXMY2(Z556:AI556, Occurrence!B$3:K$3)</f>
        <v>4</v>
      </c>
      <c r="AK556" s="1">
        <f t="shared" si="108"/>
        <v>6</v>
      </c>
    </row>
    <row r="557" spans="1:37">
      <c r="A557" s="1">
        <v>556</v>
      </c>
      <c r="B557" s="1">
        <v>4252555</v>
      </c>
      <c r="C557" s="6" t="s">
        <v>41</v>
      </c>
      <c r="D557" s="1">
        <v>0.1</v>
      </c>
      <c r="E557" s="1">
        <v>0.2</v>
      </c>
      <c r="F557" s="1">
        <v>0.2</v>
      </c>
      <c r="G557" s="1">
        <v>0.3</v>
      </c>
      <c r="H557" s="1">
        <v>0.3</v>
      </c>
      <c r="I557" s="1">
        <v>0.7</v>
      </c>
      <c r="J557" s="1">
        <v>1</v>
      </c>
      <c r="K557" s="1">
        <v>0.85</v>
      </c>
      <c r="L557" s="1">
        <v>0.09</v>
      </c>
      <c r="M557" s="1">
        <v>0.84</v>
      </c>
      <c r="N557" s="1">
        <f>(Occurrence!B$3-D557)^2</f>
        <v>1.0000000000000002E-2</v>
      </c>
      <c r="O557" s="1">
        <f>(Occurrence!C$3-E557)^2</f>
        <v>4.0000000000000008E-2</v>
      </c>
      <c r="P557" s="1">
        <f>(Occurrence!D$3-F557)^2</f>
        <v>0.64000000000000012</v>
      </c>
      <c r="Q557" s="1">
        <f>(Occurrence!E$3-G557)^2</f>
        <v>0.48999999999999994</v>
      </c>
      <c r="R557" s="1">
        <f>(Occurrence!F$3-H557)^2</f>
        <v>0.09</v>
      </c>
      <c r="S557" s="1">
        <f>(Occurrence!G$3-I557)^2</f>
        <v>0.48999999999999994</v>
      </c>
      <c r="T557" s="1">
        <f>(Occurrence!H$3-J557)^2</f>
        <v>0</v>
      </c>
      <c r="U557" s="1">
        <f>(Occurrence!I$3-K557)^2</f>
        <v>2.2500000000000006E-2</v>
      </c>
      <c r="V557" s="1">
        <f>(Occurrence!J$3-L557)^2</f>
        <v>8.0999999999999996E-3</v>
      </c>
      <c r="W557" s="1">
        <f>(Occurrence!K$3-M557)^2</f>
        <v>2.5600000000000012E-2</v>
      </c>
      <c r="X557" s="1">
        <f t="shared" si="97"/>
        <v>1.8162000000000003</v>
      </c>
      <c r="Z557" s="1">
        <f t="shared" si="98"/>
        <v>0</v>
      </c>
      <c r="AA557" s="1">
        <f t="shared" si="99"/>
        <v>0</v>
      </c>
      <c r="AB557" s="1">
        <f t="shared" si="100"/>
        <v>0</v>
      </c>
      <c r="AC557" s="1">
        <f t="shared" si="101"/>
        <v>0</v>
      </c>
      <c r="AD557" s="1">
        <f t="shared" si="102"/>
        <v>0</v>
      </c>
      <c r="AE557" s="1">
        <f t="shared" si="103"/>
        <v>1</v>
      </c>
      <c r="AF557" s="1">
        <f t="shared" si="104"/>
        <v>1</v>
      </c>
      <c r="AG557" s="1">
        <f t="shared" si="105"/>
        <v>1</v>
      </c>
      <c r="AH557" s="1">
        <f t="shared" si="106"/>
        <v>0</v>
      </c>
      <c r="AI557" s="1">
        <f t="shared" si="107"/>
        <v>1</v>
      </c>
      <c r="AJ557" s="1">
        <f>SUMXMY2(Z557:AI557, Occurrence!B$3:K$3)</f>
        <v>3</v>
      </c>
      <c r="AK557" s="1">
        <f t="shared" si="108"/>
        <v>7</v>
      </c>
    </row>
    <row r="558" spans="1:37">
      <c r="A558" s="1">
        <v>557</v>
      </c>
      <c r="B558" s="1">
        <v>4252556</v>
      </c>
      <c r="C558" s="6" t="s">
        <v>41</v>
      </c>
      <c r="D558" s="1">
        <v>0.09</v>
      </c>
      <c r="E558" s="1">
        <v>0.11</v>
      </c>
      <c r="F558" s="1">
        <v>0.3</v>
      </c>
      <c r="G558" s="1">
        <v>0.5</v>
      </c>
      <c r="H558" s="1">
        <v>0.61</v>
      </c>
      <c r="I558" s="1">
        <v>0.9</v>
      </c>
      <c r="J558" s="1">
        <v>0.5</v>
      </c>
      <c r="K558" s="1">
        <v>0.06</v>
      </c>
      <c r="L558" s="1">
        <v>0.4</v>
      </c>
      <c r="M558" s="1">
        <v>0.9</v>
      </c>
      <c r="N558" s="1">
        <f>(Occurrence!B$3-D558)^2</f>
        <v>8.0999999999999996E-3</v>
      </c>
      <c r="O558" s="1">
        <f>(Occurrence!C$3-E558)^2</f>
        <v>1.21E-2</v>
      </c>
      <c r="P558" s="1">
        <f>(Occurrence!D$3-F558)^2</f>
        <v>0.48999999999999994</v>
      </c>
      <c r="Q558" s="1">
        <f>(Occurrence!E$3-G558)^2</f>
        <v>0.25</v>
      </c>
      <c r="R558" s="1">
        <f>(Occurrence!F$3-H558)^2</f>
        <v>0.37209999999999999</v>
      </c>
      <c r="S558" s="1">
        <f>(Occurrence!G$3-I558)^2</f>
        <v>0.81</v>
      </c>
      <c r="T558" s="1">
        <f>(Occurrence!H$3-J558)^2</f>
        <v>0.25</v>
      </c>
      <c r="U558" s="1">
        <f>(Occurrence!I$3-K558)^2</f>
        <v>0.88359999999999994</v>
      </c>
      <c r="V558" s="1">
        <f>(Occurrence!J$3-L558)^2</f>
        <v>0.16000000000000003</v>
      </c>
      <c r="W558" s="1">
        <f>(Occurrence!K$3-M558)^2</f>
        <v>9.999999999999995E-3</v>
      </c>
      <c r="X558" s="1">
        <f t="shared" si="97"/>
        <v>3.2458999999999998</v>
      </c>
      <c r="Z558" s="1">
        <f t="shared" si="98"/>
        <v>0</v>
      </c>
      <c r="AA558" s="1">
        <f t="shared" si="99"/>
        <v>0</v>
      </c>
      <c r="AB558" s="1">
        <f t="shared" si="100"/>
        <v>0</v>
      </c>
      <c r="AC558" s="1">
        <f t="shared" si="101"/>
        <v>1</v>
      </c>
      <c r="AD558" s="1">
        <f t="shared" si="102"/>
        <v>1</v>
      </c>
      <c r="AE558" s="1">
        <f t="shared" si="103"/>
        <v>1</v>
      </c>
      <c r="AF558" s="1">
        <f t="shared" si="104"/>
        <v>1</v>
      </c>
      <c r="AG558" s="1">
        <f t="shared" si="105"/>
        <v>0</v>
      </c>
      <c r="AH558" s="1">
        <f t="shared" si="106"/>
        <v>0</v>
      </c>
      <c r="AI558" s="1">
        <f t="shared" si="107"/>
        <v>1</v>
      </c>
      <c r="AJ558" s="1">
        <f>SUMXMY2(Z558:AI558, Occurrence!B$3:K$3)</f>
        <v>4</v>
      </c>
      <c r="AK558" s="1">
        <f t="shared" si="108"/>
        <v>6</v>
      </c>
    </row>
    <row r="559" spans="1:37">
      <c r="A559" s="1">
        <v>558</v>
      </c>
      <c r="B559" s="1">
        <v>4252557</v>
      </c>
      <c r="C559" s="6" t="s">
        <v>41</v>
      </c>
      <c r="D559" s="1">
        <v>0.25</v>
      </c>
      <c r="E559" s="1">
        <v>0.47</v>
      </c>
      <c r="F559" s="1">
        <v>0.35</v>
      </c>
      <c r="G559" s="1">
        <v>0.52</v>
      </c>
      <c r="H559" s="1">
        <v>0.5</v>
      </c>
      <c r="I559" s="1">
        <v>0.6</v>
      </c>
      <c r="J559" s="1">
        <v>0.3</v>
      </c>
      <c r="K559" s="1">
        <v>0.42</v>
      </c>
      <c r="L559" s="1">
        <v>0.63</v>
      </c>
      <c r="M559" s="1">
        <v>0.26</v>
      </c>
      <c r="N559" s="1">
        <f>(Occurrence!B$3-D559)^2</f>
        <v>6.25E-2</v>
      </c>
      <c r="O559" s="1">
        <f>(Occurrence!C$3-E559)^2</f>
        <v>0.22089999999999999</v>
      </c>
      <c r="P559" s="1">
        <f>(Occurrence!D$3-F559)^2</f>
        <v>0.42250000000000004</v>
      </c>
      <c r="Q559" s="1">
        <f>(Occurrence!E$3-G559)^2</f>
        <v>0.23039999999999999</v>
      </c>
      <c r="R559" s="1">
        <f>(Occurrence!F$3-H559)^2</f>
        <v>0.25</v>
      </c>
      <c r="S559" s="1">
        <f>(Occurrence!G$3-I559)^2</f>
        <v>0.36</v>
      </c>
      <c r="T559" s="1">
        <f>(Occurrence!H$3-J559)^2</f>
        <v>0.48999999999999994</v>
      </c>
      <c r="U559" s="1">
        <f>(Occurrence!I$3-K559)^2</f>
        <v>0.33640000000000009</v>
      </c>
      <c r="V559" s="1">
        <f>(Occurrence!J$3-L559)^2</f>
        <v>0.39690000000000003</v>
      </c>
      <c r="W559" s="1">
        <f>(Occurrence!K$3-M559)^2</f>
        <v>0.54759999999999998</v>
      </c>
      <c r="X559" s="1">
        <f t="shared" si="97"/>
        <v>3.3172000000000001</v>
      </c>
      <c r="Z559" s="1">
        <f t="shared" si="98"/>
        <v>0</v>
      </c>
      <c r="AA559" s="1">
        <f t="shared" si="99"/>
        <v>0</v>
      </c>
      <c r="AB559" s="1">
        <f t="shared" si="100"/>
        <v>0</v>
      </c>
      <c r="AC559" s="1">
        <f t="shared" si="101"/>
        <v>1</v>
      </c>
      <c r="AD559" s="1">
        <f t="shared" si="102"/>
        <v>1</v>
      </c>
      <c r="AE559" s="1">
        <f t="shared" si="103"/>
        <v>1</v>
      </c>
      <c r="AF559" s="1">
        <f t="shared" si="104"/>
        <v>0</v>
      </c>
      <c r="AG559" s="1">
        <f t="shared" si="105"/>
        <v>0</v>
      </c>
      <c r="AH559" s="1">
        <f t="shared" si="106"/>
        <v>1</v>
      </c>
      <c r="AI559" s="1">
        <f t="shared" si="107"/>
        <v>0</v>
      </c>
      <c r="AJ559" s="1">
        <f>SUMXMY2(Z559:AI559, Occurrence!B$3:K$3)</f>
        <v>7</v>
      </c>
      <c r="AK559" s="1">
        <f t="shared" si="108"/>
        <v>3</v>
      </c>
    </row>
    <row r="560" spans="1:37">
      <c r="A560" s="1">
        <v>559</v>
      </c>
      <c r="B560" s="1">
        <v>4252558</v>
      </c>
      <c r="C560" s="6" t="s">
        <v>41</v>
      </c>
      <c r="D560" s="1">
        <v>0.1</v>
      </c>
      <c r="E560" s="1">
        <v>0.4</v>
      </c>
      <c r="F560" s="1">
        <v>0.1</v>
      </c>
      <c r="G560" s="1">
        <v>0.4</v>
      </c>
      <c r="H560" s="1">
        <v>0.8</v>
      </c>
      <c r="I560" s="1">
        <v>0.33</v>
      </c>
      <c r="J560" s="1">
        <v>1</v>
      </c>
      <c r="K560" s="1">
        <v>0.01</v>
      </c>
      <c r="L560" s="1">
        <v>0.5</v>
      </c>
      <c r="M560" s="1">
        <v>0.9</v>
      </c>
      <c r="N560" s="1">
        <f>(Occurrence!B$3-D560)^2</f>
        <v>1.0000000000000002E-2</v>
      </c>
      <c r="O560" s="1">
        <f>(Occurrence!C$3-E560)^2</f>
        <v>0.16000000000000003</v>
      </c>
      <c r="P560" s="1">
        <f>(Occurrence!D$3-F560)^2</f>
        <v>0.81</v>
      </c>
      <c r="Q560" s="1">
        <f>(Occurrence!E$3-G560)^2</f>
        <v>0.36</v>
      </c>
      <c r="R560" s="1">
        <f>(Occurrence!F$3-H560)^2</f>
        <v>0.64000000000000012</v>
      </c>
      <c r="S560" s="1">
        <f>(Occurrence!G$3-I560)^2</f>
        <v>0.10890000000000001</v>
      </c>
      <c r="T560" s="1">
        <f>(Occurrence!H$3-J560)^2</f>
        <v>0</v>
      </c>
      <c r="U560" s="1">
        <f>(Occurrence!I$3-K560)^2</f>
        <v>0.98009999999999997</v>
      </c>
      <c r="V560" s="1">
        <f>(Occurrence!J$3-L560)^2</f>
        <v>0.25</v>
      </c>
      <c r="W560" s="1">
        <f>(Occurrence!K$3-M560)^2</f>
        <v>9.999999999999995E-3</v>
      </c>
      <c r="X560" s="1">
        <f t="shared" si="97"/>
        <v>3.3289999999999997</v>
      </c>
      <c r="Z560" s="1">
        <f t="shared" si="98"/>
        <v>0</v>
      </c>
      <c r="AA560" s="1">
        <f t="shared" si="99"/>
        <v>0</v>
      </c>
      <c r="AB560" s="1">
        <f t="shared" si="100"/>
        <v>0</v>
      </c>
      <c r="AC560" s="1">
        <f t="shared" si="101"/>
        <v>0</v>
      </c>
      <c r="AD560" s="1">
        <f t="shared" si="102"/>
        <v>1</v>
      </c>
      <c r="AE560" s="1">
        <f t="shared" si="103"/>
        <v>0</v>
      </c>
      <c r="AF560" s="1">
        <f t="shared" si="104"/>
        <v>1</v>
      </c>
      <c r="AG560" s="1">
        <f t="shared" si="105"/>
        <v>0</v>
      </c>
      <c r="AH560" s="1">
        <f t="shared" si="106"/>
        <v>1</v>
      </c>
      <c r="AI560" s="1">
        <f t="shared" si="107"/>
        <v>1</v>
      </c>
      <c r="AJ560" s="1">
        <f>SUMXMY2(Z560:AI560, Occurrence!B$3:K$3)</f>
        <v>5</v>
      </c>
      <c r="AK560" s="1">
        <f t="shared" si="108"/>
        <v>5</v>
      </c>
    </row>
    <row r="561" spans="1:37">
      <c r="A561" s="1">
        <v>560</v>
      </c>
      <c r="B561" s="1">
        <v>4252559</v>
      </c>
      <c r="C561" s="6" t="s">
        <v>41</v>
      </c>
      <c r="D561" s="1">
        <v>0.1</v>
      </c>
      <c r="E561" s="1">
        <v>0.7</v>
      </c>
      <c r="F561" s="1">
        <v>0.2</v>
      </c>
      <c r="G561" s="1">
        <v>0.7</v>
      </c>
      <c r="H561" s="1">
        <v>1</v>
      </c>
      <c r="I561" s="1">
        <v>0.8</v>
      </c>
      <c r="J561" s="1">
        <v>0.44</v>
      </c>
      <c r="K561" s="1">
        <v>0.01</v>
      </c>
      <c r="L561" s="1">
        <v>0.6</v>
      </c>
      <c r="M561" s="1">
        <v>0.3</v>
      </c>
      <c r="N561" s="1">
        <f>(Occurrence!B$3-D561)^2</f>
        <v>1.0000000000000002E-2</v>
      </c>
      <c r="O561" s="1">
        <f>(Occurrence!C$3-E561)^2</f>
        <v>0.48999999999999994</v>
      </c>
      <c r="P561" s="1">
        <f>(Occurrence!D$3-F561)^2</f>
        <v>0.64000000000000012</v>
      </c>
      <c r="Q561" s="1">
        <f>(Occurrence!E$3-G561)^2</f>
        <v>9.0000000000000024E-2</v>
      </c>
      <c r="R561" s="1">
        <f>(Occurrence!F$3-H561)^2</f>
        <v>1</v>
      </c>
      <c r="S561" s="1">
        <f>(Occurrence!G$3-I561)^2</f>
        <v>0.64000000000000012</v>
      </c>
      <c r="T561" s="1">
        <f>(Occurrence!H$3-J561)^2</f>
        <v>0.31360000000000005</v>
      </c>
      <c r="U561" s="1">
        <f>(Occurrence!I$3-K561)^2</f>
        <v>0.98009999999999997</v>
      </c>
      <c r="V561" s="1">
        <f>(Occurrence!J$3-L561)^2</f>
        <v>0.36</v>
      </c>
      <c r="W561" s="1">
        <f>(Occurrence!K$3-M561)^2</f>
        <v>0.48999999999999994</v>
      </c>
      <c r="X561" s="1">
        <f t="shared" si="97"/>
        <v>5.0137000000000009</v>
      </c>
      <c r="Z561" s="1">
        <f t="shared" si="98"/>
        <v>0</v>
      </c>
      <c r="AA561" s="1">
        <f t="shared" si="99"/>
        <v>1</v>
      </c>
      <c r="AB561" s="1">
        <f t="shared" si="100"/>
        <v>0</v>
      </c>
      <c r="AC561" s="1">
        <f t="shared" si="101"/>
        <v>1</v>
      </c>
      <c r="AD561" s="1">
        <f t="shared" si="102"/>
        <v>1</v>
      </c>
      <c r="AE561" s="1">
        <f t="shared" si="103"/>
        <v>1</v>
      </c>
      <c r="AF561" s="1">
        <f t="shared" si="104"/>
        <v>0</v>
      </c>
      <c r="AG561" s="1">
        <f t="shared" si="105"/>
        <v>0</v>
      </c>
      <c r="AH561" s="1">
        <f t="shared" si="106"/>
        <v>1</v>
      </c>
      <c r="AI561" s="1">
        <f t="shared" si="107"/>
        <v>0</v>
      </c>
      <c r="AJ561" s="1">
        <f>SUMXMY2(Z561:AI561, Occurrence!B$3:K$3)</f>
        <v>8</v>
      </c>
      <c r="AK561" s="1">
        <f t="shared" si="108"/>
        <v>2</v>
      </c>
    </row>
    <row r="562" spans="1:37">
      <c r="A562" s="1">
        <v>561</v>
      </c>
      <c r="B562" s="1">
        <v>4252560</v>
      </c>
      <c r="C562" s="6" t="s">
        <v>41</v>
      </c>
      <c r="D562" s="1">
        <v>0.03</v>
      </c>
      <c r="E562" s="1">
        <v>0.15</v>
      </c>
      <c r="F562" s="1">
        <v>0.3</v>
      </c>
      <c r="G562" s="1">
        <v>0.75</v>
      </c>
      <c r="H562" s="1">
        <v>0.67</v>
      </c>
      <c r="I562" s="1">
        <v>0.76</v>
      </c>
      <c r="J562" s="1">
        <v>0.32</v>
      </c>
      <c r="K562" s="1">
        <v>0.11</v>
      </c>
      <c r="L562" s="1">
        <v>0.64</v>
      </c>
      <c r="M562" s="1">
        <v>0.27</v>
      </c>
      <c r="N562" s="1">
        <f>(Occurrence!B$3-D562)^2</f>
        <v>8.9999999999999998E-4</v>
      </c>
      <c r="O562" s="1">
        <f>(Occurrence!C$3-E562)^2</f>
        <v>2.2499999999999999E-2</v>
      </c>
      <c r="P562" s="1">
        <f>(Occurrence!D$3-F562)^2</f>
        <v>0.48999999999999994</v>
      </c>
      <c r="Q562" s="1">
        <f>(Occurrence!E$3-G562)^2</f>
        <v>6.25E-2</v>
      </c>
      <c r="R562" s="1">
        <f>(Occurrence!F$3-H562)^2</f>
        <v>0.44890000000000008</v>
      </c>
      <c r="S562" s="1">
        <f>(Occurrence!G$3-I562)^2</f>
        <v>0.5776</v>
      </c>
      <c r="T562" s="1">
        <f>(Occurrence!H$3-J562)^2</f>
        <v>0.46239999999999992</v>
      </c>
      <c r="U562" s="1">
        <f>(Occurrence!I$3-K562)^2</f>
        <v>0.79210000000000003</v>
      </c>
      <c r="V562" s="1">
        <f>(Occurrence!J$3-L562)^2</f>
        <v>0.40960000000000002</v>
      </c>
      <c r="W562" s="1">
        <f>(Occurrence!K$3-M562)^2</f>
        <v>0.53289999999999993</v>
      </c>
      <c r="X562" s="1">
        <f t="shared" si="97"/>
        <v>3.7994000000000003</v>
      </c>
      <c r="Z562" s="1">
        <f t="shared" si="98"/>
        <v>0</v>
      </c>
      <c r="AA562" s="1">
        <f t="shared" si="99"/>
        <v>0</v>
      </c>
      <c r="AB562" s="1">
        <f t="shared" si="100"/>
        <v>0</v>
      </c>
      <c r="AC562" s="1">
        <f t="shared" si="101"/>
        <v>1</v>
      </c>
      <c r="AD562" s="1">
        <f t="shared" si="102"/>
        <v>1</v>
      </c>
      <c r="AE562" s="1">
        <f t="shared" si="103"/>
        <v>1</v>
      </c>
      <c r="AF562" s="1">
        <f t="shared" si="104"/>
        <v>0</v>
      </c>
      <c r="AG562" s="1">
        <f t="shared" si="105"/>
        <v>0</v>
      </c>
      <c r="AH562" s="1">
        <f t="shared" si="106"/>
        <v>1</v>
      </c>
      <c r="AI562" s="1">
        <f t="shared" si="107"/>
        <v>0</v>
      </c>
      <c r="AJ562" s="1">
        <f>SUMXMY2(Z562:AI562, Occurrence!B$3:K$3)</f>
        <v>7</v>
      </c>
      <c r="AK562" s="1">
        <f t="shared" si="108"/>
        <v>3</v>
      </c>
    </row>
    <row r="563" spans="1:37">
      <c r="A563" s="1">
        <v>562</v>
      </c>
      <c r="B563" s="1">
        <v>4252561</v>
      </c>
      <c r="C563" s="6" t="s">
        <v>41</v>
      </c>
      <c r="D563" s="1">
        <v>0</v>
      </c>
      <c r="E563" s="1">
        <v>0.05</v>
      </c>
      <c r="F563" s="1">
        <v>0.05</v>
      </c>
      <c r="G563" s="1">
        <v>0.7</v>
      </c>
      <c r="H563" s="1">
        <v>0.95</v>
      </c>
      <c r="I563" s="1">
        <v>0.35</v>
      </c>
      <c r="J563" s="1">
        <v>0.35</v>
      </c>
      <c r="K563" s="1">
        <v>0.95</v>
      </c>
      <c r="L563" s="1">
        <v>0.85</v>
      </c>
      <c r="M563" s="1">
        <v>0.95</v>
      </c>
      <c r="N563" s="1">
        <f>(Occurrence!B$3-D563)^2</f>
        <v>0</v>
      </c>
      <c r="O563" s="1">
        <f>(Occurrence!C$3-E563)^2</f>
        <v>2.5000000000000005E-3</v>
      </c>
      <c r="P563" s="1">
        <f>(Occurrence!D$3-F563)^2</f>
        <v>0.90249999999999997</v>
      </c>
      <c r="Q563" s="1">
        <f>(Occurrence!E$3-G563)^2</f>
        <v>9.0000000000000024E-2</v>
      </c>
      <c r="R563" s="1">
        <f>(Occurrence!F$3-H563)^2</f>
        <v>0.90249999999999997</v>
      </c>
      <c r="S563" s="1">
        <f>(Occurrence!G$3-I563)^2</f>
        <v>0.12249999999999998</v>
      </c>
      <c r="T563" s="1">
        <f>(Occurrence!H$3-J563)^2</f>
        <v>0.42250000000000004</v>
      </c>
      <c r="U563" s="1">
        <f>(Occurrence!I$3-K563)^2</f>
        <v>2.5000000000000044E-3</v>
      </c>
      <c r="V563" s="1">
        <f>(Occurrence!J$3-L563)^2</f>
        <v>0.72249999999999992</v>
      </c>
      <c r="W563" s="1">
        <f>(Occurrence!K$3-M563)^2</f>
        <v>2.5000000000000044E-3</v>
      </c>
      <c r="X563" s="1">
        <f t="shared" si="97"/>
        <v>3.1699999999999995</v>
      </c>
      <c r="Z563" s="1">
        <f t="shared" si="98"/>
        <v>0</v>
      </c>
      <c r="AA563" s="1">
        <f t="shared" si="99"/>
        <v>0</v>
      </c>
      <c r="AB563" s="1">
        <f t="shared" si="100"/>
        <v>0</v>
      </c>
      <c r="AC563" s="1">
        <f t="shared" si="101"/>
        <v>1</v>
      </c>
      <c r="AD563" s="1">
        <f t="shared" si="102"/>
        <v>1</v>
      </c>
      <c r="AE563" s="1">
        <f t="shared" si="103"/>
        <v>0</v>
      </c>
      <c r="AF563" s="1">
        <f t="shared" si="104"/>
        <v>0</v>
      </c>
      <c r="AG563" s="1">
        <f t="shared" si="105"/>
        <v>1</v>
      </c>
      <c r="AH563" s="1">
        <f t="shared" si="106"/>
        <v>1</v>
      </c>
      <c r="AI563" s="1">
        <f t="shared" si="107"/>
        <v>1</v>
      </c>
      <c r="AJ563" s="1">
        <f>SUMXMY2(Z563:AI563, Occurrence!B$3:K$3)</f>
        <v>4</v>
      </c>
      <c r="AK563" s="1">
        <f t="shared" si="108"/>
        <v>6</v>
      </c>
    </row>
    <row r="564" spans="1:37">
      <c r="A564" s="1">
        <v>563</v>
      </c>
      <c r="B564" s="1">
        <v>4252562</v>
      </c>
      <c r="C564" s="6" t="s">
        <v>41</v>
      </c>
      <c r="D564" s="1">
        <v>0.3</v>
      </c>
      <c r="E564" s="1">
        <v>0.5</v>
      </c>
      <c r="F564" s="1">
        <v>0.2</v>
      </c>
      <c r="G564" s="1">
        <v>0.35</v>
      </c>
      <c r="H564" s="1">
        <v>0.5</v>
      </c>
      <c r="I564" s="1">
        <v>0.15</v>
      </c>
      <c r="J564" s="1">
        <v>1</v>
      </c>
      <c r="K564" s="1">
        <v>0.95</v>
      </c>
      <c r="L564" s="1">
        <v>0.24</v>
      </c>
      <c r="M564" s="1">
        <v>0.85</v>
      </c>
      <c r="N564" s="1">
        <f>(Occurrence!B$3-D564)^2</f>
        <v>0.09</v>
      </c>
      <c r="O564" s="1">
        <f>(Occurrence!C$3-E564)^2</f>
        <v>0.25</v>
      </c>
      <c r="P564" s="1">
        <f>(Occurrence!D$3-F564)^2</f>
        <v>0.64000000000000012</v>
      </c>
      <c r="Q564" s="1">
        <f>(Occurrence!E$3-G564)^2</f>
        <v>0.42250000000000004</v>
      </c>
      <c r="R564" s="1">
        <f>(Occurrence!F$3-H564)^2</f>
        <v>0.25</v>
      </c>
      <c r="S564" s="1">
        <f>(Occurrence!G$3-I564)^2</f>
        <v>2.2499999999999999E-2</v>
      </c>
      <c r="T564" s="1">
        <f>(Occurrence!H$3-J564)^2</f>
        <v>0</v>
      </c>
      <c r="U564" s="1">
        <f>(Occurrence!I$3-K564)^2</f>
        <v>2.5000000000000044E-3</v>
      </c>
      <c r="V564" s="1">
        <f>(Occurrence!J$3-L564)^2</f>
        <v>5.7599999999999998E-2</v>
      </c>
      <c r="W564" s="1">
        <f>(Occurrence!K$3-M564)^2</f>
        <v>2.2500000000000006E-2</v>
      </c>
      <c r="X564" s="1">
        <f t="shared" si="97"/>
        <v>1.7576000000000001</v>
      </c>
      <c r="Z564" s="1">
        <f t="shared" si="98"/>
        <v>0</v>
      </c>
      <c r="AA564" s="1">
        <f t="shared" si="99"/>
        <v>1</v>
      </c>
      <c r="AB564" s="1">
        <f t="shared" si="100"/>
        <v>0</v>
      </c>
      <c r="AC564" s="1">
        <f t="shared" si="101"/>
        <v>0</v>
      </c>
      <c r="AD564" s="1">
        <f t="shared" si="102"/>
        <v>1</v>
      </c>
      <c r="AE564" s="1">
        <f t="shared" si="103"/>
        <v>0</v>
      </c>
      <c r="AF564" s="1">
        <f t="shared" si="104"/>
        <v>1</v>
      </c>
      <c r="AG564" s="1">
        <f t="shared" si="105"/>
        <v>1</v>
      </c>
      <c r="AH564" s="1">
        <f t="shared" si="106"/>
        <v>0</v>
      </c>
      <c r="AI564" s="1">
        <f t="shared" si="107"/>
        <v>1</v>
      </c>
      <c r="AJ564" s="1">
        <f>SUMXMY2(Z564:AI564, Occurrence!B$3:K$3)</f>
        <v>4</v>
      </c>
      <c r="AK564" s="1">
        <f t="shared" si="108"/>
        <v>6</v>
      </c>
    </row>
    <row r="565" spans="1:37">
      <c r="A565" s="1">
        <v>564</v>
      </c>
      <c r="B565" s="1">
        <v>4252563</v>
      </c>
      <c r="C565" s="6" t="s">
        <v>41</v>
      </c>
      <c r="D565" s="1">
        <v>0.06</v>
      </c>
      <c r="E565" s="1">
        <v>0.26</v>
      </c>
      <c r="F565" s="1">
        <v>0.3</v>
      </c>
      <c r="G565" s="1">
        <v>0.15</v>
      </c>
      <c r="H565" s="1">
        <v>0.79</v>
      </c>
      <c r="I565" s="1">
        <v>0.37</v>
      </c>
      <c r="J565" s="1">
        <v>0.5</v>
      </c>
      <c r="K565" s="1">
        <v>0.48</v>
      </c>
      <c r="L565" s="1">
        <v>0.98</v>
      </c>
      <c r="M565" s="1">
        <v>0.33</v>
      </c>
      <c r="N565" s="1">
        <f>(Occurrence!B$3-D565)^2</f>
        <v>3.5999999999999999E-3</v>
      </c>
      <c r="O565" s="1">
        <f>(Occurrence!C$3-E565)^2</f>
        <v>6.7600000000000007E-2</v>
      </c>
      <c r="P565" s="1">
        <f>(Occurrence!D$3-F565)^2</f>
        <v>0.48999999999999994</v>
      </c>
      <c r="Q565" s="1">
        <f>(Occurrence!E$3-G565)^2</f>
        <v>0.72249999999999992</v>
      </c>
      <c r="R565" s="1">
        <f>(Occurrence!F$3-H565)^2</f>
        <v>0.6241000000000001</v>
      </c>
      <c r="S565" s="1">
        <f>(Occurrence!G$3-I565)^2</f>
        <v>0.13689999999999999</v>
      </c>
      <c r="T565" s="1">
        <f>(Occurrence!H$3-J565)^2</f>
        <v>0.25</v>
      </c>
      <c r="U565" s="1">
        <f>(Occurrence!I$3-K565)^2</f>
        <v>0.27040000000000003</v>
      </c>
      <c r="V565" s="1">
        <f>(Occurrence!J$3-L565)^2</f>
        <v>0.96039999999999992</v>
      </c>
      <c r="W565" s="1">
        <f>(Occurrence!K$3-M565)^2</f>
        <v>0.44889999999999991</v>
      </c>
      <c r="X565" s="1">
        <f t="shared" si="97"/>
        <v>3.9743999999999997</v>
      </c>
      <c r="Z565" s="1">
        <f t="shared" si="98"/>
        <v>0</v>
      </c>
      <c r="AA565" s="1">
        <f t="shared" si="99"/>
        <v>0</v>
      </c>
      <c r="AB565" s="1">
        <f t="shared" si="100"/>
        <v>0</v>
      </c>
      <c r="AC565" s="1">
        <f t="shared" si="101"/>
        <v>0</v>
      </c>
      <c r="AD565" s="1">
        <f t="shared" si="102"/>
        <v>1</v>
      </c>
      <c r="AE565" s="1">
        <f t="shared" si="103"/>
        <v>0</v>
      </c>
      <c r="AF565" s="1">
        <f t="shared" si="104"/>
        <v>1</v>
      </c>
      <c r="AG565" s="1">
        <f t="shared" si="105"/>
        <v>0</v>
      </c>
      <c r="AH565" s="1">
        <f t="shared" si="106"/>
        <v>1</v>
      </c>
      <c r="AI565" s="1">
        <f t="shared" si="107"/>
        <v>0</v>
      </c>
      <c r="AJ565" s="1">
        <f>SUMXMY2(Z565:AI565, Occurrence!B$3:K$3)</f>
        <v>6</v>
      </c>
      <c r="AK565" s="1">
        <f t="shared" si="108"/>
        <v>4</v>
      </c>
    </row>
    <row r="566" spans="1:37">
      <c r="A566" s="1">
        <v>565</v>
      </c>
      <c r="B566" s="1">
        <v>4252564</v>
      </c>
      <c r="C566" s="6" t="s">
        <v>41</v>
      </c>
      <c r="D566" s="1">
        <v>0.04</v>
      </c>
      <c r="E566" s="1">
        <v>0.1</v>
      </c>
      <c r="F566" s="1">
        <v>0.6</v>
      </c>
      <c r="G566" s="1">
        <v>0.5</v>
      </c>
      <c r="H566" s="1">
        <v>0.48</v>
      </c>
      <c r="I566" s="1">
        <v>0.88</v>
      </c>
      <c r="J566" s="1">
        <v>0.66</v>
      </c>
      <c r="K566" s="1">
        <v>0.34</v>
      </c>
      <c r="L566" s="1">
        <v>0.24</v>
      </c>
      <c r="M566" s="1">
        <v>0.56000000000000005</v>
      </c>
      <c r="N566" s="1">
        <f>(Occurrence!B$3-D566)^2</f>
        <v>1.6000000000000001E-3</v>
      </c>
      <c r="O566" s="1">
        <f>(Occurrence!C$3-E566)^2</f>
        <v>1.0000000000000002E-2</v>
      </c>
      <c r="P566" s="1">
        <f>(Occurrence!D$3-F566)^2</f>
        <v>0.16000000000000003</v>
      </c>
      <c r="Q566" s="1">
        <f>(Occurrence!E$3-G566)^2</f>
        <v>0.25</v>
      </c>
      <c r="R566" s="1">
        <f>(Occurrence!F$3-H566)^2</f>
        <v>0.23039999999999999</v>
      </c>
      <c r="S566" s="1">
        <f>(Occurrence!G$3-I566)^2</f>
        <v>0.77439999999999998</v>
      </c>
      <c r="T566" s="1">
        <f>(Occurrence!H$3-J566)^2</f>
        <v>0.11559999999999998</v>
      </c>
      <c r="U566" s="1">
        <f>(Occurrence!I$3-K566)^2</f>
        <v>0.43559999999999988</v>
      </c>
      <c r="V566" s="1">
        <f>(Occurrence!J$3-L566)^2</f>
        <v>5.7599999999999998E-2</v>
      </c>
      <c r="W566" s="1">
        <f>(Occurrence!K$3-M566)^2</f>
        <v>0.19359999999999997</v>
      </c>
      <c r="X566" s="1">
        <f t="shared" si="97"/>
        <v>2.2287999999999997</v>
      </c>
      <c r="Z566" s="1">
        <f t="shared" si="98"/>
        <v>0</v>
      </c>
      <c r="AA566" s="1">
        <f t="shared" si="99"/>
        <v>0</v>
      </c>
      <c r="AB566" s="1">
        <f t="shared" si="100"/>
        <v>1</v>
      </c>
      <c r="AC566" s="1">
        <f t="shared" si="101"/>
        <v>1</v>
      </c>
      <c r="AD566" s="1">
        <f t="shared" si="102"/>
        <v>0</v>
      </c>
      <c r="AE566" s="1">
        <f t="shared" si="103"/>
        <v>1</v>
      </c>
      <c r="AF566" s="1">
        <f t="shared" si="104"/>
        <v>1</v>
      </c>
      <c r="AG566" s="1">
        <f t="shared" si="105"/>
        <v>0</v>
      </c>
      <c r="AH566" s="1">
        <f t="shared" si="106"/>
        <v>0</v>
      </c>
      <c r="AI566" s="1">
        <f t="shared" si="107"/>
        <v>1</v>
      </c>
      <c r="AJ566" s="1">
        <f>SUMXMY2(Z566:AI566, Occurrence!B$3:K$3)</f>
        <v>2</v>
      </c>
      <c r="AK566" s="1">
        <f t="shared" si="108"/>
        <v>8</v>
      </c>
    </row>
    <row r="567" spans="1:37">
      <c r="A567" s="1">
        <v>566</v>
      </c>
      <c r="B567" s="1">
        <v>4252565</v>
      </c>
      <c r="C567" s="6" t="s">
        <v>41</v>
      </c>
      <c r="D567" s="1">
        <v>0.3</v>
      </c>
      <c r="E567" s="1">
        <v>0.7</v>
      </c>
      <c r="F567" s="1">
        <v>0.4</v>
      </c>
      <c r="G567" s="1">
        <v>0.8</v>
      </c>
      <c r="H567" s="1">
        <v>0.3</v>
      </c>
      <c r="I567" s="1">
        <v>0.45</v>
      </c>
      <c r="J567" s="1">
        <v>0.3</v>
      </c>
      <c r="K567" s="1">
        <v>0.19</v>
      </c>
      <c r="L567" s="1">
        <v>0.64</v>
      </c>
      <c r="M567" s="1">
        <v>0.4</v>
      </c>
      <c r="N567" s="1">
        <f>(Occurrence!B$3-D567)^2</f>
        <v>0.09</v>
      </c>
      <c r="O567" s="1">
        <f>(Occurrence!C$3-E567)^2</f>
        <v>0.48999999999999994</v>
      </c>
      <c r="P567" s="1">
        <f>(Occurrence!D$3-F567)^2</f>
        <v>0.36</v>
      </c>
      <c r="Q567" s="1">
        <f>(Occurrence!E$3-G567)^2</f>
        <v>3.999999999999998E-2</v>
      </c>
      <c r="R567" s="1">
        <f>(Occurrence!F$3-H567)^2</f>
        <v>0.09</v>
      </c>
      <c r="S567" s="1">
        <f>(Occurrence!G$3-I567)^2</f>
        <v>0.20250000000000001</v>
      </c>
      <c r="T567" s="1">
        <f>(Occurrence!H$3-J567)^2</f>
        <v>0.48999999999999994</v>
      </c>
      <c r="U567" s="1">
        <f>(Occurrence!I$3-K567)^2</f>
        <v>0.65610000000000013</v>
      </c>
      <c r="V567" s="1">
        <f>(Occurrence!J$3-L567)^2</f>
        <v>0.40960000000000002</v>
      </c>
      <c r="W567" s="1">
        <f>(Occurrence!K$3-M567)^2</f>
        <v>0.36</v>
      </c>
      <c r="X567" s="1">
        <f t="shared" si="97"/>
        <v>3.1882000000000001</v>
      </c>
      <c r="Z567" s="1">
        <f t="shared" si="98"/>
        <v>0</v>
      </c>
      <c r="AA567" s="1">
        <f t="shared" si="99"/>
        <v>1</v>
      </c>
      <c r="AB567" s="1">
        <f t="shared" si="100"/>
        <v>0</v>
      </c>
      <c r="AC567" s="1">
        <f t="shared" si="101"/>
        <v>1</v>
      </c>
      <c r="AD567" s="1">
        <f t="shared" si="102"/>
        <v>0</v>
      </c>
      <c r="AE567" s="1">
        <f t="shared" si="103"/>
        <v>0</v>
      </c>
      <c r="AF567" s="1">
        <f t="shared" si="104"/>
        <v>0</v>
      </c>
      <c r="AG567" s="1">
        <f t="shared" si="105"/>
        <v>0</v>
      </c>
      <c r="AH567" s="1">
        <f t="shared" si="106"/>
        <v>1</v>
      </c>
      <c r="AI567" s="1">
        <f t="shared" si="107"/>
        <v>0</v>
      </c>
      <c r="AJ567" s="1">
        <f>SUMXMY2(Z567:AI567, Occurrence!B$3:K$3)</f>
        <v>6</v>
      </c>
      <c r="AK567" s="1">
        <f t="shared" si="108"/>
        <v>4</v>
      </c>
    </row>
    <row r="568" spans="1:37">
      <c r="A568" s="1">
        <v>567</v>
      </c>
      <c r="B568" s="1">
        <v>4252566</v>
      </c>
      <c r="C568" s="6" t="s">
        <v>41</v>
      </c>
      <c r="D568" s="1">
        <v>0.1</v>
      </c>
      <c r="E568" s="1">
        <v>0.15</v>
      </c>
      <c r="F568" s="1">
        <v>0.3</v>
      </c>
      <c r="G568" s="1">
        <v>0.2</v>
      </c>
      <c r="H568" s="1">
        <v>0.2</v>
      </c>
      <c r="I568" s="1">
        <v>0.3</v>
      </c>
      <c r="J568" s="1">
        <v>0.2</v>
      </c>
      <c r="K568" s="1">
        <v>0.1</v>
      </c>
      <c r="L568" s="1">
        <v>0.1</v>
      </c>
      <c r="M568" s="1">
        <v>0.2</v>
      </c>
      <c r="N568" s="1">
        <f>(Occurrence!B$3-D568)^2</f>
        <v>1.0000000000000002E-2</v>
      </c>
      <c r="O568" s="1">
        <f>(Occurrence!C$3-E568)^2</f>
        <v>2.2499999999999999E-2</v>
      </c>
      <c r="P568" s="1">
        <f>(Occurrence!D$3-F568)^2</f>
        <v>0.48999999999999994</v>
      </c>
      <c r="Q568" s="1">
        <f>(Occurrence!E$3-G568)^2</f>
        <v>0.64000000000000012</v>
      </c>
      <c r="R568" s="1">
        <f>(Occurrence!F$3-H568)^2</f>
        <v>4.0000000000000008E-2</v>
      </c>
      <c r="S568" s="1">
        <f>(Occurrence!G$3-I568)^2</f>
        <v>0.09</v>
      </c>
      <c r="T568" s="1">
        <f>(Occurrence!H$3-J568)^2</f>
        <v>0.64000000000000012</v>
      </c>
      <c r="U568" s="1">
        <f>(Occurrence!I$3-K568)^2</f>
        <v>0.81</v>
      </c>
      <c r="V568" s="1">
        <f>(Occurrence!J$3-L568)^2</f>
        <v>1.0000000000000002E-2</v>
      </c>
      <c r="W568" s="1">
        <f>(Occurrence!K$3-M568)^2</f>
        <v>0.64000000000000012</v>
      </c>
      <c r="X568" s="1">
        <f t="shared" si="97"/>
        <v>3.3925000000000005</v>
      </c>
      <c r="Z568" s="1">
        <f t="shared" si="98"/>
        <v>0</v>
      </c>
      <c r="AA568" s="1">
        <f t="shared" si="99"/>
        <v>0</v>
      </c>
      <c r="AB568" s="1">
        <f t="shared" si="100"/>
        <v>0</v>
      </c>
      <c r="AC568" s="1">
        <f t="shared" si="101"/>
        <v>0</v>
      </c>
      <c r="AD568" s="1">
        <f t="shared" si="102"/>
        <v>0</v>
      </c>
      <c r="AE568" s="1">
        <f t="shared" si="103"/>
        <v>0</v>
      </c>
      <c r="AF568" s="1">
        <f t="shared" si="104"/>
        <v>0</v>
      </c>
      <c r="AG568" s="1">
        <f t="shared" si="105"/>
        <v>0</v>
      </c>
      <c r="AH568" s="1">
        <f t="shared" si="106"/>
        <v>0</v>
      </c>
      <c r="AI568" s="1">
        <f t="shared" si="107"/>
        <v>0</v>
      </c>
      <c r="AJ568" s="1">
        <f>SUMXMY2(Z568:AI568, Occurrence!B$3:K$3)</f>
        <v>5</v>
      </c>
      <c r="AK568" s="1">
        <f t="shared" si="108"/>
        <v>5</v>
      </c>
    </row>
    <row r="569" spans="1:37">
      <c r="A569" s="1">
        <v>568</v>
      </c>
      <c r="B569" s="1">
        <v>4252567</v>
      </c>
      <c r="C569" s="6" t="s">
        <v>41</v>
      </c>
      <c r="D569" s="1">
        <v>0.05</v>
      </c>
      <c r="E569" s="1">
        <v>0.2</v>
      </c>
      <c r="F569" s="1">
        <v>0.15</v>
      </c>
      <c r="G569" s="1">
        <v>0.6</v>
      </c>
      <c r="H569" s="1">
        <v>0.8</v>
      </c>
      <c r="I569" s="1">
        <v>0.6</v>
      </c>
      <c r="J569" s="1">
        <v>0.2</v>
      </c>
      <c r="K569" s="1">
        <v>0.5</v>
      </c>
      <c r="L569" s="1">
        <v>0.12</v>
      </c>
      <c r="M569" s="1">
        <v>0.3</v>
      </c>
      <c r="N569" s="1">
        <f>(Occurrence!B$3-D569)^2</f>
        <v>2.5000000000000005E-3</v>
      </c>
      <c r="O569" s="1">
        <f>(Occurrence!C$3-E569)^2</f>
        <v>4.0000000000000008E-2</v>
      </c>
      <c r="P569" s="1">
        <f>(Occurrence!D$3-F569)^2</f>
        <v>0.72249999999999992</v>
      </c>
      <c r="Q569" s="1">
        <f>(Occurrence!E$3-G569)^2</f>
        <v>0.16000000000000003</v>
      </c>
      <c r="R569" s="1">
        <f>(Occurrence!F$3-H569)^2</f>
        <v>0.64000000000000012</v>
      </c>
      <c r="S569" s="1">
        <f>(Occurrence!G$3-I569)^2</f>
        <v>0.36</v>
      </c>
      <c r="T569" s="1">
        <f>(Occurrence!H$3-J569)^2</f>
        <v>0.64000000000000012</v>
      </c>
      <c r="U569" s="1">
        <f>(Occurrence!I$3-K569)^2</f>
        <v>0.25</v>
      </c>
      <c r="V569" s="1">
        <f>(Occurrence!J$3-L569)^2</f>
        <v>1.44E-2</v>
      </c>
      <c r="W569" s="1">
        <f>(Occurrence!K$3-M569)^2</f>
        <v>0.48999999999999994</v>
      </c>
      <c r="X569" s="1">
        <f t="shared" si="97"/>
        <v>3.3193999999999999</v>
      </c>
      <c r="Z569" s="1">
        <f t="shared" si="98"/>
        <v>0</v>
      </c>
      <c r="AA569" s="1">
        <f t="shared" si="99"/>
        <v>0</v>
      </c>
      <c r="AB569" s="1">
        <f t="shared" si="100"/>
        <v>0</v>
      </c>
      <c r="AC569" s="1">
        <f t="shared" si="101"/>
        <v>1</v>
      </c>
      <c r="AD569" s="1">
        <f t="shared" si="102"/>
        <v>1</v>
      </c>
      <c r="AE569" s="1">
        <f t="shared" si="103"/>
        <v>1</v>
      </c>
      <c r="AF569" s="1">
        <f t="shared" si="104"/>
        <v>0</v>
      </c>
      <c r="AG569" s="1">
        <f t="shared" si="105"/>
        <v>1</v>
      </c>
      <c r="AH569" s="1">
        <f t="shared" si="106"/>
        <v>0</v>
      </c>
      <c r="AI569" s="1">
        <f t="shared" si="107"/>
        <v>0</v>
      </c>
      <c r="AJ569" s="1">
        <f>SUMXMY2(Z569:AI569, Occurrence!B$3:K$3)</f>
        <v>5</v>
      </c>
      <c r="AK569" s="1">
        <f t="shared" si="108"/>
        <v>5</v>
      </c>
    </row>
    <row r="570" spans="1:37">
      <c r="A570" s="1">
        <v>569</v>
      </c>
      <c r="B570" s="1">
        <v>4252568</v>
      </c>
      <c r="C570" s="6" t="s">
        <v>41</v>
      </c>
      <c r="D570" s="1">
        <v>0.05</v>
      </c>
      <c r="E570" s="1">
        <v>0.2</v>
      </c>
      <c r="F570" s="1">
        <v>0.15</v>
      </c>
      <c r="G570" s="1">
        <v>0.6</v>
      </c>
      <c r="H570" s="1">
        <v>0.2</v>
      </c>
      <c r="I570" s="1">
        <v>0.34</v>
      </c>
      <c r="J570" s="1">
        <v>0.62</v>
      </c>
      <c r="K570" s="1">
        <v>0.64</v>
      </c>
      <c r="L570" s="1">
        <v>0.56999999999999995</v>
      </c>
      <c r="M570" s="1">
        <v>0.6</v>
      </c>
      <c r="N570" s="1">
        <f>(Occurrence!B$3-D570)^2</f>
        <v>2.5000000000000005E-3</v>
      </c>
      <c r="O570" s="1">
        <f>(Occurrence!C$3-E570)^2</f>
        <v>4.0000000000000008E-2</v>
      </c>
      <c r="P570" s="1">
        <f>(Occurrence!D$3-F570)^2</f>
        <v>0.72249999999999992</v>
      </c>
      <c r="Q570" s="1">
        <f>(Occurrence!E$3-G570)^2</f>
        <v>0.16000000000000003</v>
      </c>
      <c r="R570" s="1">
        <f>(Occurrence!F$3-H570)^2</f>
        <v>4.0000000000000008E-2</v>
      </c>
      <c r="S570" s="1">
        <f>(Occurrence!G$3-I570)^2</f>
        <v>0.11560000000000002</v>
      </c>
      <c r="T570" s="1">
        <f>(Occurrence!H$3-J570)^2</f>
        <v>0.1444</v>
      </c>
      <c r="U570" s="1">
        <f>(Occurrence!I$3-K570)^2</f>
        <v>0.12959999999999999</v>
      </c>
      <c r="V570" s="1">
        <f>(Occurrence!J$3-L570)^2</f>
        <v>0.32489999999999997</v>
      </c>
      <c r="W570" s="1">
        <f>(Occurrence!K$3-M570)^2</f>
        <v>0.16000000000000003</v>
      </c>
      <c r="X570" s="1">
        <f t="shared" si="97"/>
        <v>1.8395000000000001</v>
      </c>
      <c r="Z570" s="1">
        <f t="shared" si="98"/>
        <v>0</v>
      </c>
      <c r="AA570" s="1">
        <f t="shared" si="99"/>
        <v>0</v>
      </c>
      <c r="AB570" s="1">
        <f t="shared" si="100"/>
        <v>0</v>
      </c>
      <c r="AC570" s="1">
        <f t="shared" si="101"/>
        <v>1</v>
      </c>
      <c r="AD570" s="1">
        <f t="shared" si="102"/>
        <v>0</v>
      </c>
      <c r="AE570" s="1">
        <f t="shared" si="103"/>
        <v>0</v>
      </c>
      <c r="AF570" s="1">
        <f t="shared" si="104"/>
        <v>1</v>
      </c>
      <c r="AG570" s="1">
        <f t="shared" si="105"/>
        <v>1</v>
      </c>
      <c r="AH570" s="1">
        <f t="shared" si="106"/>
        <v>1</v>
      </c>
      <c r="AI570" s="1">
        <f t="shared" si="107"/>
        <v>1</v>
      </c>
      <c r="AJ570" s="1">
        <f>SUMXMY2(Z570:AI570, Occurrence!B$3:K$3)</f>
        <v>2</v>
      </c>
      <c r="AK570" s="1">
        <f t="shared" si="108"/>
        <v>8</v>
      </c>
    </row>
    <row r="571" spans="1:37">
      <c r="A571" s="1">
        <v>570</v>
      </c>
      <c r="B571" s="1">
        <v>4252569</v>
      </c>
      <c r="C571" s="6" t="s">
        <v>41</v>
      </c>
      <c r="D571" s="1">
        <v>0.01</v>
      </c>
      <c r="E571" s="1">
        <v>0.2</v>
      </c>
      <c r="F571" s="1">
        <v>0.46</v>
      </c>
      <c r="G571" s="1">
        <v>0.5</v>
      </c>
      <c r="H571" s="1">
        <v>0.53</v>
      </c>
      <c r="I571" s="1">
        <v>0.7</v>
      </c>
      <c r="J571" s="1">
        <v>0.68</v>
      </c>
      <c r="K571" s="1">
        <v>0.67</v>
      </c>
      <c r="L571" s="1">
        <v>0.2</v>
      </c>
      <c r="M571" s="1">
        <v>0.4</v>
      </c>
      <c r="N571" s="1">
        <f>(Occurrence!B$3-D571)^2</f>
        <v>1E-4</v>
      </c>
      <c r="O571" s="1">
        <f>(Occurrence!C$3-E571)^2</f>
        <v>4.0000000000000008E-2</v>
      </c>
      <c r="P571" s="1">
        <f>(Occurrence!D$3-F571)^2</f>
        <v>0.29160000000000003</v>
      </c>
      <c r="Q571" s="1">
        <f>(Occurrence!E$3-G571)^2</f>
        <v>0.25</v>
      </c>
      <c r="R571" s="1">
        <f>(Occurrence!F$3-H571)^2</f>
        <v>0.28090000000000004</v>
      </c>
      <c r="S571" s="1">
        <f>(Occurrence!G$3-I571)^2</f>
        <v>0.48999999999999994</v>
      </c>
      <c r="T571" s="1">
        <f>(Occurrence!H$3-J571)^2</f>
        <v>0.10239999999999996</v>
      </c>
      <c r="U571" s="1">
        <f>(Occurrence!I$3-K571)^2</f>
        <v>0.10889999999999997</v>
      </c>
      <c r="V571" s="1">
        <f>(Occurrence!J$3-L571)^2</f>
        <v>4.0000000000000008E-2</v>
      </c>
      <c r="W571" s="1">
        <f>(Occurrence!K$3-M571)^2</f>
        <v>0.36</v>
      </c>
      <c r="X571" s="1">
        <f t="shared" si="97"/>
        <v>1.9639000000000002</v>
      </c>
      <c r="Z571" s="1">
        <f t="shared" si="98"/>
        <v>0</v>
      </c>
      <c r="AA571" s="1">
        <f t="shared" si="99"/>
        <v>0</v>
      </c>
      <c r="AB571" s="1">
        <f t="shared" si="100"/>
        <v>0</v>
      </c>
      <c r="AC571" s="1">
        <f t="shared" si="101"/>
        <v>1</v>
      </c>
      <c r="AD571" s="1">
        <f t="shared" si="102"/>
        <v>1</v>
      </c>
      <c r="AE571" s="1">
        <f t="shared" si="103"/>
        <v>1</v>
      </c>
      <c r="AF571" s="1">
        <f t="shared" si="104"/>
        <v>1</v>
      </c>
      <c r="AG571" s="1">
        <f t="shared" si="105"/>
        <v>1</v>
      </c>
      <c r="AH571" s="1">
        <f t="shared" si="106"/>
        <v>0</v>
      </c>
      <c r="AI571" s="1">
        <f t="shared" si="107"/>
        <v>0</v>
      </c>
      <c r="AJ571" s="1">
        <f>SUMXMY2(Z571:AI571, Occurrence!B$3:K$3)</f>
        <v>4</v>
      </c>
      <c r="AK571" s="1">
        <f t="shared" si="108"/>
        <v>6</v>
      </c>
    </row>
    <row r="572" spans="1:37">
      <c r="A572" s="1">
        <v>571</v>
      </c>
      <c r="B572" s="1">
        <v>4252570</v>
      </c>
      <c r="C572" s="6" t="s">
        <v>41</v>
      </c>
      <c r="D572" s="1">
        <v>0.01</v>
      </c>
      <c r="E572" s="1">
        <v>0.15</v>
      </c>
      <c r="F572" s="1">
        <v>0.48</v>
      </c>
      <c r="G572" s="1">
        <v>0.2</v>
      </c>
      <c r="H572" s="1">
        <v>0.5</v>
      </c>
      <c r="I572" s="1">
        <v>0.18</v>
      </c>
      <c r="J572" s="1">
        <v>0.5</v>
      </c>
      <c r="K572" s="1">
        <v>0.27</v>
      </c>
      <c r="L572" s="1">
        <v>1.6E-2</v>
      </c>
      <c r="M572" s="1">
        <v>0.23</v>
      </c>
      <c r="N572" s="1">
        <f>(Occurrence!B$3-D572)^2</f>
        <v>1E-4</v>
      </c>
      <c r="O572" s="1">
        <f>(Occurrence!C$3-E572)^2</f>
        <v>2.2499999999999999E-2</v>
      </c>
      <c r="P572" s="1">
        <f>(Occurrence!D$3-F572)^2</f>
        <v>0.27040000000000003</v>
      </c>
      <c r="Q572" s="1">
        <f>(Occurrence!E$3-G572)^2</f>
        <v>0.64000000000000012</v>
      </c>
      <c r="R572" s="1">
        <f>(Occurrence!F$3-H572)^2</f>
        <v>0.25</v>
      </c>
      <c r="S572" s="1">
        <f>(Occurrence!G$3-I572)^2</f>
        <v>3.2399999999999998E-2</v>
      </c>
      <c r="T572" s="1">
        <f>(Occurrence!H$3-J572)^2</f>
        <v>0.25</v>
      </c>
      <c r="U572" s="1">
        <f>(Occurrence!I$3-K572)^2</f>
        <v>0.53289999999999993</v>
      </c>
      <c r="V572" s="1">
        <f>(Occurrence!J$3-L572)^2</f>
        <v>2.5599999999999999E-4</v>
      </c>
      <c r="W572" s="1">
        <f>(Occurrence!K$3-M572)^2</f>
        <v>0.59289999999999998</v>
      </c>
      <c r="X572" s="1">
        <f t="shared" si="97"/>
        <v>2.591456</v>
      </c>
      <c r="Z572" s="1">
        <f t="shared" si="98"/>
        <v>0</v>
      </c>
      <c r="AA572" s="1">
        <f t="shared" si="99"/>
        <v>0</v>
      </c>
      <c r="AB572" s="1">
        <f t="shared" si="100"/>
        <v>0</v>
      </c>
      <c r="AC572" s="1">
        <f t="shared" si="101"/>
        <v>0</v>
      </c>
      <c r="AD572" s="1">
        <f t="shared" si="102"/>
        <v>1</v>
      </c>
      <c r="AE572" s="1">
        <f t="shared" si="103"/>
        <v>0</v>
      </c>
      <c r="AF572" s="1">
        <f t="shared" si="104"/>
        <v>1</v>
      </c>
      <c r="AG572" s="1">
        <f t="shared" si="105"/>
        <v>0</v>
      </c>
      <c r="AH572" s="1">
        <f t="shared" si="106"/>
        <v>0</v>
      </c>
      <c r="AI572" s="1">
        <f t="shared" si="107"/>
        <v>0</v>
      </c>
      <c r="AJ572" s="1">
        <f>SUMXMY2(Z572:AI572, Occurrence!B$3:K$3)</f>
        <v>5</v>
      </c>
      <c r="AK572" s="1">
        <f t="shared" si="108"/>
        <v>5</v>
      </c>
    </row>
    <row r="573" spans="1:37">
      <c r="A573" s="1">
        <v>572</v>
      </c>
      <c r="B573" s="1">
        <v>4252571</v>
      </c>
      <c r="C573" s="6" t="s">
        <v>41</v>
      </c>
      <c r="D573" s="1">
        <v>0.1</v>
      </c>
      <c r="E573" s="1">
        <v>0.3</v>
      </c>
      <c r="F573" s="1">
        <v>0.2</v>
      </c>
      <c r="G573" s="1">
        <v>0.6</v>
      </c>
      <c r="H573" s="1">
        <v>0.7</v>
      </c>
      <c r="I573" s="1">
        <v>0.6</v>
      </c>
      <c r="J573" s="1">
        <v>0.1</v>
      </c>
      <c r="K573" s="1">
        <v>0.8</v>
      </c>
      <c r="L573" s="1">
        <v>0.5</v>
      </c>
      <c r="M573" s="1">
        <v>0.9</v>
      </c>
      <c r="N573" s="1">
        <f>(Occurrence!B$3-D573)^2</f>
        <v>1.0000000000000002E-2</v>
      </c>
      <c r="O573" s="1">
        <f>(Occurrence!C$3-E573)^2</f>
        <v>0.09</v>
      </c>
      <c r="P573" s="1">
        <f>(Occurrence!D$3-F573)^2</f>
        <v>0.64000000000000012</v>
      </c>
      <c r="Q573" s="1">
        <f>(Occurrence!E$3-G573)^2</f>
        <v>0.16000000000000003</v>
      </c>
      <c r="R573" s="1">
        <f>(Occurrence!F$3-H573)^2</f>
        <v>0.48999999999999994</v>
      </c>
      <c r="S573" s="1">
        <f>(Occurrence!G$3-I573)^2</f>
        <v>0.36</v>
      </c>
      <c r="T573" s="1">
        <f>(Occurrence!H$3-J573)^2</f>
        <v>0.81</v>
      </c>
      <c r="U573" s="1">
        <f>(Occurrence!I$3-K573)^2</f>
        <v>3.999999999999998E-2</v>
      </c>
      <c r="V573" s="1">
        <f>(Occurrence!J$3-L573)^2</f>
        <v>0.25</v>
      </c>
      <c r="W573" s="1">
        <f>(Occurrence!K$3-M573)^2</f>
        <v>9.999999999999995E-3</v>
      </c>
      <c r="X573" s="1">
        <f t="shared" si="97"/>
        <v>2.86</v>
      </c>
      <c r="Z573" s="1">
        <f t="shared" si="98"/>
        <v>0</v>
      </c>
      <c r="AA573" s="1">
        <f t="shared" si="99"/>
        <v>0</v>
      </c>
      <c r="AB573" s="1">
        <f t="shared" si="100"/>
        <v>0</v>
      </c>
      <c r="AC573" s="1">
        <f t="shared" si="101"/>
        <v>1</v>
      </c>
      <c r="AD573" s="1">
        <f t="shared" si="102"/>
        <v>1</v>
      </c>
      <c r="AE573" s="1">
        <f t="shared" si="103"/>
        <v>1</v>
      </c>
      <c r="AF573" s="1">
        <f t="shared" si="104"/>
        <v>0</v>
      </c>
      <c r="AG573" s="1">
        <f t="shared" si="105"/>
        <v>1</v>
      </c>
      <c r="AH573" s="1">
        <f t="shared" si="106"/>
        <v>1</v>
      </c>
      <c r="AI573" s="1">
        <f t="shared" si="107"/>
        <v>1</v>
      </c>
      <c r="AJ573" s="1">
        <f>SUMXMY2(Z573:AI573, Occurrence!B$3:K$3)</f>
        <v>5</v>
      </c>
      <c r="AK573" s="1">
        <f t="shared" si="108"/>
        <v>5</v>
      </c>
    </row>
    <row r="574" spans="1:37">
      <c r="A574" s="1">
        <v>573</v>
      </c>
      <c r="B574" s="1">
        <v>4252572</v>
      </c>
      <c r="C574" s="6" t="s">
        <v>41</v>
      </c>
      <c r="D574" s="1">
        <v>0.01</v>
      </c>
      <c r="E574" s="1">
        <v>0.3</v>
      </c>
      <c r="F574" s="1">
        <v>0.26</v>
      </c>
      <c r="G574" s="1">
        <v>0.4</v>
      </c>
      <c r="H574" s="1">
        <v>0.73</v>
      </c>
      <c r="I574" s="1">
        <v>0.7</v>
      </c>
      <c r="J574" s="1">
        <v>0.4</v>
      </c>
      <c r="K574" s="1">
        <v>0.3</v>
      </c>
      <c r="L574" s="1">
        <v>0.6</v>
      </c>
      <c r="M574" s="1">
        <v>0.01</v>
      </c>
      <c r="N574" s="1">
        <f>(Occurrence!B$3-D574)^2</f>
        <v>1E-4</v>
      </c>
      <c r="O574" s="1">
        <f>(Occurrence!C$3-E574)^2</f>
        <v>0.09</v>
      </c>
      <c r="P574" s="1">
        <f>(Occurrence!D$3-F574)^2</f>
        <v>0.54759999999999998</v>
      </c>
      <c r="Q574" s="1">
        <f>(Occurrence!E$3-G574)^2</f>
        <v>0.36</v>
      </c>
      <c r="R574" s="1">
        <f>(Occurrence!F$3-H574)^2</f>
        <v>0.53289999999999993</v>
      </c>
      <c r="S574" s="1">
        <f>(Occurrence!G$3-I574)^2</f>
        <v>0.48999999999999994</v>
      </c>
      <c r="T574" s="1">
        <f>(Occurrence!H$3-J574)^2</f>
        <v>0.36</v>
      </c>
      <c r="U574" s="1">
        <f>(Occurrence!I$3-K574)^2</f>
        <v>0.48999999999999994</v>
      </c>
      <c r="V574" s="1">
        <f>(Occurrence!J$3-L574)^2</f>
        <v>0.36</v>
      </c>
      <c r="W574" s="1">
        <f>(Occurrence!K$3-M574)^2</f>
        <v>0.98009999999999997</v>
      </c>
      <c r="X574" s="1">
        <f t="shared" si="97"/>
        <v>4.2106999999999992</v>
      </c>
      <c r="Z574" s="1">
        <f t="shared" si="98"/>
        <v>0</v>
      </c>
      <c r="AA574" s="1">
        <f t="shared" si="99"/>
        <v>0</v>
      </c>
      <c r="AB574" s="1">
        <f t="shared" si="100"/>
        <v>0</v>
      </c>
      <c r="AC574" s="1">
        <f t="shared" si="101"/>
        <v>0</v>
      </c>
      <c r="AD574" s="1">
        <f t="shared" si="102"/>
        <v>1</v>
      </c>
      <c r="AE574" s="1">
        <f t="shared" si="103"/>
        <v>1</v>
      </c>
      <c r="AF574" s="1">
        <f t="shared" si="104"/>
        <v>0</v>
      </c>
      <c r="AG574" s="1">
        <f t="shared" si="105"/>
        <v>0</v>
      </c>
      <c r="AH574" s="1">
        <f t="shared" si="106"/>
        <v>1</v>
      </c>
      <c r="AI574" s="1">
        <f t="shared" si="107"/>
        <v>0</v>
      </c>
      <c r="AJ574" s="1">
        <f>SUMXMY2(Z574:AI574, Occurrence!B$3:K$3)</f>
        <v>8</v>
      </c>
      <c r="AK574" s="1">
        <f t="shared" si="108"/>
        <v>2</v>
      </c>
    </row>
    <row r="575" spans="1:37">
      <c r="A575" s="1">
        <v>574</v>
      </c>
      <c r="B575" s="1">
        <v>4252573</v>
      </c>
      <c r="C575" s="6" t="s">
        <v>41</v>
      </c>
      <c r="D575" s="1">
        <v>0.2</v>
      </c>
      <c r="E575" s="1">
        <v>0.45</v>
      </c>
      <c r="F575" s="1">
        <v>0.4</v>
      </c>
      <c r="G575" s="1">
        <v>0.5</v>
      </c>
      <c r="H575" s="1">
        <v>0.4</v>
      </c>
      <c r="I575" s="1">
        <v>0.65</v>
      </c>
      <c r="J575" s="1">
        <v>0.5</v>
      </c>
      <c r="K575" s="1">
        <v>0.95</v>
      </c>
      <c r="L575" s="1">
        <v>0</v>
      </c>
      <c r="M575" s="1">
        <v>0.5</v>
      </c>
      <c r="N575" s="1">
        <f>(Occurrence!B$3-D575)^2</f>
        <v>4.0000000000000008E-2</v>
      </c>
      <c r="O575" s="1">
        <f>(Occurrence!C$3-E575)^2</f>
        <v>0.20250000000000001</v>
      </c>
      <c r="P575" s="1">
        <f>(Occurrence!D$3-F575)^2</f>
        <v>0.36</v>
      </c>
      <c r="Q575" s="1">
        <f>(Occurrence!E$3-G575)^2</f>
        <v>0.25</v>
      </c>
      <c r="R575" s="1">
        <f>(Occurrence!F$3-H575)^2</f>
        <v>0.16000000000000003</v>
      </c>
      <c r="S575" s="1">
        <f>(Occurrence!G$3-I575)^2</f>
        <v>0.42250000000000004</v>
      </c>
      <c r="T575" s="1">
        <f>(Occurrence!H$3-J575)^2</f>
        <v>0.25</v>
      </c>
      <c r="U575" s="1">
        <f>(Occurrence!I$3-K575)^2</f>
        <v>2.5000000000000044E-3</v>
      </c>
      <c r="V575" s="1">
        <f>(Occurrence!J$3-L575)^2</f>
        <v>0</v>
      </c>
      <c r="W575" s="1">
        <f>(Occurrence!K$3-M575)^2</f>
        <v>0.25</v>
      </c>
      <c r="X575" s="1">
        <f t="shared" si="97"/>
        <v>1.9375000000000002</v>
      </c>
      <c r="Z575" s="1">
        <f t="shared" si="98"/>
        <v>0</v>
      </c>
      <c r="AA575" s="1">
        <f t="shared" si="99"/>
        <v>0</v>
      </c>
      <c r="AB575" s="1">
        <f t="shared" si="100"/>
        <v>0</v>
      </c>
      <c r="AC575" s="1">
        <f t="shared" si="101"/>
        <v>1</v>
      </c>
      <c r="AD575" s="1">
        <f t="shared" si="102"/>
        <v>0</v>
      </c>
      <c r="AE575" s="1">
        <f t="shared" si="103"/>
        <v>1</v>
      </c>
      <c r="AF575" s="1">
        <f t="shared" si="104"/>
        <v>1</v>
      </c>
      <c r="AG575" s="1">
        <f t="shared" si="105"/>
        <v>1</v>
      </c>
      <c r="AH575" s="1">
        <f t="shared" si="106"/>
        <v>0</v>
      </c>
      <c r="AI575" s="1">
        <f t="shared" si="107"/>
        <v>1</v>
      </c>
      <c r="AJ575" s="1">
        <f>SUMXMY2(Z575:AI575, Occurrence!B$3:K$3)</f>
        <v>2</v>
      </c>
      <c r="AK575" s="1">
        <f t="shared" si="108"/>
        <v>8</v>
      </c>
    </row>
    <row r="576" spans="1:37">
      <c r="A576" s="1">
        <v>575</v>
      </c>
      <c r="B576" s="1">
        <v>4252574</v>
      </c>
      <c r="C576" s="6" t="s">
        <v>41</v>
      </c>
      <c r="D576" s="1">
        <v>0.1</v>
      </c>
      <c r="E576" s="1">
        <v>0.2</v>
      </c>
      <c r="F576" s="1">
        <v>0.7</v>
      </c>
      <c r="G576" s="1">
        <v>0.8</v>
      </c>
      <c r="H576" s="1">
        <v>0.8</v>
      </c>
      <c r="I576" s="1">
        <v>0.4</v>
      </c>
      <c r="J576" s="1">
        <v>0.3</v>
      </c>
      <c r="K576" s="1">
        <v>0.5</v>
      </c>
      <c r="L576" s="1">
        <v>0.8</v>
      </c>
      <c r="M576" s="1">
        <v>0.7</v>
      </c>
      <c r="N576" s="1">
        <f>(Occurrence!B$3-D576)^2</f>
        <v>1.0000000000000002E-2</v>
      </c>
      <c r="O576" s="1">
        <f>(Occurrence!C$3-E576)^2</f>
        <v>4.0000000000000008E-2</v>
      </c>
      <c r="P576" s="1">
        <f>(Occurrence!D$3-F576)^2</f>
        <v>9.0000000000000024E-2</v>
      </c>
      <c r="Q576" s="1">
        <f>(Occurrence!E$3-G576)^2</f>
        <v>3.999999999999998E-2</v>
      </c>
      <c r="R576" s="1">
        <f>(Occurrence!F$3-H576)^2</f>
        <v>0.64000000000000012</v>
      </c>
      <c r="S576" s="1">
        <f>(Occurrence!G$3-I576)^2</f>
        <v>0.16000000000000003</v>
      </c>
      <c r="T576" s="1">
        <f>(Occurrence!H$3-J576)^2</f>
        <v>0.48999999999999994</v>
      </c>
      <c r="U576" s="1">
        <f>(Occurrence!I$3-K576)^2</f>
        <v>0.25</v>
      </c>
      <c r="V576" s="1">
        <f>(Occurrence!J$3-L576)^2</f>
        <v>0.64000000000000012</v>
      </c>
      <c r="W576" s="1">
        <f>(Occurrence!K$3-M576)^2</f>
        <v>9.0000000000000024E-2</v>
      </c>
      <c r="X576" s="1">
        <f t="shared" si="97"/>
        <v>2.4500000000000002</v>
      </c>
      <c r="Z576" s="1">
        <f t="shared" si="98"/>
        <v>0</v>
      </c>
      <c r="AA576" s="1">
        <f t="shared" si="99"/>
        <v>0</v>
      </c>
      <c r="AB576" s="1">
        <f t="shared" si="100"/>
        <v>1</v>
      </c>
      <c r="AC576" s="1">
        <f t="shared" si="101"/>
        <v>1</v>
      </c>
      <c r="AD576" s="1">
        <f t="shared" si="102"/>
        <v>1</v>
      </c>
      <c r="AE576" s="1">
        <f t="shared" si="103"/>
        <v>0</v>
      </c>
      <c r="AF576" s="1">
        <f t="shared" si="104"/>
        <v>0</v>
      </c>
      <c r="AG576" s="1">
        <f t="shared" si="105"/>
        <v>1</v>
      </c>
      <c r="AH576" s="1">
        <f t="shared" si="106"/>
        <v>1</v>
      </c>
      <c r="AI576" s="1">
        <f t="shared" si="107"/>
        <v>1</v>
      </c>
      <c r="AJ576" s="1">
        <f>SUMXMY2(Z576:AI576, Occurrence!B$3:K$3)</f>
        <v>3</v>
      </c>
      <c r="AK576" s="1">
        <f t="shared" si="108"/>
        <v>7</v>
      </c>
    </row>
    <row r="577" spans="1:37">
      <c r="A577" s="1">
        <v>576</v>
      </c>
      <c r="B577" s="1">
        <v>4252575</v>
      </c>
      <c r="C577" s="6" t="s">
        <v>42</v>
      </c>
      <c r="D577" s="1">
        <v>0.15</v>
      </c>
      <c r="E577" s="1">
        <v>0.3</v>
      </c>
      <c r="F577" s="1">
        <v>0.15</v>
      </c>
      <c r="G577" s="1">
        <v>0.3</v>
      </c>
      <c r="H577" s="1">
        <v>0.7</v>
      </c>
      <c r="I577" s="1">
        <v>0.3</v>
      </c>
      <c r="J577" s="1">
        <v>0.8</v>
      </c>
      <c r="K577" s="1">
        <v>0.85</v>
      </c>
      <c r="L577" s="1">
        <v>0.7</v>
      </c>
      <c r="M577" s="1">
        <v>0.8</v>
      </c>
      <c r="N577" s="1">
        <f>(Occurrence!B$3-D577)^2</f>
        <v>2.2499999999999999E-2</v>
      </c>
      <c r="O577" s="1">
        <f>(Occurrence!C$3-E577)^2</f>
        <v>0.09</v>
      </c>
      <c r="P577" s="1">
        <f>(Occurrence!D$3-F577)^2</f>
        <v>0.72249999999999992</v>
      </c>
      <c r="Q577" s="1">
        <f>(Occurrence!E$3-G577)^2</f>
        <v>0.48999999999999994</v>
      </c>
      <c r="R577" s="1">
        <f>(Occurrence!F$3-H577)^2</f>
        <v>0.48999999999999994</v>
      </c>
      <c r="S577" s="1">
        <f>(Occurrence!G$3-I577)^2</f>
        <v>0.09</v>
      </c>
      <c r="T577" s="1">
        <f>(Occurrence!H$3-J577)^2</f>
        <v>3.999999999999998E-2</v>
      </c>
      <c r="U577" s="1">
        <f>(Occurrence!I$3-K577)^2</f>
        <v>2.2500000000000006E-2</v>
      </c>
      <c r="V577" s="1">
        <f>(Occurrence!J$3-L577)^2</f>
        <v>0.48999999999999994</v>
      </c>
      <c r="W577" s="1">
        <f>(Occurrence!K$3-M577)^2</f>
        <v>3.999999999999998E-2</v>
      </c>
      <c r="X577" s="1">
        <f t="shared" si="97"/>
        <v>2.4975000000000001</v>
      </c>
      <c r="Z577" s="1">
        <f t="shared" si="98"/>
        <v>0</v>
      </c>
      <c r="AA577" s="1">
        <f t="shared" si="99"/>
        <v>0</v>
      </c>
      <c r="AB577" s="1">
        <f t="shared" si="100"/>
        <v>0</v>
      </c>
      <c r="AC577" s="1">
        <f t="shared" si="101"/>
        <v>0</v>
      </c>
      <c r="AD577" s="1">
        <f t="shared" si="102"/>
        <v>1</v>
      </c>
      <c r="AE577" s="1">
        <f t="shared" si="103"/>
        <v>0</v>
      </c>
      <c r="AF577" s="1">
        <f t="shared" si="104"/>
        <v>1</v>
      </c>
      <c r="AG577" s="1">
        <f t="shared" si="105"/>
        <v>1</v>
      </c>
      <c r="AH577" s="1">
        <f t="shared" si="106"/>
        <v>1</v>
      </c>
      <c r="AI577" s="1">
        <f t="shared" si="107"/>
        <v>1</v>
      </c>
      <c r="AJ577" s="1">
        <f>SUMXMY2(Z577:AI577, Occurrence!B$3:K$3)</f>
        <v>4</v>
      </c>
      <c r="AK577" s="1">
        <f t="shared" si="108"/>
        <v>6</v>
      </c>
    </row>
    <row r="578" spans="1:37">
      <c r="A578" s="1">
        <v>577</v>
      </c>
      <c r="B578" s="1">
        <v>4252576</v>
      </c>
      <c r="C578" s="6" t="s">
        <v>42</v>
      </c>
      <c r="D578" s="1">
        <v>0.15</v>
      </c>
      <c r="E578" s="1">
        <v>0.2</v>
      </c>
      <c r="F578" s="1">
        <v>0.1</v>
      </c>
      <c r="G578" s="1">
        <v>0.3</v>
      </c>
      <c r="H578" s="1">
        <v>0.75</v>
      </c>
      <c r="I578" s="1">
        <v>0.4</v>
      </c>
      <c r="J578" s="1">
        <v>0.9</v>
      </c>
      <c r="K578" s="1">
        <v>0.6</v>
      </c>
      <c r="L578" s="1">
        <v>0.85</v>
      </c>
      <c r="M578" s="1">
        <v>0.3</v>
      </c>
      <c r="N578" s="1">
        <f>(Occurrence!B$3-D578)^2</f>
        <v>2.2499999999999999E-2</v>
      </c>
      <c r="O578" s="1">
        <f>(Occurrence!C$3-E578)^2</f>
        <v>4.0000000000000008E-2</v>
      </c>
      <c r="P578" s="1">
        <f>(Occurrence!D$3-F578)^2</f>
        <v>0.81</v>
      </c>
      <c r="Q578" s="1">
        <f>(Occurrence!E$3-G578)^2</f>
        <v>0.48999999999999994</v>
      </c>
      <c r="R578" s="1">
        <f>(Occurrence!F$3-H578)^2</f>
        <v>0.5625</v>
      </c>
      <c r="S578" s="1">
        <f>(Occurrence!G$3-I578)^2</f>
        <v>0.16000000000000003</v>
      </c>
      <c r="T578" s="1">
        <f>(Occurrence!H$3-J578)^2</f>
        <v>9.999999999999995E-3</v>
      </c>
      <c r="U578" s="1">
        <f>(Occurrence!I$3-K578)^2</f>
        <v>0.16000000000000003</v>
      </c>
      <c r="V578" s="1">
        <f>(Occurrence!J$3-L578)^2</f>
        <v>0.72249999999999992</v>
      </c>
      <c r="W578" s="1">
        <f>(Occurrence!K$3-M578)^2</f>
        <v>0.48999999999999994</v>
      </c>
      <c r="X578" s="1">
        <f t="shared" si="97"/>
        <v>3.4674999999999998</v>
      </c>
      <c r="Z578" s="1">
        <f t="shared" si="98"/>
        <v>0</v>
      </c>
      <c r="AA578" s="1">
        <f t="shared" si="99"/>
        <v>0</v>
      </c>
      <c r="AB578" s="1">
        <f t="shared" si="100"/>
        <v>0</v>
      </c>
      <c r="AC578" s="1">
        <f t="shared" si="101"/>
        <v>0</v>
      </c>
      <c r="AD578" s="1">
        <f t="shared" si="102"/>
        <v>1</v>
      </c>
      <c r="AE578" s="1">
        <f t="shared" si="103"/>
        <v>0</v>
      </c>
      <c r="AF578" s="1">
        <f t="shared" si="104"/>
        <v>1</v>
      </c>
      <c r="AG578" s="1">
        <f t="shared" si="105"/>
        <v>1</v>
      </c>
      <c r="AH578" s="1">
        <f t="shared" si="106"/>
        <v>1</v>
      </c>
      <c r="AI578" s="1">
        <f t="shared" si="107"/>
        <v>0</v>
      </c>
      <c r="AJ578" s="1">
        <f>SUMXMY2(Z578:AI578, Occurrence!B$3:K$3)</f>
        <v>5</v>
      </c>
      <c r="AK578" s="1">
        <f t="shared" si="108"/>
        <v>5</v>
      </c>
    </row>
    <row r="579" spans="1:37">
      <c r="A579" s="1">
        <v>578</v>
      </c>
      <c r="B579" s="1">
        <v>4252577</v>
      </c>
      <c r="C579" s="6" t="s">
        <v>42</v>
      </c>
      <c r="D579" s="1">
        <v>0.3</v>
      </c>
      <c r="E579" s="1">
        <v>0.6</v>
      </c>
      <c r="F579" s="1">
        <v>0.05</v>
      </c>
      <c r="G579" s="1">
        <v>0.05</v>
      </c>
      <c r="H579" s="1">
        <v>0.7</v>
      </c>
      <c r="I579" s="1">
        <v>0.75</v>
      </c>
      <c r="J579" s="1">
        <v>0.1</v>
      </c>
      <c r="K579" s="1">
        <v>0.9</v>
      </c>
      <c r="L579" s="1">
        <v>0.3</v>
      </c>
      <c r="M579" s="1">
        <v>0.5</v>
      </c>
      <c r="N579" s="1">
        <f>(Occurrence!B$3-D579)^2</f>
        <v>0.09</v>
      </c>
      <c r="O579" s="1">
        <f>(Occurrence!C$3-E579)^2</f>
        <v>0.36</v>
      </c>
      <c r="P579" s="1">
        <f>(Occurrence!D$3-F579)^2</f>
        <v>0.90249999999999997</v>
      </c>
      <c r="Q579" s="1">
        <f>(Occurrence!E$3-G579)^2</f>
        <v>0.90249999999999997</v>
      </c>
      <c r="R579" s="1">
        <f>(Occurrence!F$3-H579)^2</f>
        <v>0.48999999999999994</v>
      </c>
      <c r="S579" s="1">
        <f>(Occurrence!G$3-I579)^2</f>
        <v>0.5625</v>
      </c>
      <c r="T579" s="1">
        <f>(Occurrence!H$3-J579)^2</f>
        <v>0.81</v>
      </c>
      <c r="U579" s="1">
        <f>(Occurrence!I$3-K579)^2</f>
        <v>9.999999999999995E-3</v>
      </c>
      <c r="V579" s="1">
        <f>(Occurrence!J$3-L579)^2</f>
        <v>0.09</v>
      </c>
      <c r="W579" s="1">
        <f>(Occurrence!K$3-M579)^2</f>
        <v>0.25</v>
      </c>
      <c r="X579" s="1">
        <f t="shared" ref="X579:X642" si="109">SUM(N579:W579)</f>
        <v>4.4674999999999994</v>
      </c>
      <c r="Z579" s="1">
        <f t="shared" ref="Z579:Z642" si="110">ROUND(D579, 0)</f>
        <v>0</v>
      </c>
      <c r="AA579" s="1">
        <f t="shared" ref="AA579:AA642" si="111">ROUND(E579, 0)</f>
        <v>1</v>
      </c>
      <c r="AB579" s="1">
        <f t="shared" ref="AB579:AB642" si="112">ROUND(F579, 0)</f>
        <v>0</v>
      </c>
      <c r="AC579" s="1">
        <f t="shared" ref="AC579:AC642" si="113">ROUND(G579, 0)</f>
        <v>0</v>
      </c>
      <c r="AD579" s="1">
        <f t="shared" ref="AD579:AD642" si="114">ROUND(H579, 0)</f>
        <v>1</v>
      </c>
      <c r="AE579" s="1">
        <f t="shared" ref="AE579:AE642" si="115">ROUND(I579, 0)</f>
        <v>1</v>
      </c>
      <c r="AF579" s="1">
        <f t="shared" ref="AF579:AF642" si="116">ROUND(J579, 0)</f>
        <v>0</v>
      </c>
      <c r="AG579" s="1">
        <f t="shared" ref="AG579:AG642" si="117">ROUND(K579, 0)</f>
        <v>1</v>
      </c>
      <c r="AH579" s="1">
        <f t="shared" ref="AH579:AH642" si="118">ROUND(L579, 0)</f>
        <v>0</v>
      </c>
      <c r="AI579" s="1">
        <f t="shared" ref="AI579:AI642" si="119">ROUND(M579, 0)</f>
        <v>1</v>
      </c>
      <c r="AJ579" s="1">
        <f>SUMXMY2(Z579:AI579, Occurrence!B$3:K$3)</f>
        <v>6</v>
      </c>
      <c r="AK579" s="1">
        <f t="shared" ref="AK579:AK642" si="120">10-AJ579</f>
        <v>4</v>
      </c>
    </row>
    <row r="580" spans="1:37">
      <c r="A580" s="1">
        <v>579</v>
      </c>
      <c r="B580" s="1">
        <v>4252578</v>
      </c>
      <c r="C580" s="6" t="s">
        <v>42</v>
      </c>
      <c r="D580" s="1">
        <v>0.02</v>
      </c>
      <c r="E580" s="1">
        <v>0.05</v>
      </c>
      <c r="F580" s="1">
        <v>0.4</v>
      </c>
      <c r="G580" s="1">
        <v>0.5</v>
      </c>
      <c r="H580" s="1">
        <v>0.03</v>
      </c>
      <c r="I580" s="1">
        <v>0.8</v>
      </c>
      <c r="J580" s="1">
        <v>0.99</v>
      </c>
      <c r="K580" s="1">
        <v>0.3</v>
      </c>
      <c r="L580" s="1">
        <v>0.91</v>
      </c>
      <c r="M580" s="1">
        <v>0.9</v>
      </c>
      <c r="N580" s="1">
        <f>(Occurrence!B$3-D580)^2</f>
        <v>4.0000000000000002E-4</v>
      </c>
      <c r="O580" s="1">
        <f>(Occurrence!C$3-E580)^2</f>
        <v>2.5000000000000005E-3</v>
      </c>
      <c r="P580" s="1">
        <f>(Occurrence!D$3-F580)^2</f>
        <v>0.36</v>
      </c>
      <c r="Q580" s="1">
        <f>(Occurrence!E$3-G580)^2</f>
        <v>0.25</v>
      </c>
      <c r="R580" s="1">
        <f>(Occurrence!F$3-H580)^2</f>
        <v>8.9999999999999998E-4</v>
      </c>
      <c r="S580" s="1">
        <f>(Occurrence!G$3-I580)^2</f>
        <v>0.64000000000000012</v>
      </c>
      <c r="T580" s="1">
        <f>(Occurrence!H$3-J580)^2</f>
        <v>1.0000000000000018E-4</v>
      </c>
      <c r="U580" s="1">
        <f>(Occurrence!I$3-K580)^2</f>
        <v>0.48999999999999994</v>
      </c>
      <c r="V580" s="1">
        <f>(Occurrence!J$3-L580)^2</f>
        <v>0.82810000000000006</v>
      </c>
      <c r="W580" s="1">
        <f>(Occurrence!K$3-M580)^2</f>
        <v>9.999999999999995E-3</v>
      </c>
      <c r="X580" s="1">
        <f t="shared" si="109"/>
        <v>2.5819999999999999</v>
      </c>
      <c r="Z580" s="1">
        <f t="shared" si="110"/>
        <v>0</v>
      </c>
      <c r="AA580" s="1">
        <f t="shared" si="111"/>
        <v>0</v>
      </c>
      <c r="AB580" s="1">
        <f t="shared" si="112"/>
        <v>0</v>
      </c>
      <c r="AC580" s="1">
        <f t="shared" si="113"/>
        <v>1</v>
      </c>
      <c r="AD580" s="1">
        <f t="shared" si="114"/>
        <v>0</v>
      </c>
      <c r="AE580" s="1">
        <f t="shared" si="115"/>
        <v>1</v>
      </c>
      <c r="AF580" s="1">
        <f t="shared" si="116"/>
        <v>1</v>
      </c>
      <c r="AG580" s="1">
        <f t="shared" si="117"/>
        <v>0</v>
      </c>
      <c r="AH580" s="1">
        <f t="shared" si="118"/>
        <v>1</v>
      </c>
      <c r="AI580" s="1">
        <f t="shared" si="119"/>
        <v>1</v>
      </c>
      <c r="AJ580" s="1">
        <f>SUMXMY2(Z580:AI580, Occurrence!B$3:K$3)</f>
        <v>4</v>
      </c>
      <c r="AK580" s="1">
        <f t="shared" si="120"/>
        <v>6</v>
      </c>
    </row>
    <row r="581" spans="1:37">
      <c r="A581" s="1">
        <v>580</v>
      </c>
      <c r="B581" s="1">
        <v>4252579</v>
      </c>
      <c r="C581" s="6" t="s">
        <v>42</v>
      </c>
      <c r="D581" s="1">
        <v>0.05</v>
      </c>
      <c r="E581" s="1">
        <v>0.05</v>
      </c>
      <c r="F581" s="1">
        <v>0.7</v>
      </c>
      <c r="G581" s="1">
        <v>0.9</v>
      </c>
      <c r="H581" s="1">
        <v>0.25</v>
      </c>
      <c r="I581" s="1">
        <v>0.4</v>
      </c>
      <c r="J581" s="1">
        <v>0.95</v>
      </c>
      <c r="K581" s="1">
        <v>0.7</v>
      </c>
      <c r="L581" s="1">
        <v>0.75</v>
      </c>
      <c r="M581" s="1">
        <v>0.65</v>
      </c>
      <c r="N581" s="1">
        <f>(Occurrence!B$3-D581)^2</f>
        <v>2.5000000000000005E-3</v>
      </c>
      <c r="O581" s="1">
        <f>(Occurrence!C$3-E581)^2</f>
        <v>2.5000000000000005E-3</v>
      </c>
      <c r="P581" s="1">
        <f>(Occurrence!D$3-F581)^2</f>
        <v>9.0000000000000024E-2</v>
      </c>
      <c r="Q581" s="1">
        <f>(Occurrence!E$3-G581)^2</f>
        <v>9.999999999999995E-3</v>
      </c>
      <c r="R581" s="1">
        <f>(Occurrence!F$3-H581)^2</f>
        <v>6.25E-2</v>
      </c>
      <c r="S581" s="1">
        <f>(Occurrence!G$3-I581)^2</f>
        <v>0.16000000000000003</v>
      </c>
      <c r="T581" s="1">
        <f>(Occurrence!H$3-J581)^2</f>
        <v>2.5000000000000044E-3</v>
      </c>
      <c r="U581" s="1">
        <f>(Occurrence!I$3-K581)^2</f>
        <v>9.0000000000000024E-2</v>
      </c>
      <c r="V581" s="1">
        <f>(Occurrence!J$3-L581)^2</f>
        <v>0.5625</v>
      </c>
      <c r="W581" s="1">
        <f>(Occurrence!K$3-M581)^2</f>
        <v>0.12249999999999998</v>
      </c>
      <c r="X581" s="1">
        <f t="shared" si="109"/>
        <v>1.1050000000000002</v>
      </c>
      <c r="Z581" s="1">
        <f t="shared" si="110"/>
        <v>0</v>
      </c>
      <c r="AA581" s="1">
        <f t="shared" si="111"/>
        <v>0</v>
      </c>
      <c r="AB581" s="1">
        <f t="shared" si="112"/>
        <v>1</v>
      </c>
      <c r="AC581" s="1">
        <f t="shared" si="113"/>
        <v>1</v>
      </c>
      <c r="AD581" s="1">
        <f t="shared" si="114"/>
        <v>0</v>
      </c>
      <c r="AE581" s="1">
        <f t="shared" si="115"/>
        <v>0</v>
      </c>
      <c r="AF581" s="1">
        <f t="shared" si="116"/>
        <v>1</v>
      </c>
      <c r="AG581" s="1">
        <f t="shared" si="117"/>
        <v>1</v>
      </c>
      <c r="AH581" s="1">
        <f t="shared" si="118"/>
        <v>1</v>
      </c>
      <c r="AI581" s="1">
        <f t="shared" si="119"/>
        <v>1</v>
      </c>
      <c r="AJ581" s="1">
        <f>SUMXMY2(Z581:AI581, Occurrence!B$3:K$3)</f>
        <v>1</v>
      </c>
      <c r="AK581" s="1">
        <f t="shared" si="120"/>
        <v>9</v>
      </c>
    </row>
    <row r="582" spans="1:37">
      <c r="A582" s="1">
        <v>581</v>
      </c>
      <c r="B582" s="1">
        <v>4252580</v>
      </c>
      <c r="C582" s="6" t="s">
        <v>42</v>
      </c>
      <c r="D582" s="1">
        <v>0.05</v>
      </c>
      <c r="E582" s="1">
        <v>0.25</v>
      </c>
      <c r="F582" s="1">
        <v>0.2</v>
      </c>
      <c r="G582" s="1">
        <v>0.5</v>
      </c>
      <c r="H582" s="1">
        <v>0.75</v>
      </c>
      <c r="I582" s="1">
        <v>0.43</v>
      </c>
      <c r="J582" s="1">
        <v>0.98</v>
      </c>
      <c r="K582" s="1">
        <v>0.77</v>
      </c>
      <c r="L582" s="1">
        <v>0.4</v>
      </c>
      <c r="M582" s="1">
        <v>0.88</v>
      </c>
      <c r="N582" s="1">
        <f>(Occurrence!B$3-D582)^2</f>
        <v>2.5000000000000005E-3</v>
      </c>
      <c r="O582" s="1">
        <f>(Occurrence!C$3-E582)^2</f>
        <v>6.25E-2</v>
      </c>
      <c r="P582" s="1">
        <f>(Occurrence!D$3-F582)^2</f>
        <v>0.64000000000000012</v>
      </c>
      <c r="Q582" s="1">
        <f>(Occurrence!E$3-G582)^2</f>
        <v>0.25</v>
      </c>
      <c r="R582" s="1">
        <f>(Occurrence!F$3-H582)^2</f>
        <v>0.5625</v>
      </c>
      <c r="S582" s="1">
        <f>(Occurrence!G$3-I582)^2</f>
        <v>0.18489999999999998</v>
      </c>
      <c r="T582" s="1">
        <f>(Occurrence!H$3-J582)^2</f>
        <v>4.0000000000000072E-4</v>
      </c>
      <c r="U582" s="1">
        <f>(Occurrence!I$3-K582)^2</f>
        <v>5.2899999999999989E-2</v>
      </c>
      <c r="V582" s="1">
        <f>(Occurrence!J$3-L582)^2</f>
        <v>0.16000000000000003</v>
      </c>
      <c r="W582" s="1">
        <f>(Occurrence!K$3-M582)^2</f>
        <v>1.44E-2</v>
      </c>
      <c r="X582" s="1">
        <f t="shared" si="109"/>
        <v>1.9301000000000001</v>
      </c>
      <c r="Z582" s="1">
        <f t="shared" si="110"/>
        <v>0</v>
      </c>
      <c r="AA582" s="1">
        <f t="shared" si="111"/>
        <v>0</v>
      </c>
      <c r="AB582" s="1">
        <f t="shared" si="112"/>
        <v>0</v>
      </c>
      <c r="AC582" s="1">
        <f t="shared" si="113"/>
        <v>1</v>
      </c>
      <c r="AD582" s="1">
        <f t="shared" si="114"/>
        <v>1</v>
      </c>
      <c r="AE582" s="1">
        <f t="shared" si="115"/>
        <v>0</v>
      </c>
      <c r="AF582" s="1">
        <f t="shared" si="116"/>
        <v>1</v>
      </c>
      <c r="AG582" s="1">
        <f t="shared" si="117"/>
        <v>1</v>
      </c>
      <c r="AH582" s="1">
        <f t="shared" si="118"/>
        <v>0</v>
      </c>
      <c r="AI582" s="1">
        <f t="shared" si="119"/>
        <v>1</v>
      </c>
      <c r="AJ582" s="1">
        <f>SUMXMY2(Z582:AI582, Occurrence!B$3:K$3)</f>
        <v>2</v>
      </c>
      <c r="AK582" s="1">
        <f t="shared" si="120"/>
        <v>8</v>
      </c>
    </row>
    <row r="583" spans="1:37">
      <c r="A583" s="1">
        <v>582</v>
      </c>
      <c r="B583" s="1">
        <v>4252581</v>
      </c>
      <c r="C583" s="6" t="s">
        <v>42</v>
      </c>
      <c r="D583" s="1">
        <v>0</v>
      </c>
      <c r="E583" s="1">
        <v>0</v>
      </c>
      <c r="F583" s="1">
        <v>0.3</v>
      </c>
      <c r="G583" s="1">
        <v>0.6</v>
      </c>
      <c r="H583" s="1">
        <v>0.9</v>
      </c>
      <c r="I583" s="1">
        <v>0.7</v>
      </c>
      <c r="J583" s="1">
        <v>0.3</v>
      </c>
      <c r="K583" s="1">
        <v>0.5</v>
      </c>
      <c r="L583" s="1">
        <v>0.1</v>
      </c>
      <c r="M583" s="1">
        <v>0.6</v>
      </c>
      <c r="N583" s="1">
        <f>(Occurrence!B$3-D583)^2</f>
        <v>0</v>
      </c>
      <c r="O583" s="1">
        <f>(Occurrence!C$3-E583)^2</f>
        <v>0</v>
      </c>
      <c r="P583" s="1">
        <f>(Occurrence!D$3-F583)^2</f>
        <v>0.48999999999999994</v>
      </c>
      <c r="Q583" s="1">
        <f>(Occurrence!E$3-G583)^2</f>
        <v>0.16000000000000003</v>
      </c>
      <c r="R583" s="1">
        <f>(Occurrence!F$3-H583)^2</f>
        <v>0.81</v>
      </c>
      <c r="S583" s="1">
        <f>(Occurrence!G$3-I583)^2</f>
        <v>0.48999999999999994</v>
      </c>
      <c r="T583" s="1">
        <f>(Occurrence!H$3-J583)^2</f>
        <v>0.48999999999999994</v>
      </c>
      <c r="U583" s="1">
        <f>(Occurrence!I$3-K583)^2</f>
        <v>0.25</v>
      </c>
      <c r="V583" s="1">
        <f>(Occurrence!J$3-L583)^2</f>
        <v>1.0000000000000002E-2</v>
      </c>
      <c r="W583" s="1">
        <f>(Occurrence!K$3-M583)^2</f>
        <v>0.16000000000000003</v>
      </c>
      <c r="X583" s="1">
        <f t="shared" si="109"/>
        <v>2.86</v>
      </c>
      <c r="Z583" s="1">
        <f t="shared" si="110"/>
        <v>0</v>
      </c>
      <c r="AA583" s="1">
        <f t="shared" si="111"/>
        <v>0</v>
      </c>
      <c r="AB583" s="1">
        <f t="shared" si="112"/>
        <v>0</v>
      </c>
      <c r="AC583" s="1">
        <f t="shared" si="113"/>
        <v>1</v>
      </c>
      <c r="AD583" s="1">
        <f t="shared" si="114"/>
        <v>1</v>
      </c>
      <c r="AE583" s="1">
        <f t="shared" si="115"/>
        <v>1</v>
      </c>
      <c r="AF583" s="1">
        <f t="shared" si="116"/>
        <v>0</v>
      </c>
      <c r="AG583" s="1">
        <f t="shared" si="117"/>
        <v>1</v>
      </c>
      <c r="AH583" s="1">
        <f t="shared" si="118"/>
        <v>0</v>
      </c>
      <c r="AI583" s="1">
        <f t="shared" si="119"/>
        <v>1</v>
      </c>
      <c r="AJ583" s="1">
        <f>SUMXMY2(Z583:AI583, Occurrence!B$3:K$3)</f>
        <v>4</v>
      </c>
      <c r="AK583" s="1">
        <f t="shared" si="120"/>
        <v>6</v>
      </c>
    </row>
    <row r="584" spans="1:37">
      <c r="A584" s="1">
        <v>583</v>
      </c>
      <c r="B584" s="1">
        <v>4252582</v>
      </c>
      <c r="C584" s="6" t="s">
        <v>42</v>
      </c>
      <c r="D584" s="1">
        <v>0.05</v>
      </c>
      <c r="E584" s="1">
        <v>0.2</v>
      </c>
      <c r="F584" s="1">
        <v>0.05</v>
      </c>
      <c r="G584" s="1">
        <v>0.6</v>
      </c>
      <c r="H584" s="1">
        <v>0.9</v>
      </c>
      <c r="I584" s="1">
        <v>0.5</v>
      </c>
      <c r="J584" s="1">
        <v>0.5</v>
      </c>
      <c r="K584" s="1">
        <v>0.5</v>
      </c>
      <c r="L584" s="1">
        <v>0.5</v>
      </c>
      <c r="M584" s="1">
        <v>0.5</v>
      </c>
      <c r="N584" s="1">
        <f>(Occurrence!B$3-D584)^2</f>
        <v>2.5000000000000005E-3</v>
      </c>
      <c r="O584" s="1">
        <f>(Occurrence!C$3-E584)^2</f>
        <v>4.0000000000000008E-2</v>
      </c>
      <c r="P584" s="1">
        <f>(Occurrence!D$3-F584)^2</f>
        <v>0.90249999999999997</v>
      </c>
      <c r="Q584" s="1">
        <f>(Occurrence!E$3-G584)^2</f>
        <v>0.16000000000000003</v>
      </c>
      <c r="R584" s="1">
        <f>(Occurrence!F$3-H584)^2</f>
        <v>0.81</v>
      </c>
      <c r="S584" s="1">
        <f>(Occurrence!G$3-I584)^2</f>
        <v>0.25</v>
      </c>
      <c r="T584" s="1">
        <f>(Occurrence!H$3-J584)^2</f>
        <v>0.25</v>
      </c>
      <c r="U584" s="1">
        <f>(Occurrence!I$3-K584)^2</f>
        <v>0.25</v>
      </c>
      <c r="V584" s="1">
        <f>(Occurrence!J$3-L584)^2</f>
        <v>0.25</v>
      </c>
      <c r="W584" s="1">
        <f>(Occurrence!K$3-M584)^2</f>
        <v>0.25</v>
      </c>
      <c r="X584" s="1">
        <f t="shared" si="109"/>
        <v>3.165</v>
      </c>
      <c r="Z584" s="1">
        <f t="shared" si="110"/>
        <v>0</v>
      </c>
      <c r="AA584" s="1">
        <f t="shared" si="111"/>
        <v>0</v>
      </c>
      <c r="AB584" s="1">
        <f t="shared" si="112"/>
        <v>0</v>
      </c>
      <c r="AC584" s="1">
        <f t="shared" si="113"/>
        <v>1</v>
      </c>
      <c r="AD584" s="1">
        <f t="shared" si="114"/>
        <v>1</v>
      </c>
      <c r="AE584" s="1">
        <f t="shared" si="115"/>
        <v>1</v>
      </c>
      <c r="AF584" s="1">
        <f t="shared" si="116"/>
        <v>1</v>
      </c>
      <c r="AG584" s="1">
        <f t="shared" si="117"/>
        <v>1</v>
      </c>
      <c r="AH584" s="1">
        <f t="shared" si="118"/>
        <v>1</v>
      </c>
      <c r="AI584" s="1">
        <f t="shared" si="119"/>
        <v>1</v>
      </c>
      <c r="AJ584" s="1">
        <f>SUMXMY2(Z584:AI584, Occurrence!B$3:K$3)</f>
        <v>4</v>
      </c>
      <c r="AK584" s="1">
        <f t="shared" si="120"/>
        <v>6</v>
      </c>
    </row>
    <row r="585" spans="1:37">
      <c r="A585" s="1">
        <v>584</v>
      </c>
      <c r="B585" s="1">
        <v>4252583</v>
      </c>
      <c r="C585" s="6" t="s">
        <v>42</v>
      </c>
      <c r="D585" s="1">
        <v>0.02</v>
      </c>
      <c r="E585" s="1">
        <v>0.1</v>
      </c>
      <c r="F585" s="1">
        <v>0.6</v>
      </c>
      <c r="G585" s="1">
        <v>0.8</v>
      </c>
      <c r="H585" s="1">
        <v>0.38</v>
      </c>
      <c r="I585" s="1">
        <v>0.6</v>
      </c>
      <c r="J585" s="1">
        <v>0.8</v>
      </c>
      <c r="K585" s="1">
        <v>0.75</v>
      </c>
      <c r="L585" s="1">
        <v>0.9</v>
      </c>
      <c r="M585" s="1">
        <v>0.4</v>
      </c>
      <c r="N585" s="1">
        <f>(Occurrence!B$3-D585)^2</f>
        <v>4.0000000000000002E-4</v>
      </c>
      <c r="O585" s="1">
        <f>(Occurrence!C$3-E585)^2</f>
        <v>1.0000000000000002E-2</v>
      </c>
      <c r="P585" s="1">
        <f>(Occurrence!D$3-F585)^2</f>
        <v>0.16000000000000003</v>
      </c>
      <c r="Q585" s="1">
        <f>(Occurrence!E$3-G585)^2</f>
        <v>3.999999999999998E-2</v>
      </c>
      <c r="R585" s="1">
        <f>(Occurrence!F$3-H585)^2</f>
        <v>0.1444</v>
      </c>
      <c r="S585" s="1">
        <f>(Occurrence!G$3-I585)^2</f>
        <v>0.36</v>
      </c>
      <c r="T585" s="1">
        <f>(Occurrence!H$3-J585)^2</f>
        <v>3.999999999999998E-2</v>
      </c>
      <c r="U585" s="1">
        <f>(Occurrence!I$3-K585)^2</f>
        <v>6.25E-2</v>
      </c>
      <c r="V585" s="1">
        <f>(Occurrence!J$3-L585)^2</f>
        <v>0.81</v>
      </c>
      <c r="W585" s="1">
        <f>(Occurrence!K$3-M585)^2</f>
        <v>0.36</v>
      </c>
      <c r="X585" s="1">
        <f t="shared" si="109"/>
        <v>1.9872999999999998</v>
      </c>
      <c r="Z585" s="1">
        <f t="shared" si="110"/>
        <v>0</v>
      </c>
      <c r="AA585" s="1">
        <f t="shared" si="111"/>
        <v>0</v>
      </c>
      <c r="AB585" s="1">
        <f t="shared" si="112"/>
        <v>1</v>
      </c>
      <c r="AC585" s="1">
        <f t="shared" si="113"/>
        <v>1</v>
      </c>
      <c r="AD585" s="1">
        <f t="shared" si="114"/>
        <v>0</v>
      </c>
      <c r="AE585" s="1">
        <f t="shared" si="115"/>
        <v>1</v>
      </c>
      <c r="AF585" s="1">
        <f t="shared" si="116"/>
        <v>1</v>
      </c>
      <c r="AG585" s="1">
        <f t="shared" si="117"/>
        <v>1</v>
      </c>
      <c r="AH585" s="1">
        <f t="shared" si="118"/>
        <v>1</v>
      </c>
      <c r="AI585" s="1">
        <f t="shared" si="119"/>
        <v>0</v>
      </c>
      <c r="AJ585" s="1">
        <f>SUMXMY2(Z585:AI585, Occurrence!B$3:K$3)</f>
        <v>3</v>
      </c>
      <c r="AK585" s="1">
        <f t="shared" si="120"/>
        <v>7</v>
      </c>
    </row>
    <row r="586" spans="1:37">
      <c r="A586" s="1">
        <v>585</v>
      </c>
      <c r="B586" s="1">
        <v>4252584</v>
      </c>
      <c r="C586" s="6" t="s">
        <v>42</v>
      </c>
      <c r="D586" s="1">
        <v>0.05</v>
      </c>
      <c r="E586" s="1">
        <v>0.2</v>
      </c>
      <c r="F586" s="1">
        <v>0.2</v>
      </c>
      <c r="G586" s="1">
        <v>0.7</v>
      </c>
      <c r="H586" s="1">
        <v>0.1</v>
      </c>
      <c r="I586" s="1">
        <v>0.7</v>
      </c>
      <c r="J586" s="1">
        <v>0.4</v>
      </c>
      <c r="K586" s="1">
        <v>0.3</v>
      </c>
      <c r="L586" s="1">
        <v>0.5</v>
      </c>
      <c r="M586" s="1">
        <v>0.6</v>
      </c>
      <c r="N586" s="1">
        <f>(Occurrence!B$3-D586)^2</f>
        <v>2.5000000000000005E-3</v>
      </c>
      <c r="O586" s="1">
        <f>(Occurrence!C$3-E586)^2</f>
        <v>4.0000000000000008E-2</v>
      </c>
      <c r="P586" s="1">
        <f>(Occurrence!D$3-F586)^2</f>
        <v>0.64000000000000012</v>
      </c>
      <c r="Q586" s="1">
        <f>(Occurrence!E$3-G586)^2</f>
        <v>9.0000000000000024E-2</v>
      </c>
      <c r="R586" s="1">
        <f>(Occurrence!F$3-H586)^2</f>
        <v>1.0000000000000002E-2</v>
      </c>
      <c r="S586" s="1">
        <f>(Occurrence!G$3-I586)^2</f>
        <v>0.48999999999999994</v>
      </c>
      <c r="T586" s="1">
        <f>(Occurrence!H$3-J586)^2</f>
        <v>0.36</v>
      </c>
      <c r="U586" s="1">
        <f>(Occurrence!I$3-K586)^2</f>
        <v>0.48999999999999994</v>
      </c>
      <c r="V586" s="1">
        <f>(Occurrence!J$3-L586)^2</f>
        <v>0.25</v>
      </c>
      <c r="W586" s="1">
        <f>(Occurrence!K$3-M586)^2</f>
        <v>0.16000000000000003</v>
      </c>
      <c r="X586" s="1">
        <f t="shared" si="109"/>
        <v>2.5325000000000002</v>
      </c>
      <c r="Z586" s="1">
        <f t="shared" si="110"/>
        <v>0</v>
      </c>
      <c r="AA586" s="1">
        <f t="shared" si="111"/>
        <v>0</v>
      </c>
      <c r="AB586" s="1">
        <f t="shared" si="112"/>
        <v>0</v>
      </c>
      <c r="AC586" s="1">
        <f t="shared" si="113"/>
        <v>1</v>
      </c>
      <c r="AD586" s="1">
        <f t="shared" si="114"/>
        <v>0</v>
      </c>
      <c r="AE586" s="1">
        <f t="shared" si="115"/>
        <v>1</v>
      </c>
      <c r="AF586" s="1">
        <f t="shared" si="116"/>
        <v>0</v>
      </c>
      <c r="AG586" s="1">
        <f t="shared" si="117"/>
        <v>0</v>
      </c>
      <c r="AH586" s="1">
        <f t="shared" si="118"/>
        <v>1</v>
      </c>
      <c r="AI586" s="1">
        <f t="shared" si="119"/>
        <v>1</v>
      </c>
      <c r="AJ586" s="1">
        <f>SUMXMY2(Z586:AI586, Occurrence!B$3:K$3)</f>
        <v>5</v>
      </c>
      <c r="AK586" s="1">
        <f t="shared" si="120"/>
        <v>5</v>
      </c>
    </row>
    <row r="587" spans="1:37">
      <c r="A587" s="1">
        <v>586</v>
      </c>
      <c r="B587" s="1">
        <v>4252585</v>
      </c>
      <c r="C587" s="6" t="s">
        <v>42</v>
      </c>
      <c r="D587" s="1">
        <v>0.15</v>
      </c>
      <c r="E587" s="1">
        <v>0.3</v>
      </c>
      <c r="F587" s="1">
        <v>0.15</v>
      </c>
      <c r="G587" s="1">
        <v>0.2</v>
      </c>
      <c r="H587" s="1">
        <v>0.7</v>
      </c>
      <c r="I587" s="1">
        <v>0.4</v>
      </c>
      <c r="J587" s="1">
        <v>0.08</v>
      </c>
      <c r="K587" s="1">
        <v>0.46</v>
      </c>
      <c r="L587" s="1">
        <v>0.87</v>
      </c>
      <c r="M587" s="1">
        <v>0.13</v>
      </c>
      <c r="N587" s="1">
        <f>(Occurrence!B$3-D587)^2</f>
        <v>2.2499999999999999E-2</v>
      </c>
      <c r="O587" s="1">
        <f>(Occurrence!C$3-E587)^2</f>
        <v>0.09</v>
      </c>
      <c r="P587" s="1">
        <f>(Occurrence!D$3-F587)^2</f>
        <v>0.72249999999999992</v>
      </c>
      <c r="Q587" s="1">
        <f>(Occurrence!E$3-G587)^2</f>
        <v>0.64000000000000012</v>
      </c>
      <c r="R587" s="1">
        <f>(Occurrence!F$3-H587)^2</f>
        <v>0.48999999999999994</v>
      </c>
      <c r="S587" s="1">
        <f>(Occurrence!G$3-I587)^2</f>
        <v>0.16000000000000003</v>
      </c>
      <c r="T587" s="1">
        <f>(Occurrence!H$3-J587)^2</f>
        <v>0.84640000000000004</v>
      </c>
      <c r="U587" s="1">
        <f>(Occurrence!I$3-K587)^2</f>
        <v>0.29160000000000003</v>
      </c>
      <c r="V587" s="1">
        <f>(Occurrence!J$3-L587)^2</f>
        <v>0.75690000000000002</v>
      </c>
      <c r="W587" s="1">
        <f>(Occurrence!K$3-M587)^2</f>
        <v>0.75690000000000002</v>
      </c>
      <c r="X587" s="1">
        <f t="shared" si="109"/>
        <v>4.7767999999999997</v>
      </c>
      <c r="Z587" s="1">
        <f t="shared" si="110"/>
        <v>0</v>
      </c>
      <c r="AA587" s="1">
        <f t="shared" si="111"/>
        <v>0</v>
      </c>
      <c r="AB587" s="1">
        <f t="shared" si="112"/>
        <v>0</v>
      </c>
      <c r="AC587" s="1">
        <f t="shared" si="113"/>
        <v>0</v>
      </c>
      <c r="AD587" s="1">
        <f t="shared" si="114"/>
        <v>1</v>
      </c>
      <c r="AE587" s="1">
        <f t="shared" si="115"/>
        <v>0</v>
      </c>
      <c r="AF587" s="1">
        <f t="shared" si="116"/>
        <v>0</v>
      </c>
      <c r="AG587" s="1">
        <f t="shared" si="117"/>
        <v>0</v>
      </c>
      <c r="AH587" s="1">
        <f t="shared" si="118"/>
        <v>1</v>
      </c>
      <c r="AI587" s="1">
        <f t="shared" si="119"/>
        <v>0</v>
      </c>
      <c r="AJ587" s="1">
        <f>SUMXMY2(Z587:AI587, Occurrence!B$3:K$3)</f>
        <v>7</v>
      </c>
      <c r="AK587" s="1">
        <f t="shared" si="120"/>
        <v>3</v>
      </c>
    </row>
    <row r="588" spans="1:37">
      <c r="A588" s="1">
        <v>587</v>
      </c>
      <c r="B588" s="1">
        <v>4252586</v>
      </c>
      <c r="C588" s="6" t="s">
        <v>42</v>
      </c>
      <c r="D588" s="1">
        <v>0.15</v>
      </c>
      <c r="E588" s="1">
        <v>0.3</v>
      </c>
      <c r="F588" s="1">
        <v>0.15</v>
      </c>
      <c r="G588" s="1">
        <v>0.2</v>
      </c>
      <c r="H588" s="1">
        <v>0.7</v>
      </c>
      <c r="I588" s="1">
        <v>0.4</v>
      </c>
      <c r="J588" s="1">
        <v>0.45</v>
      </c>
      <c r="K588" s="1">
        <v>0.25</v>
      </c>
      <c r="L588" s="1">
        <v>0.15</v>
      </c>
      <c r="M588" s="1">
        <v>0.15</v>
      </c>
      <c r="N588" s="1">
        <f>(Occurrence!B$3-D588)^2</f>
        <v>2.2499999999999999E-2</v>
      </c>
      <c r="O588" s="1">
        <f>(Occurrence!C$3-E588)^2</f>
        <v>0.09</v>
      </c>
      <c r="P588" s="1">
        <f>(Occurrence!D$3-F588)^2</f>
        <v>0.72249999999999992</v>
      </c>
      <c r="Q588" s="1">
        <f>(Occurrence!E$3-G588)^2</f>
        <v>0.64000000000000012</v>
      </c>
      <c r="R588" s="1">
        <f>(Occurrence!F$3-H588)^2</f>
        <v>0.48999999999999994</v>
      </c>
      <c r="S588" s="1">
        <f>(Occurrence!G$3-I588)^2</f>
        <v>0.16000000000000003</v>
      </c>
      <c r="T588" s="1">
        <f>(Occurrence!H$3-J588)^2</f>
        <v>0.30250000000000005</v>
      </c>
      <c r="U588" s="1">
        <f>(Occurrence!I$3-K588)^2</f>
        <v>0.5625</v>
      </c>
      <c r="V588" s="1">
        <f>(Occurrence!J$3-L588)^2</f>
        <v>2.2499999999999999E-2</v>
      </c>
      <c r="W588" s="1">
        <f>(Occurrence!K$3-M588)^2</f>
        <v>0.72249999999999992</v>
      </c>
      <c r="X588" s="1">
        <f t="shared" si="109"/>
        <v>3.7350000000000003</v>
      </c>
      <c r="Z588" s="1">
        <f t="shared" si="110"/>
        <v>0</v>
      </c>
      <c r="AA588" s="1">
        <f t="shared" si="111"/>
        <v>0</v>
      </c>
      <c r="AB588" s="1">
        <f t="shared" si="112"/>
        <v>0</v>
      </c>
      <c r="AC588" s="1">
        <f t="shared" si="113"/>
        <v>0</v>
      </c>
      <c r="AD588" s="1">
        <f t="shared" si="114"/>
        <v>1</v>
      </c>
      <c r="AE588" s="1">
        <f t="shared" si="115"/>
        <v>0</v>
      </c>
      <c r="AF588" s="1">
        <f t="shared" si="116"/>
        <v>0</v>
      </c>
      <c r="AG588" s="1">
        <f t="shared" si="117"/>
        <v>0</v>
      </c>
      <c r="AH588" s="1">
        <f t="shared" si="118"/>
        <v>0</v>
      </c>
      <c r="AI588" s="1">
        <f t="shared" si="119"/>
        <v>0</v>
      </c>
      <c r="AJ588" s="1">
        <f>SUMXMY2(Z588:AI588, Occurrence!B$3:K$3)</f>
        <v>6</v>
      </c>
      <c r="AK588" s="1">
        <f t="shared" si="120"/>
        <v>4</v>
      </c>
    </row>
    <row r="589" spans="1:37">
      <c r="A589" s="1">
        <v>588</v>
      </c>
      <c r="B589" s="1">
        <v>4252587</v>
      </c>
      <c r="C589" s="6" t="s">
        <v>42</v>
      </c>
      <c r="D589" s="1">
        <v>0.15</v>
      </c>
      <c r="E589" s="1">
        <v>0.3</v>
      </c>
      <c r="F589" s="1">
        <v>0.15</v>
      </c>
      <c r="G589" s="1">
        <v>0.2</v>
      </c>
      <c r="H589" s="1">
        <v>0.7</v>
      </c>
      <c r="I589" s="1">
        <v>0.4</v>
      </c>
      <c r="J589" s="1">
        <v>0.45</v>
      </c>
      <c r="K589" s="1">
        <v>0.3</v>
      </c>
      <c r="L589" s="1">
        <v>0.35</v>
      </c>
      <c r="M589" s="1">
        <v>0.2</v>
      </c>
      <c r="N589" s="1">
        <f>(Occurrence!B$3-D589)^2</f>
        <v>2.2499999999999999E-2</v>
      </c>
      <c r="O589" s="1">
        <f>(Occurrence!C$3-E589)^2</f>
        <v>0.09</v>
      </c>
      <c r="P589" s="1">
        <f>(Occurrence!D$3-F589)^2</f>
        <v>0.72249999999999992</v>
      </c>
      <c r="Q589" s="1">
        <f>(Occurrence!E$3-G589)^2</f>
        <v>0.64000000000000012</v>
      </c>
      <c r="R589" s="1">
        <f>(Occurrence!F$3-H589)^2</f>
        <v>0.48999999999999994</v>
      </c>
      <c r="S589" s="1">
        <f>(Occurrence!G$3-I589)^2</f>
        <v>0.16000000000000003</v>
      </c>
      <c r="T589" s="1">
        <f>(Occurrence!H$3-J589)^2</f>
        <v>0.30250000000000005</v>
      </c>
      <c r="U589" s="1">
        <f>(Occurrence!I$3-K589)^2</f>
        <v>0.48999999999999994</v>
      </c>
      <c r="V589" s="1">
        <f>(Occurrence!J$3-L589)^2</f>
        <v>0.12249999999999998</v>
      </c>
      <c r="W589" s="1">
        <f>(Occurrence!K$3-M589)^2</f>
        <v>0.64000000000000012</v>
      </c>
      <c r="X589" s="1">
        <f t="shared" si="109"/>
        <v>3.68</v>
      </c>
      <c r="Z589" s="1">
        <f t="shared" si="110"/>
        <v>0</v>
      </c>
      <c r="AA589" s="1">
        <f t="shared" si="111"/>
        <v>0</v>
      </c>
      <c r="AB589" s="1">
        <f t="shared" si="112"/>
        <v>0</v>
      </c>
      <c r="AC589" s="1">
        <f t="shared" si="113"/>
        <v>0</v>
      </c>
      <c r="AD589" s="1">
        <f t="shared" si="114"/>
        <v>1</v>
      </c>
      <c r="AE589" s="1">
        <f t="shared" si="115"/>
        <v>0</v>
      </c>
      <c r="AF589" s="1">
        <f t="shared" si="116"/>
        <v>0</v>
      </c>
      <c r="AG589" s="1">
        <f t="shared" si="117"/>
        <v>0</v>
      </c>
      <c r="AH589" s="1">
        <f t="shared" si="118"/>
        <v>0</v>
      </c>
      <c r="AI589" s="1">
        <f t="shared" si="119"/>
        <v>0</v>
      </c>
      <c r="AJ589" s="1">
        <f>SUMXMY2(Z589:AI589, Occurrence!B$3:K$3)</f>
        <v>6</v>
      </c>
      <c r="AK589" s="1">
        <f t="shared" si="120"/>
        <v>4</v>
      </c>
    </row>
    <row r="590" spans="1:37">
      <c r="A590" s="1">
        <v>589</v>
      </c>
      <c r="B590" s="1">
        <v>4252588</v>
      </c>
      <c r="C590" s="6" t="s">
        <v>42</v>
      </c>
      <c r="D590" s="1">
        <v>0.15</v>
      </c>
      <c r="E590" s="1">
        <v>0.3</v>
      </c>
      <c r="F590" s="1">
        <v>0.2</v>
      </c>
      <c r="G590" s="1">
        <v>0.05</v>
      </c>
      <c r="H590" s="1">
        <v>0.7</v>
      </c>
      <c r="I590" s="1">
        <v>0.3</v>
      </c>
      <c r="J590" s="1">
        <v>0.25</v>
      </c>
      <c r="K590" s="1">
        <v>0.45</v>
      </c>
      <c r="L590" s="1">
        <v>0.6</v>
      </c>
      <c r="M590" s="1">
        <v>0.4</v>
      </c>
      <c r="N590" s="1">
        <f>(Occurrence!B$3-D590)^2</f>
        <v>2.2499999999999999E-2</v>
      </c>
      <c r="O590" s="1">
        <f>(Occurrence!C$3-E590)^2</f>
        <v>0.09</v>
      </c>
      <c r="P590" s="1">
        <f>(Occurrence!D$3-F590)^2</f>
        <v>0.64000000000000012</v>
      </c>
      <c r="Q590" s="1">
        <f>(Occurrence!E$3-G590)^2</f>
        <v>0.90249999999999997</v>
      </c>
      <c r="R590" s="1">
        <f>(Occurrence!F$3-H590)^2</f>
        <v>0.48999999999999994</v>
      </c>
      <c r="S590" s="1">
        <f>(Occurrence!G$3-I590)^2</f>
        <v>0.09</v>
      </c>
      <c r="T590" s="1">
        <f>(Occurrence!H$3-J590)^2</f>
        <v>0.5625</v>
      </c>
      <c r="U590" s="1">
        <f>(Occurrence!I$3-K590)^2</f>
        <v>0.30250000000000005</v>
      </c>
      <c r="V590" s="1">
        <f>(Occurrence!J$3-L590)^2</f>
        <v>0.36</v>
      </c>
      <c r="W590" s="1">
        <f>(Occurrence!K$3-M590)^2</f>
        <v>0.36</v>
      </c>
      <c r="X590" s="1">
        <f t="shared" si="109"/>
        <v>3.82</v>
      </c>
      <c r="Z590" s="1">
        <f t="shared" si="110"/>
        <v>0</v>
      </c>
      <c r="AA590" s="1">
        <f t="shared" si="111"/>
        <v>0</v>
      </c>
      <c r="AB590" s="1">
        <f t="shared" si="112"/>
        <v>0</v>
      </c>
      <c r="AC590" s="1">
        <f t="shared" si="113"/>
        <v>0</v>
      </c>
      <c r="AD590" s="1">
        <f t="shared" si="114"/>
        <v>1</v>
      </c>
      <c r="AE590" s="1">
        <f t="shared" si="115"/>
        <v>0</v>
      </c>
      <c r="AF590" s="1">
        <f t="shared" si="116"/>
        <v>0</v>
      </c>
      <c r="AG590" s="1">
        <f t="shared" si="117"/>
        <v>0</v>
      </c>
      <c r="AH590" s="1">
        <f t="shared" si="118"/>
        <v>1</v>
      </c>
      <c r="AI590" s="1">
        <f t="shared" si="119"/>
        <v>0</v>
      </c>
      <c r="AJ590" s="1">
        <f>SUMXMY2(Z590:AI590, Occurrence!B$3:K$3)</f>
        <v>7</v>
      </c>
      <c r="AK590" s="1">
        <f t="shared" si="120"/>
        <v>3</v>
      </c>
    </row>
    <row r="591" spans="1:37">
      <c r="A591" s="1">
        <v>590</v>
      </c>
      <c r="B591" s="1">
        <v>4252589</v>
      </c>
      <c r="C591" s="6" t="s">
        <v>42</v>
      </c>
      <c r="D591" s="1">
        <v>0</v>
      </c>
      <c r="E591" s="1">
        <v>0</v>
      </c>
      <c r="F591" s="1">
        <v>0.1</v>
      </c>
      <c r="G591" s="1">
        <v>0.9</v>
      </c>
      <c r="H591" s="1">
        <v>0.1</v>
      </c>
      <c r="I591" s="1">
        <v>0.75</v>
      </c>
      <c r="J591" s="1">
        <v>0.8</v>
      </c>
      <c r="K591" s="1">
        <v>0.7</v>
      </c>
      <c r="L591" s="1">
        <v>1</v>
      </c>
      <c r="M591" s="1">
        <v>0.4</v>
      </c>
      <c r="N591" s="1">
        <f>(Occurrence!B$3-D591)^2</f>
        <v>0</v>
      </c>
      <c r="O591" s="1">
        <f>(Occurrence!C$3-E591)^2</f>
        <v>0</v>
      </c>
      <c r="P591" s="1">
        <f>(Occurrence!D$3-F591)^2</f>
        <v>0.81</v>
      </c>
      <c r="Q591" s="1">
        <f>(Occurrence!E$3-G591)^2</f>
        <v>9.999999999999995E-3</v>
      </c>
      <c r="R591" s="1">
        <f>(Occurrence!F$3-H591)^2</f>
        <v>1.0000000000000002E-2</v>
      </c>
      <c r="S591" s="1">
        <f>(Occurrence!G$3-I591)^2</f>
        <v>0.5625</v>
      </c>
      <c r="T591" s="1">
        <f>(Occurrence!H$3-J591)^2</f>
        <v>3.999999999999998E-2</v>
      </c>
      <c r="U591" s="1">
        <f>(Occurrence!I$3-K591)^2</f>
        <v>9.0000000000000024E-2</v>
      </c>
      <c r="V591" s="1">
        <f>(Occurrence!J$3-L591)^2</f>
        <v>1</v>
      </c>
      <c r="W591" s="1">
        <f>(Occurrence!K$3-M591)^2</f>
        <v>0.36</v>
      </c>
      <c r="X591" s="1">
        <f t="shared" si="109"/>
        <v>2.8824999999999998</v>
      </c>
      <c r="Z591" s="1">
        <f t="shared" si="110"/>
        <v>0</v>
      </c>
      <c r="AA591" s="1">
        <f t="shared" si="111"/>
        <v>0</v>
      </c>
      <c r="AB591" s="1">
        <f t="shared" si="112"/>
        <v>0</v>
      </c>
      <c r="AC591" s="1">
        <f t="shared" si="113"/>
        <v>1</v>
      </c>
      <c r="AD591" s="1">
        <f t="shared" si="114"/>
        <v>0</v>
      </c>
      <c r="AE591" s="1">
        <f t="shared" si="115"/>
        <v>1</v>
      </c>
      <c r="AF591" s="1">
        <f t="shared" si="116"/>
        <v>1</v>
      </c>
      <c r="AG591" s="1">
        <f t="shared" si="117"/>
        <v>1</v>
      </c>
      <c r="AH591" s="1">
        <f t="shared" si="118"/>
        <v>1</v>
      </c>
      <c r="AI591" s="1">
        <f t="shared" si="119"/>
        <v>0</v>
      </c>
      <c r="AJ591" s="1">
        <f>SUMXMY2(Z591:AI591, Occurrence!B$3:K$3)</f>
        <v>4</v>
      </c>
      <c r="AK591" s="1">
        <f t="shared" si="120"/>
        <v>6</v>
      </c>
    </row>
    <row r="592" spans="1:37">
      <c r="A592" s="1">
        <v>591</v>
      </c>
      <c r="B592" s="1">
        <v>4252590</v>
      </c>
      <c r="C592" s="6" t="s">
        <v>42</v>
      </c>
      <c r="D592" s="1">
        <v>2.5000000000000001E-2</v>
      </c>
      <c r="E592" s="1">
        <v>0.05</v>
      </c>
      <c r="F592" s="1">
        <v>0.8</v>
      </c>
      <c r="G592" s="1">
        <v>0.9</v>
      </c>
      <c r="H592" s="1">
        <v>0.05</v>
      </c>
      <c r="I592" s="1">
        <v>0.5</v>
      </c>
      <c r="J592" s="1">
        <v>0.95</v>
      </c>
      <c r="K592" s="1">
        <v>0.8</v>
      </c>
      <c r="L592" s="1">
        <v>0.9</v>
      </c>
      <c r="M592" s="1">
        <v>0.5</v>
      </c>
      <c r="N592" s="1">
        <f>(Occurrence!B$3-D592)^2</f>
        <v>6.2500000000000012E-4</v>
      </c>
      <c r="O592" s="1">
        <f>(Occurrence!C$3-E592)^2</f>
        <v>2.5000000000000005E-3</v>
      </c>
      <c r="P592" s="1">
        <f>(Occurrence!D$3-F592)^2</f>
        <v>3.999999999999998E-2</v>
      </c>
      <c r="Q592" s="1">
        <f>(Occurrence!E$3-G592)^2</f>
        <v>9.999999999999995E-3</v>
      </c>
      <c r="R592" s="1">
        <f>(Occurrence!F$3-H592)^2</f>
        <v>2.5000000000000005E-3</v>
      </c>
      <c r="S592" s="1">
        <f>(Occurrence!G$3-I592)^2</f>
        <v>0.25</v>
      </c>
      <c r="T592" s="1">
        <f>(Occurrence!H$3-J592)^2</f>
        <v>2.5000000000000044E-3</v>
      </c>
      <c r="U592" s="1">
        <f>(Occurrence!I$3-K592)^2</f>
        <v>3.999999999999998E-2</v>
      </c>
      <c r="V592" s="1">
        <f>(Occurrence!J$3-L592)^2</f>
        <v>0.81</v>
      </c>
      <c r="W592" s="1">
        <f>(Occurrence!K$3-M592)^2</f>
        <v>0.25</v>
      </c>
      <c r="X592" s="1">
        <f t="shared" si="109"/>
        <v>1.4081250000000001</v>
      </c>
      <c r="Z592" s="1">
        <f t="shared" si="110"/>
        <v>0</v>
      </c>
      <c r="AA592" s="1">
        <f t="shared" si="111"/>
        <v>0</v>
      </c>
      <c r="AB592" s="1">
        <f t="shared" si="112"/>
        <v>1</v>
      </c>
      <c r="AC592" s="1">
        <f t="shared" si="113"/>
        <v>1</v>
      </c>
      <c r="AD592" s="1">
        <f t="shared" si="114"/>
        <v>0</v>
      </c>
      <c r="AE592" s="1">
        <f t="shared" si="115"/>
        <v>1</v>
      </c>
      <c r="AF592" s="1">
        <f t="shared" si="116"/>
        <v>1</v>
      </c>
      <c r="AG592" s="1">
        <f t="shared" si="117"/>
        <v>1</v>
      </c>
      <c r="AH592" s="1">
        <f t="shared" si="118"/>
        <v>1</v>
      </c>
      <c r="AI592" s="1">
        <f t="shared" si="119"/>
        <v>1</v>
      </c>
      <c r="AJ592" s="1">
        <f>SUMXMY2(Z592:AI592, Occurrence!B$3:K$3)</f>
        <v>2</v>
      </c>
      <c r="AK592" s="1">
        <f t="shared" si="120"/>
        <v>8</v>
      </c>
    </row>
    <row r="593" spans="1:37">
      <c r="A593" s="1">
        <v>592</v>
      </c>
      <c r="B593" s="1">
        <v>4252591</v>
      </c>
      <c r="C593" s="6" t="s">
        <v>42</v>
      </c>
      <c r="D593" s="1">
        <v>0.05</v>
      </c>
      <c r="E593" s="1">
        <v>0.15</v>
      </c>
      <c r="F593" s="1">
        <v>0.75</v>
      </c>
      <c r="G593" s="1">
        <v>0.85</v>
      </c>
      <c r="H593" s="1">
        <v>0.8</v>
      </c>
      <c r="I593" s="1">
        <v>0.33</v>
      </c>
      <c r="J593" s="1">
        <v>0.87</v>
      </c>
      <c r="K593" s="1">
        <v>0.99</v>
      </c>
      <c r="L593" s="1">
        <v>0.25</v>
      </c>
      <c r="M593" s="1">
        <v>0.9</v>
      </c>
      <c r="N593" s="1">
        <f>(Occurrence!B$3-D593)^2</f>
        <v>2.5000000000000005E-3</v>
      </c>
      <c r="O593" s="1">
        <f>(Occurrence!C$3-E593)^2</f>
        <v>2.2499999999999999E-2</v>
      </c>
      <c r="P593" s="1">
        <f>(Occurrence!D$3-F593)^2</f>
        <v>6.25E-2</v>
      </c>
      <c r="Q593" s="1">
        <f>(Occurrence!E$3-G593)^2</f>
        <v>2.2500000000000006E-2</v>
      </c>
      <c r="R593" s="1">
        <f>(Occurrence!F$3-H593)^2</f>
        <v>0.64000000000000012</v>
      </c>
      <c r="S593" s="1">
        <f>(Occurrence!G$3-I593)^2</f>
        <v>0.10890000000000001</v>
      </c>
      <c r="T593" s="1">
        <f>(Occurrence!H$3-J593)^2</f>
        <v>1.6900000000000002E-2</v>
      </c>
      <c r="U593" s="1">
        <f>(Occurrence!I$3-K593)^2</f>
        <v>1.0000000000000018E-4</v>
      </c>
      <c r="V593" s="1">
        <f>(Occurrence!J$3-L593)^2</f>
        <v>6.25E-2</v>
      </c>
      <c r="W593" s="1">
        <f>(Occurrence!K$3-M593)^2</f>
        <v>9.999999999999995E-3</v>
      </c>
      <c r="X593" s="1">
        <f t="shared" si="109"/>
        <v>0.94840000000000013</v>
      </c>
      <c r="Z593" s="1">
        <f t="shared" si="110"/>
        <v>0</v>
      </c>
      <c r="AA593" s="1">
        <f t="shared" si="111"/>
        <v>0</v>
      </c>
      <c r="AB593" s="1">
        <f t="shared" si="112"/>
        <v>1</v>
      </c>
      <c r="AC593" s="1">
        <f t="shared" si="113"/>
        <v>1</v>
      </c>
      <c r="AD593" s="1">
        <f t="shared" si="114"/>
        <v>1</v>
      </c>
      <c r="AE593" s="1">
        <f t="shared" si="115"/>
        <v>0</v>
      </c>
      <c r="AF593" s="1">
        <f t="shared" si="116"/>
        <v>1</v>
      </c>
      <c r="AG593" s="1">
        <f t="shared" si="117"/>
        <v>1</v>
      </c>
      <c r="AH593" s="1">
        <f t="shared" si="118"/>
        <v>0</v>
      </c>
      <c r="AI593" s="1">
        <f t="shared" si="119"/>
        <v>1</v>
      </c>
      <c r="AJ593" s="1">
        <f>SUMXMY2(Z593:AI593, Occurrence!B$3:K$3)</f>
        <v>1</v>
      </c>
      <c r="AK593" s="1">
        <f t="shared" si="120"/>
        <v>9</v>
      </c>
    </row>
    <row r="594" spans="1:37">
      <c r="A594" s="1">
        <v>593</v>
      </c>
      <c r="B594" s="1">
        <v>4252592</v>
      </c>
      <c r="C594" s="6" t="s">
        <v>42</v>
      </c>
      <c r="D594" s="1">
        <v>0.01</v>
      </c>
      <c r="E594" s="1">
        <v>0.02</v>
      </c>
      <c r="F594" s="1">
        <v>0.97</v>
      </c>
      <c r="G594" s="1">
        <v>0.98</v>
      </c>
      <c r="H594" s="1">
        <v>0.04</v>
      </c>
      <c r="I594" s="1">
        <v>0.05</v>
      </c>
      <c r="J594" s="1">
        <v>0.1</v>
      </c>
      <c r="K594" s="1">
        <v>0.95</v>
      </c>
      <c r="L594" s="1">
        <v>0.97</v>
      </c>
      <c r="M594" s="1">
        <v>0.95</v>
      </c>
      <c r="N594" s="1">
        <f>(Occurrence!B$3-D594)^2</f>
        <v>1E-4</v>
      </c>
      <c r="O594" s="1">
        <f>(Occurrence!C$3-E594)^2</f>
        <v>4.0000000000000002E-4</v>
      </c>
      <c r="P594" s="1">
        <f>(Occurrence!D$3-F594)^2</f>
        <v>9.000000000000016E-4</v>
      </c>
      <c r="Q594" s="1">
        <f>(Occurrence!E$3-G594)^2</f>
        <v>4.0000000000000072E-4</v>
      </c>
      <c r="R594" s="1">
        <f>(Occurrence!F$3-H594)^2</f>
        <v>1.6000000000000001E-3</v>
      </c>
      <c r="S594" s="1">
        <f>(Occurrence!G$3-I594)^2</f>
        <v>2.5000000000000005E-3</v>
      </c>
      <c r="T594" s="1">
        <f>(Occurrence!H$3-J594)^2</f>
        <v>0.81</v>
      </c>
      <c r="U594" s="1">
        <f>(Occurrence!I$3-K594)^2</f>
        <v>2.5000000000000044E-3</v>
      </c>
      <c r="V594" s="1">
        <f>(Occurrence!J$3-L594)^2</f>
        <v>0.94089999999999996</v>
      </c>
      <c r="W594" s="1">
        <f>(Occurrence!K$3-M594)^2</f>
        <v>2.5000000000000044E-3</v>
      </c>
      <c r="X594" s="1">
        <f t="shared" si="109"/>
        <v>1.7618</v>
      </c>
      <c r="Z594" s="1">
        <f t="shared" si="110"/>
        <v>0</v>
      </c>
      <c r="AA594" s="1">
        <f t="shared" si="111"/>
        <v>0</v>
      </c>
      <c r="AB594" s="1">
        <f t="shared" si="112"/>
        <v>1</v>
      </c>
      <c r="AC594" s="1">
        <f t="shared" si="113"/>
        <v>1</v>
      </c>
      <c r="AD594" s="1">
        <f t="shared" si="114"/>
        <v>0</v>
      </c>
      <c r="AE594" s="1">
        <f t="shared" si="115"/>
        <v>0</v>
      </c>
      <c r="AF594" s="1">
        <f t="shared" si="116"/>
        <v>0</v>
      </c>
      <c r="AG594" s="1">
        <f t="shared" si="117"/>
        <v>1</v>
      </c>
      <c r="AH594" s="1">
        <f t="shared" si="118"/>
        <v>1</v>
      </c>
      <c r="AI594" s="1">
        <f t="shared" si="119"/>
        <v>1</v>
      </c>
      <c r="AJ594" s="1">
        <f>SUMXMY2(Z594:AI594, Occurrence!B$3:K$3)</f>
        <v>2</v>
      </c>
      <c r="AK594" s="1">
        <f t="shared" si="120"/>
        <v>8</v>
      </c>
    </row>
    <row r="595" spans="1:37">
      <c r="A595" s="1">
        <v>594</v>
      </c>
      <c r="B595" s="1">
        <v>4252593</v>
      </c>
      <c r="C595" s="6" t="s">
        <v>42</v>
      </c>
      <c r="D595" s="1">
        <v>0.1</v>
      </c>
      <c r="E595" s="1">
        <v>0.2</v>
      </c>
      <c r="F595" s="1">
        <v>0.4</v>
      </c>
      <c r="G595" s="1">
        <v>0.5</v>
      </c>
      <c r="H595" s="1">
        <v>0.3</v>
      </c>
      <c r="I595" s="1">
        <v>0.3</v>
      </c>
      <c r="J595" s="1">
        <v>0.1</v>
      </c>
      <c r="K595" s="1">
        <v>0.15</v>
      </c>
      <c r="L595" s="1">
        <v>0.24</v>
      </c>
      <c r="M595" s="1">
        <v>0.43</v>
      </c>
      <c r="N595" s="1">
        <f>(Occurrence!B$3-D595)^2</f>
        <v>1.0000000000000002E-2</v>
      </c>
      <c r="O595" s="1">
        <f>(Occurrence!C$3-E595)^2</f>
        <v>4.0000000000000008E-2</v>
      </c>
      <c r="P595" s="1">
        <f>(Occurrence!D$3-F595)^2</f>
        <v>0.36</v>
      </c>
      <c r="Q595" s="1">
        <f>(Occurrence!E$3-G595)^2</f>
        <v>0.25</v>
      </c>
      <c r="R595" s="1">
        <f>(Occurrence!F$3-H595)^2</f>
        <v>0.09</v>
      </c>
      <c r="S595" s="1">
        <f>(Occurrence!G$3-I595)^2</f>
        <v>0.09</v>
      </c>
      <c r="T595" s="1">
        <f>(Occurrence!H$3-J595)^2</f>
        <v>0.81</v>
      </c>
      <c r="U595" s="1">
        <f>(Occurrence!I$3-K595)^2</f>
        <v>0.72249999999999992</v>
      </c>
      <c r="V595" s="1">
        <f>(Occurrence!J$3-L595)^2</f>
        <v>5.7599999999999998E-2</v>
      </c>
      <c r="W595" s="1">
        <f>(Occurrence!K$3-M595)^2</f>
        <v>0.32490000000000008</v>
      </c>
      <c r="X595" s="1">
        <f t="shared" si="109"/>
        <v>2.7549999999999994</v>
      </c>
      <c r="Z595" s="1">
        <f t="shared" si="110"/>
        <v>0</v>
      </c>
      <c r="AA595" s="1">
        <f t="shared" si="111"/>
        <v>0</v>
      </c>
      <c r="AB595" s="1">
        <f t="shared" si="112"/>
        <v>0</v>
      </c>
      <c r="AC595" s="1">
        <f t="shared" si="113"/>
        <v>1</v>
      </c>
      <c r="AD595" s="1">
        <f t="shared" si="114"/>
        <v>0</v>
      </c>
      <c r="AE595" s="1">
        <f t="shared" si="115"/>
        <v>0</v>
      </c>
      <c r="AF595" s="1">
        <f t="shared" si="116"/>
        <v>0</v>
      </c>
      <c r="AG595" s="1">
        <f t="shared" si="117"/>
        <v>0</v>
      </c>
      <c r="AH595" s="1">
        <f t="shared" si="118"/>
        <v>0</v>
      </c>
      <c r="AI595" s="1">
        <f t="shared" si="119"/>
        <v>0</v>
      </c>
      <c r="AJ595" s="1">
        <f>SUMXMY2(Z595:AI595, Occurrence!B$3:K$3)</f>
        <v>4</v>
      </c>
      <c r="AK595" s="1">
        <f t="shared" si="120"/>
        <v>6</v>
      </c>
    </row>
    <row r="596" spans="1:37">
      <c r="A596" s="1">
        <v>595</v>
      </c>
      <c r="B596" s="1">
        <v>4252594</v>
      </c>
      <c r="C596" s="6" t="s">
        <v>42</v>
      </c>
      <c r="D596" s="1">
        <v>0.05</v>
      </c>
      <c r="E596" s="1">
        <v>0.1</v>
      </c>
      <c r="F596" s="1">
        <v>0.15</v>
      </c>
      <c r="G596" s="1">
        <v>0.2</v>
      </c>
      <c r="H596" s="1">
        <v>0.5</v>
      </c>
      <c r="I596" s="1">
        <v>0.4</v>
      </c>
      <c r="J596" s="1">
        <v>0.7</v>
      </c>
      <c r="K596" s="1">
        <v>0.7</v>
      </c>
      <c r="L596" s="1">
        <v>0.82</v>
      </c>
      <c r="M596" s="1">
        <v>0.95</v>
      </c>
      <c r="N596" s="1">
        <f>(Occurrence!B$3-D596)^2</f>
        <v>2.5000000000000005E-3</v>
      </c>
      <c r="O596" s="1">
        <f>(Occurrence!C$3-E596)^2</f>
        <v>1.0000000000000002E-2</v>
      </c>
      <c r="P596" s="1">
        <f>(Occurrence!D$3-F596)^2</f>
        <v>0.72249999999999992</v>
      </c>
      <c r="Q596" s="1">
        <f>(Occurrence!E$3-G596)^2</f>
        <v>0.64000000000000012</v>
      </c>
      <c r="R596" s="1">
        <f>(Occurrence!F$3-H596)^2</f>
        <v>0.25</v>
      </c>
      <c r="S596" s="1">
        <f>(Occurrence!G$3-I596)^2</f>
        <v>0.16000000000000003</v>
      </c>
      <c r="T596" s="1">
        <f>(Occurrence!H$3-J596)^2</f>
        <v>9.0000000000000024E-2</v>
      </c>
      <c r="U596" s="1">
        <f>(Occurrence!I$3-K596)^2</f>
        <v>9.0000000000000024E-2</v>
      </c>
      <c r="V596" s="1">
        <f>(Occurrence!J$3-L596)^2</f>
        <v>0.67239999999999989</v>
      </c>
      <c r="W596" s="1">
        <f>(Occurrence!K$3-M596)^2</f>
        <v>2.5000000000000044E-3</v>
      </c>
      <c r="X596" s="1">
        <f t="shared" si="109"/>
        <v>2.6399000000000004</v>
      </c>
      <c r="Z596" s="1">
        <f t="shared" si="110"/>
        <v>0</v>
      </c>
      <c r="AA596" s="1">
        <f t="shared" si="111"/>
        <v>0</v>
      </c>
      <c r="AB596" s="1">
        <f t="shared" si="112"/>
        <v>0</v>
      </c>
      <c r="AC596" s="1">
        <f t="shared" si="113"/>
        <v>0</v>
      </c>
      <c r="AD596" s="1">
        <f t="shared" si="114"/>
        <v>1</v>
      </c>
      <c r="AE596" s="1">
        <f t="shared" si="115"/>
        <v>0</v>
      </c>
      <c r="AF596" s="1">
        <f t="shared" si="116"/>
        <v>1</v>
      </c>
      <c r="AG596" s="1">
        <f t="shared" si="117"/>
        <v>1</v>
      </c>
      <c r="AH596" s="1">
        <f t="shared" si="118"/>
        <v>1</v>
      </c>
      <c r="AI596" s="1">
        <f t="shared" si="119"/>
        <v>1</v>
      </c>
      <c r="AJ596" s="1">
        <f>SUMXMY2(Z596:AI596, Occurrence!B$3:K$3)</f>
        <v>4</v>
      </c>
      <c r="AK596" s="1">
        <f t="shared" si="120"/>
        <v>6</v>
      </c>
    </row>
    <row r="597" spans="1:37">
      <c r="A597" s="1">
        <v>596</v>
      </c>
      <c r="B597" s="1">
        <v>4252595</v>
      </c>
      <c r="C597" s="6" t="s">
        <v>42</v>
      </c>
      <c r="D597" s="1">
        <v>0.1</v>
      </c>
      <c r="E597" s="1">
        <v>0.2</v>
      </c>
      <c r="F597" s="1">
        <v>0.1</v>
      </c>
      <c r="G597" s="1">
        <v>0.2</v>
      </c>
      <c r="H597" s="1">
        <v>0.4</v>
      </c>
      <c r="I597" s="1">
        <v>0.35</v>
      </c>
      <c r="J597" s="1">
        <v>0.2</v>
      </c>
      <c r="K597" s="1">
        <v>0.7</v>
      </c>
      <c r="L597" s="1">
        <v>0.8</v>
      </c>
      <c r="M597" s="1">
        <v>0.5</v>
      </c>
      <c r="N597" s="1">
        <f>(Occurrence!B$3-D597)^2</f>
        <v>1.0000000000000002E-2</v>
      </c>
      <c r="O597" s="1">
        <f>(Occurrence!C$3-E597)^2</f>
        <v>4.0000000000000008E-2</v>
      </c>
      <c r="P597" s="1">
        <f>(Occurrence!D$3-F597)^2</f>
        <v>0.81</v>
      </c>
      <c r="Q597" s="1">
        <f>(Occurrence!E$3-G597)^2</f>
        <v>0.64000000000000012</v>
      </c>
      <c r="R597" s="1">
        <f>(Occurrence!F$3-H597)^2</f>
        <v>0.16000000000000003</v>
      </c>
      <c r="S597" s="1">
        <f>(Occurrence!G$3-I597)^2</f>
        <v>0.12249999999999998</v>
      </c>
      <c r="T597" s="1">
        <f>(Occurrence!H$3-J597)^2</f>
        <v>0.64000000000000012</v>
      </c>
      <c r="U597" s="1">
        <f>(Occurrence!I$3-K597)^2</f>
        <v>9.0000000000000024E-2</v>
      </c>
      <c r="V597" s="1">
        <f>(Occurrence!J$3-L597)^2</f>
        <v>0.64000000000000012</v>
      </c>
      <c r="W597" s="1">
        <f>(Occurrence!K$3-M597)^2</f>
        <v>0.25</v>
      </c>
      <c r="X597" s="1">
        <f t="shared" si="109"/>
        <v>3.4025000000000003</v>
      </c>
      <c r="Z597" s="1">
        <f t="shared" si="110"/>
        <v>0</v>
      </c>
      <c r="AA597" s="1">
        <f t="shared" si="111"/>
        <v>0</v>
      </c>
      <c r="AB597" s="1">
        <f t="shared" si="112"/>
        <v>0</v>
      </c>
      <c r="AC597" s="1">
        <f t="shared" si="113"/>
        <v>0</v>
      </c>
      <c r="AD597" s="1">
        <f t="shared" si="114"/>
        <v>0</v>
      </c>
      <c r="AE597" s="1">
        <f t="shared" si="115"/>
        <v>0</v>
      </c>
      <c r="AF597" s="1">
        <f t="shared" si="116"/>
        <v>0</v>
      </c>
      <c r="AG597" s="1">
        <f t="shared" si="117"/>
        <v>1</v>
      </c>
      <c r="AH597" s="1">
        <f t="shared" si="118"/>
        <v>1</v>
      </c>
      <c r="AI597" s="1">
        <f t="shared" si="119"/>
        <v>1</v>
      </c>
      <c r="AJ597" s="1">
        <f>SUMXMY2(Z597:AI597, Occurrence!B$3:K$3)</f>
        <v>4</v>
      </c>
      <c r="AK597" s="1">
        <f t="shared" si="120"/>
        <v>6</v>
      </c>
    </row>
    <row r="598" spans="1:37">
      <c r="A598" s="1">
        <v>597</v>
      </c>
      <c r="B598" s="1">
        <v>4252596</v>
      </c>
      <c r="C598" s="6" t="s">
        <v>42</v>
      </c>
      <c r="D598" s="1">
        <v>0.1</v>
      </c>
      <c r="E598" s="1">
        <v>0.2</v>
      </c>
      <c r="F598" s="1">
        <v>0.1</v>
      </c>
      <c r="G598" s="1">
        <v>0.2</v>
      </c>
      <c r="H598" s="1">
        <v>0.8</v>
      </c>
      <c r="I598" s="1">
        <v>0.4</v>
      </c>
      <c r="J598" s="1">
        <v>0.2</v>
      </c>
      <c r="K598" s="1">
        <v>0.7</v>
      </c>
      <c r="L598" s="1">
        <v>0.8</v>
      </c>
      <c r="M598" s="1">
        <v>0.6</v>
      </c>
      <c r="N598" s="1">
        <f>(Occurrence!B$3-D598)^2</f>
        <v>1.0000000000000002E-2</v>
      </c>
      <c r="O598" s="1">
        <f>(Occurrence!C$3-E598)^2</f>
        <v>4.0000000000000008E-2</v>
      </c>
      <c r="P598" s="1">
        <f>(Occurrence!D$3-F598)^2</f>
        <v>0.81</v>
      </c>
      <c r="Q598" s="1">
        <f>(Occurrence!E$3-G598)^2</f>
        <v>0.64000000000000012</v>
      </c>
      <c r="R598" s="1">
        <f>(Occurrence!F$3-H598)^2</f>
        <v>0.64000000000000012</v>
      </c>
      <c r="S598" s="1">
        <f>(Occurrence!G$3-I598)^2</f>
        <v>0.16000000000000003</v>
      </c>
      <c r="T598" s="1">
        <f>(Occurrence!H$3-J598)^2</f>
        <v>0.64000000000000012</v>
      </c>
      <c r="U598" s="1">
        <f>(Occurrence!I$3-K598)^2</f>
        <v>9.0000000000000024E-2</v>
      </c>
      <c r="V598" s="1">
        <f>(Occurrence!J$3-L598)^2</f>
        <v>0.64000000000000012</v>
      </c>
      <c r="W598" s="1">
        <f>(Occurrence!K$3-M598)^2</f>
        <v>0.16000000000000003</v>
      </c>
      <c r="X598" s="1">
        <f t="shared" si="109"/>
        <v>3.830000000000001</v>
      </c>
      <c r="Z598" s="1">
        <f t="shared" si="110"/>
        <v>0</v>
      </c>
      <c r="AA598" s="1">
        <f t="shared" si="111"/>
        <v>0</v>
      </c>
      <c r="AB598" s="1">
        <f t="shared" si="112"/>
        <v>0</v>
      </c>
      <c r="AC598" s="1">
        <f t="shared" si="113"/>
        <v>0</v>
      </c>
      <c r="AD598" s="1">
        <f t="shared" si="114"/>
        <v>1</v>
      </c>
      <c r="AE598" s="1">
        <f t="shared" si="115"/>
        <v>0</v>
      </c>
      <c r="AF598" s="1">
        <f t="shared" si="116"/>
        <v>0</v>
      </c>
      <c r="AG598" s="1">
        <f t="shared" si="117"/>
        <v>1</v>
      </c>
      <c r="AH598" s="1">
        <f t="shared" si="118"/>
        <v>1</v>
      </c>
      <c r="AI598" s="1">
        <f t="shared" si="119"/>
        <v>1</v>
      </c>
      <c r="AJ598" s="1">
        <f>SUMXMY2(Z598:AI598, Occurrence!B$3:K$3)</f>
        <v>5</v>
      </c>
      <c r="AK598" s="1">
        <f t="shared" si="120"/>
        <v>5</v>
      </c>
    </row>
    <row r="599" spans="1:37">
      <c r="A599" s="1">
        <v>598</v>
      </c>
      <c r="B599" s="1">
        <v>4252597</v>
      </c>
      <c r="C599" s="6" t="s">
        <v>42</v>
      </c>
      <c r="D599" s="1">
        <v>0.1</v>
      </c>
      <c r="E599" s="1">
        <v>0.2</v>
      </c>
      <c r="F599" s="1">
        <v>0.1</v>
      </c>
      <c r="G599" s="1">
        <v>0.2</v>
      </c>
      <c r="H599" s="1">
        <v>0.8</v>
      </c>
      <c r="I599" s="1">
        <v>0.5</v>
      </c>
      <c r="J599" s="1">
        <v>0.2</v>
      </c>
      <c r="K599" s="1">
        <v>0.8</v>
      </c>
      <c r="L599" s="1">
        <v>0.8</v>
      </c>
      <c r="M599" s="1">
        <v>0.6</v>
      </c>
      <c r="N599" s="1">
        <f>(Occurrence!B$3-D599)^2</f>
        <v>1.0000000000000002E-2</v>
      </c>
      <c r="O599" s="1">
        <f>(Occurrence!C$3-E599)^2</f>
        <v>4.0000000000000008E-2</v>
      </c>
      <c r="P599" s="1">
        <f>(Occurrence!D$3-F599)^2</f>
        <v>0.81</v>
      </c>
      <c r="Q599" s="1">
        <f>(Occurrence!E$3-G599)^2</f>
        <v>0.64000000000000012</v>
      </c>
      <c r="R599" s="1">
        <f>(Occurrence!F$3-H599)^2</f>
        <v>0.64000000000000012</v>
      </c>
      <c r="S599" s="1">
        <f>(Occurrence!G$3-I599)^2</f>
        <v>0.25</v>
      </c>
      <c r="T599" s="1">
        <f>(Occurrence!H$3-J599)^2</f>
        <v>0.64000000000000012</v>
      </c>
      <c r="U599" s="1">
        <f>(Occurrence!I$3-K599)^2</f>
        <v>3.999999999999998E-2</v>
      </c>
      <c r="V599" s="1">
        <f>(Occurrence!J$3-L599)^2</f>
        <v>0.64000000000000012</v>
      </c>
      <c r="W599" s="1">
        <f>(Occurrence!K$3-M599)^2</f>
        <v>0.16000000000000003</v>
      </c>
      <c r="X599" s="1">
        <f t="shared" si="109"/>
        <v>3.870000000000001</v>
      </c>
      <c r="Z599" s="1">
        <f t="shared" si="110"/>
        <v>0</v>
      </c>
      <c r="AA599" s="1">
        <f t="shared" si="111"/>
        <v>0</v>
      </c>
      <c r="AB599" s="1">
        <f t="shared" si="112"/>
        <v>0</v>
      </c>
      <c r="AC599" s="1">
        <f t="shared" si="113"/>
        <v>0</v>
      </c>
      <c r="AD599" s="1">
        <f t="shared" si="114"/>
        <v>1</v>
      </c>
      <c r="AE599" s="1">
        <f t="shared" si="115"/>
        <v>1</v>
      </c>
      <c r="AF599" s="1">
        <f t="shared" si="116"/>
        <v>0</v>
      </c>
      <c r="AG599" s="1">
        <f t="shared" si="117"/>
        <v>1</v>
      </c>
      <c r="AH599" s="1">
        <f t="shared" si="118"/>
        <v>1</v>
      </c>
      <c r="AI599" s="1">
        <f t="shared" si="119"/>
        <v>1</v>
      </c>
      <c r="AJ599" s="1">
        <f>SUMXMY2(Z599:AI599, Occurrence!B$3:K$3)</f>
        <v>6</v>
      </c>
      <c r="AK599" s="1">
        <f t="shared" si="120"/>
        <v>4</v>
      </c>
    </row>
    <row r="600" spans="1:37">
      <c r="A600" s="1">
        <v>599</v>
      </c>
      <c r="B600" s="1">
        <v>4252598</v>
      </c>
      <c r="C600" s="6" t="s">
        <v>42</v>
      </c>
      <c r="D600" s="1">
        <v>0.02</v>
      </c>
      <c r="E600" s="1">
        <v>0.05</v>
      </c>
      <c r="F600" s="1">
        <v>0.3</v>
      </c>
      <c r="G600" s="1">
        <v>0.8</v>
      </c>
      <c r="H600" s="1">
        <v>0.68</v>
      </c>
      <c r="I600" s="1">
        <v>0.4</v>
      </c>
      <c r="J600" s="1">
        <v>0.1</v>
      </c>
      <c r="K600" s="1">
        <v>0.8</v>
      </c>
      <c r="L600" s="1">
        <v>0.4</v>
      </c>
      <c r="M600" s="1">
        <v>0.3</v>
      </c>
      <c r="N600" s="1">
        <f>(Occurrence!B$3-D600)^2</f>
        <v>4.0000000000000002E-4</v>
      </c>
      <c r="O600" s="1">
        <f>(Occurrence!C$3-E600)^2</f>
        <v>2.5000000000000005E-3</v>
      </c>
      <c r="P600" s="1">
        <f>(Occurrence!D$3-F600)^2</f>
        <v>0.48999999999999994</v>
      </c>
      <c r="Q600" s="1">
        <f>(Occurrence!E$3-G600)^2</f>
        <v>3.999999999999998E-2</v>
      </c>
      <c r="R600" s="1">
        <f>(Occurrence!F$3-H600)^2</f>
        <v>0.46240000000000009</v>
      </c>
      <c r="S600" s="1">
        <f>(Occurrence!G$3-I600)^2</f>
        <v>0.16000000000000003</v>
      </c>
      <c r="T600" s="1">
        <f>(Occurrence!H$3-J600)^2</f>
        <v>0.81</v>
      </c>
      <c r="U600" s="1">
        <f>(Occurrence!I$3-K600)^2</f>
        <v>3.999999999999998E-2</v>
      </c>
      <c r="V600" s="1">
        <f>(Occurrence!J$3-L600)^2</f>
        <v>0.16000000000000003</v>
      </c>
      <c r="W600" s="1">
        <f>(Occurrence!K$3-M600)^2</f>
        <v>0.48999999999999994</v>
      </c>
      <c r="X600" s="1">
        <f t="shared" si="109"/>
        <v>2.6553</v>
      </c>
      <c r="Z600" s="1">
        <f t="shared" si="110"/>
        <v>0</v>
      </c>
      <c r="AA600" s="1">
        <f t="shared" si="111"/>
        <v>0</v>
      </c>
      <c r="AB600" s="1">
        <f t="shared" si="112"/>
        <v>0</v>
      </c>
      <c r="AC600" s="1">
        <f t="shared" si="113"/>
        <v>1</v>
      </c>
      <c r="AD600" s="1">
        <f t="shared" si="114"/>
        <v>1</v>
      </c>
      <c r="AE600" s="1">
        <f t="shared" si="115"/>
        <v>0</v>
      </c>
      <c r="AF600" s="1">
        <f t="shared" si="116"/>
        <v>0</v>
      </c>
      <c r="AG600" s="1">
        <f t="shared" si="117"/>
        <v>1</v>
      </c>
      <c r="AH600" s="1">
        <f t="shared" si="118"/>
        <v>0</v>
      </c>
      <c r="AI600" s="1">
        <f t="shared" si="119"/>
        <v>0</v>
      </c>
      <c r="AJ600" s="1">
        <f>SUMXMY2(Z600:AI600, Occurrence!B$3:K$3)</f>
        <v>4</v>
      </c>
      <c r="AK600" s="1">
        <f t="shared" si="120"/>
        <v>6</v>
      </c>
    </row>
    <row r="601" spans="1:37">
      <c r="A601" s="1">
        <v>600</v>
      </c>
      <c r="B601" s="1">
        <v>4252599</v>
      </c>
      <c r="C601" s="6" t="s">
        <v>42</v>
      </c>
      <c r="D601" s="1">
        <v>0.05</v>
      </c>
      <c r="E601" s="1">
        <v>0.1</v>
      </c>
      <c r="F601" s="1">
        <v>0.6</v>
      </c>
      <c r="G601" s="1">
        <v>0.75</v>
      </c>
      <c r="H601" s="1">
        <v>0.35</v>
      </c>
      <c r="I601" s="1">
        <v>0.6</v>
      </c>
      <c r="J601" s="1">
        <v>0.1</v>
      </c>
      <c r="K601" s="1">
        <v>0.9</v>
      </c>
      <c r="L601" s="1">
        <v>0.5</v>
      </c>
      <c r="M601" s="1">
        <v>0.6</v>
      </c>
      <c r="N601" s="1">
        <f>(Occurrence!B$3-D601)^2</f>
        <v>2.5000000000000005E-3</v>
      </c>
      <c r="O601" s="1">
        <f>(Occurrence!C$3-E601)^2</f>
        <v>1.0000000000000002E-2</v>
      </c>
      <c r="P601" s="1">
        <f>(Occurrence!D$3-F601)^2</f>
        <v>0.16000000000000003</v>
      </c>
      <c r="Q601" s="1">
        <f>(Occurrence!E$3-G601)^2</f>
        <v>6.25E-2</v>
      </c>
      <c r="R601" s="1">
        <f>(Occurrence!F$3-H601)^2</f>
        <v>0.12249999999999998</v>
      </c>
      <c r="S601" s="1">
        <f>(Occurrence!G$3-I601)^2</f>
        <v>0.36</v>
      </c>
      <c r="T601" s="1">
        <f>(Occurrence!H$3-J601)^2</f>
        <v>0.81</v>
      </c>
      <c r="U601" s="1">
        <f>(Occurrence!I$3-K601)^2</f>
        <v>9.999999999999995E-3</v>
      </c>
      <c r="V601" s="1">
        <f>(Occurrence!J$3-L601)^2</f>
        <v>0.25</v>
      </c>
      <c r="W601" s="1">
        <f>(Occurrence!K$3-M601)^2</f>
        <v>0.16000000000000003</v>
      </c>
      <c r="X601" s="1">
        <f t="shared" si="109"/>
        <v>1.9475000000000002</v>
      </c>
      <c r="Z601" s="1">
        <f t="shared" si="110"/>
        <v>0</v>
      </c>
      <c r="AA601" s="1">
        <f t="shared" si="111"/>
        <v>0</v>
      </c>
      <c r="AB601" s="1">
        <f t="shared" si="112"/>
        <v>1</v>
      </c>
      <c r="AC601" s="1">
        <f t="shared" si="113"/>
        <v>1</v>
      </c>
      <c r="AD601" s="1">
        <f t="shared" si="114"/>
        <v>0</v>
      </c>
      <c r="AE601" s="1">
        <f t="shared" si="115"/>
        <v>1</v>
      </c>
      <c r="AF601" s="1">
        <f t="shared" si="116"/>
        <v>0</v>
      </c>
      <c r="AG601" s="1">
        <f t="shared" si="117"/>
        <v>1</v>
      </c>
      <c r="AH601" s="1">
        <f t="shared" si="118"/>
        <v>1</v>
      </c>
      <c r="AI601" s="1">
        <f t="shared" si="119"/>
        <v>1</v>
      </c>
      <c r="AJ601" s="1">
        <f>SUMXMY2(Z601:AI601, Occurrence!B$3:K$3)</f>
        <v>3</v>
      </c>
      <c r="AK601" s="1">
        <f t="shared" si="120"/>
        <v>7</v>
      </c>
    </row>
    <row r="602" spans="1:37">
      <c r="A602" s="1">
        <v>601</v>
      </c>
      <c r="B602" s="1">
        <v>4252600</v>
      </c>
      <c r="C602" s="6" t="s">
        <v>42</v>
      </c>
      <c r="D602" s="1">
        <v>0.2</v>
      </c>
      <c r="E602" s="1">
        <v>0.3</v>
      </c>
      <c r="F602" s="1">
        <v>0.15</v>
      </c>
      <c r="G602" s="1">
        <v>0.2</v>
      </c>
      <c r="H602" s="1">
        <v>0.5</v>
      </c>
      <c r="I602" s="1">
        <v>0.3</v>
      </c>
      <c r="J602" s="1">
        <v>0.2</v>
      </c>
      <c r="K602" s="1">
        <v>0.7</v>
      </c>
      <c r="L602" s="1">
        <v>0.8</v>
      </c>
      <c r="M602" s="1">
        <v>0.4</v>
      </c>
      <c r="N602" s="1">
        <f>(Occurrence!B$3-D602)^2</f>
        <v>4.0000000000000008E-2</v>
      </c>
      <c r="O602" s="1">
        <f>(Occurrence!C$3-E602)^2</f>
        <v>0.09</v>
      </c>
      <c r="P602" s="1">
        <f>(Occurrence!D$3-F602)^2</f>
        <v>0.72249999999999992</v>
      </c>
      <c r="Q602" s="1">
        <f>(Occurrence!E$3-G602)^2</f>
        <v>0.64000000000000012</v>
      </c>
      <c r="R602" s="1">
        <f>(Occurrence!F$3-H602)^2</f>
        <v>0.25</v>
      </c>
      <c r="S602" s="1">
        <f>(Occurrence!G$3-I602)^2</f>
        <v>0.09</v>
      </c>
      <c r="T602" s="1">
        <f>(Occurrence!H$3-J602)^2</f>
        <v>0.64000000000000012</v>
      </c>
      <c r="U602" s="1">
        <f>(Occurrence!I$3-K602)^2</f>
        <v>9.0000000000000024E-2</v>
      </c>
      <c r="V602" s="1">
        <f>(Occurrence!J$3-L602)^2</f>
        <v>0.64000000000000012</v>
      </c>
      <c r="W602" s="1">
        <f>(Occurrence!K$3-M602)^2</f>
        <v>0.36</v>
      </c>
      <c r="X602" s="1">
        <f t="shared" si="109"/>
        <v>3.5625</v>
      </c>
      <c r="Z602" s="1">
        <f t="shared" si="110"/>
        <v>0</v>
      </c>
      <c r="AA602" s="1">
        <f t="shared" si="111"/>
        <v>0</v>
      </c>
      <c r="AB602" s="1">
        <f t="shared" si="112"/>
        <v>0</v>
      </c>
      <c r="AC602" s="1">
        <f t="shared" si="113"/>
        <v>0</v>
      </c>
      <c r="AD602" s="1">
        <f t="shared" si="114"/>
        <v>1</v>
      </c>
      <c r="AE602" s="1">
        <f t="shared" si="115"/>
        <v>0</v>
      </c>
      <c r="AF602" s="1">
        <f t="shared" si="116"/>
        <v>0</v>
      </c>
      <c r="AG602" s="1">
        <f t="shared" si="117"/>
        <v>1</v>
      </c>
      <c r="AH602" s="1">
        <f t="shared" si="118"/>
        <v>1</v>
      </c>
      <c r="AI602" s="1">
        <f t="shared" si="119"/>
        <v>0</v>
      </c>
      <c r="AJ602" s="1">
        <f>SUMXMY2(Z602:AI602, Occurrence!B$3:K$3)</f>
        <v>6</v>
      </c>
      <c r="AK602" s="1">
        <f t="shared" si="120"/>
        <v>4</v>
      </c>
    </row>
    <row r="603" spans="1:37">
      <c r="A603" s="1">
        <v>602</v>
      </c>
      <c r="B603" s="1">
        <v>4252601</v>
      </c>
      <c r="C603" s="6" t="s">
        <v>42</v>
      </c>
      <c r="D603" s="1">
        <v>0.1</v>
      </c>
      <c r="E603" s="1">
        <v>0.3</v>
      </c>
      <c r="F603" s="1">
        <v>0.2</v>
      </c>
      <c r="G603" s="1">
        <v>0.3</v>
      </c>
      <c r="H603" s="1">
        <v>0.3</v>
      </c>
      <c r="I603" s="1">
        <v>0.4</v>
      </c>
      <c r="J603" s="1">
        <v>0.2</v>
      </c>
      <c r="K603" s="1">
        <v>0.7</v>
      </c>
      <c r="L603" s="1">
        <v>0.8</v>
      </c>
      <c r="M603" s="1">
        <v>0.4</v>
      </c>
      <c r="N603" s="1">
        <f>(Occurrence!B$3-D603)^2</f>
        <v>1.0000000000000002E-2</v>
      </c>
      <c r="O603" s="1">
        <f>(Occurrence!C$3-E603)^2</f>
        <v>0.09</v>
      </c>
      <c r="P603" s="1">
        <f>(Occurrence!D$3-F603)^2</f>
        <v>0.64000000000000012</v>
      </c>
      <c r="Q603" s="1">
        <f>(Occurrence!E$3-G603)^2</f>
        <v>0.48999999999999994</v>
      </c>
      <c r="R603" s="1">
        <f>(Occurrence!F$3-H603)^2</f>
        <v>0.09</v>
      </c>
      <c r="S603" s="1">
        <f>(Occurrence!G$3-I603)^2</f>
        <v>0.16000000000000003</v>
      </c>
      <c r="T603" s="1">
        <f>(Occurrence!H$3-J603)^2</f>
        <v>0.64000000000000012</v>
      </c>
      <c r="U603" s="1">
        <f>(Occurrence!I$3-K603)^2</f>
        <v>9.0000000000000024E-2</v>
      </c>
      <c r="V603" s="1">
        <f>(Occurrence!J$3-L603)^2</f>
        <v>0.64000000000000012</v>
      </c>
      <c r="W603" s="1">
        <f>(Occurrence!K$3-M603)^2</f>
        <v>0.36</v>
      </c>
      <c r="X603" s="1">
        <f t="shared" si="109"/>
        <v>3.21</v>
      </c>
      <c r="Z603" s="1">
        <f t="shared" si="110"/>
        <v>0</v>
      </c>
      <c r="AA603" s="1">
        <f t="shared" si="111"/>
        <v>0</v>
      </c>
      <c r="AB603" s="1">
        <f t="shared" si="112"/>
        <v>0</v>
      </c>
      <c r="AC603" s="1">
        <f t="shared" si="113"/>
        <v>0</v>
      </c>
      <c r="AD603" s="1">
        <f t="shared" si="114"/>
        <v>0</v>
      </c>
      <c r="AE603" s="1">
        <f t="shared" si="115"/>
        <v>0</v>
      </c>
      <c r="AF603" s="1">
        <f t="shared" si="116"/>
        <v>0</v>
      </c>
      <c r="AG603" s="1">
        <f t="shared" si="117"/>
        <v>1</v>
      </c>
      <c r="AH603" s="1">
        <f t="shared" si="118"/>
        <v>1</v>
      </c>
      <c r="AI603" s="1">
        <f t="shared" si="119"/>
        <v>0</v>
      </c>
      <c r="AJ603" s="1">
        <f>SUMXMY2(Z603:AI603, Occurrence!B$3:K$3)</f>
        <v>5</v>
      </c>
      <c r="AK603" s="1">
        <f t="shared" si="120"/>
        <v>5</v>
      </c>
    </row>
    <row r="604" spans="1:37">
      <c r="A604" s="1">
        <v>603</v>
      </c>
      <c r="B604" s="1">
        <v>4252602</v>
      </c>
      <c r="C604" s="6" t="s">
        <v>42</v>
      </c>
      <c r="D604" s="1">
        <v>0</v>
      </c>
      <c r="E604" s="1">
        <v>0</v>
      </c>
      <c r="F604" s="1">
        <v>0.6</v>
      </c>
      <c r="G604" s="1">
        <v>1</v>
      </c>
      <c r="H604" s="1">
        <v>0.7</v>
      </c>
      <c r="I604" s="1">
        <v>0.3</v>
      </c>
      <c r="J604" s="1">
        <v>0.5</v>
      </c>
      <c r="K604" s="1">
        <v>0.8</v>
      </c>
      <c r="L604" s="1">
        <v>0</v>
      </c>
      <c r="M604" s="1">
        <v>0.6</v>
      </c>
      <c r="N604" s="1">
        <f>(Occurrence!B$3-D604)^2</f>
        <v>0</v>
      </c>
      <c r="O604" s="1">
        <f>(Occurrence!C$3-E604)^2</f>
        <v>0</v>
      </c>
      <c r="P604" s="1">
        <f>(Occurrence!D$3-F604)^2</f>
        <v>0.16000000000000003</v>
      </c>
      <c r="Q604" s="1">
        <f>(Occurrence!E$3-G604)^2</f>
        <v>0</v>
      </c>
      <c r="R604" s="1">
        <f>(Occurrence!F$3-H604)^2</f>
        <v>0.48999999999999994</v>
      </c>
      <c r="S604" s="1">
        <f>(Occurrence!G$3-I604)^2</f>
        <v>0.09</v>
      </c>
      <c r="T604" s="1">
        <f>(Occurrence!H$3-J604)^2</f>
        <v>0.25</v>
      </c>
      <c r="U604" s="1">
        <f>(Occurrence!I$3-K604)^2</f>
        <v>3.999999999999998E-2</v>
      </c>
      <c r="V604" s="1">
        <f>(Occurrence!J$3-L604)^2</f>
        <v>0</v>
      </c>
      <c r="W604" s="1">
        <f>(Occurrence!K$3-M604)^2</f>
        <v>0.16000000000000003</v>
      </c>
      <c r="X604" s="1">
        <f t="shared" si="109"/>
        <v>1.19</v>
      </c>
      <c r="Z604" s="1">
        <f t="shared" si="110"/>
        <v>0</v>
      </c>
      <c r="AA604" s="1">
        <f t="shared" si="111"/>
        <v>0</v>
      </c>
      <c r="AB604" s="1">
        <f t="shared" si="112"/>
        <v>1</v>
      </c>
      <c r="AC604" s="1">
        <f t="shared" si="113"/>
        <v>1</v>
      </c>
      <c r="AD604" s="1">
        <f t="shared" si="114"/>
        <v>1</v>
      </c>
      <c r="AE604" s="1">
        <f t="shared" si="115"/>
        <v>0</v>
      </c>
      <c r="AF604" s="1">
        <f t="shared" si="116"/>
        <v>1</v>
      </c>
      <c r="AG604" s="1">
        <f t="shared" si="117"/>
        <v>1</v>
      </c>
      <c r="AH604" s="1">
        <f t="shared" si="118"/>
        <v>0</v>
      </c>
      <c r="AI604" s="1">
        <f t="shared" si="119"/>
        <v>1</v>
      </c>
      <c r="AJ604" s="1">
        <f>SUMXMY2(Z604:AI604, Occurrence!B$3:K$3)</f>
        <v>1</v>
      </c>
      <c r="AK604" s="1">
        <f t="shared" si="120"/>
        <v>9</v>
      </c>
    </row>
    <row r="605" spans="1:37">
      <c r="A605" s="1">
        <v>604</v>
      </c>
      <c r="B605" s="1">
        <v>4252603</v>
      </c>
      <c r="C605" s="6" t="s">
        <v>43</v>
      </c>
      <c r="D605" s="1">
        <v>0.1</v>
      </c>
      <c r="E605" s="1">
        <v>0.25</v>
      </c>
      <c r="F605" s="1">
        <v>0.15</v>
      </c>
      <c r="G605" s="1">
        <v>0.45</v>
      </c>
      <c r="H605" s="1">
        <v>0.75</v>
      </c>
      <c r="I605" s="1">
        <v>0.5</v>
      </c>
      <c r="J605" s="1">
        <v>0.2</v>
      </c>
      <c r="K605" s="1">
        <v>0.7</v>
      </c>
      <c r="L605" s="1">
        <v>0.9</v>
      </c>
      <c r="M605" s="1">
        <v>0.65</v>
      </c>
      <c r="N605" s="1">
        <f>(Occurrence!B$3-D605)^2</f>
        <v>1.0000000000000002E-2</v>
      </c>
      <c r="O605" s="1">
        <f>(Occurrence!C$3-E605)^2</f>
        <v>6.25E-2</v>
      </c>
      <c r="P605" s="1">
        <f>(Occurrence!D$3-F605)^2</f>
        <v>0.72249999999999992</v>
      </c>
      <c r="Q605" s="1">
        <f>(Occurrence!E$3-G605)^2</f>
        <v>0.30250000000000005</v>
      </c>
      <c r="R605" s="1">
        <f>(Occurrence!F$3-H605)^2</f>
        <v>0.5625</v>
      </c>
      <c r="S605" s="1">
        <f>(Occurrence!G$3-I605)^2</f>
        <v>0.25</v>
      </c>
      <c r="T605" s="1">
        <f>(Occurrence!H$3-J605)^2</f>
        <v>0.64000000000000012</v>
      </c>
      <c r="U605" s="1">
        <f>(Occurrence!I$3-K605)^2</f>
        <v>9.0000000000000024E-2</v>
      </c>
      <c r="V605" s="1">
        <f>(Occurrence!J$3-L605)^2</f>
        <v>0.81</v>
      </c>
      <c r="W605" s="1">
        <f>(Occurrence!K$3-M605)^2</f>
        <v>0.12249999999999998</v>
      </c>
      <c r="X605" s="1">
        <f t="shared" si="109"/>
        <v>3.5724999999999998</v>
      </c>
      <c r="Z605" s="1">
        <f t="shared" si="110"/>
        <v>0</v>
      </c>
      <c r="AA605" s="1">
        <f t="shared" si="111"/>
        <v>0</v>
      </c>
      <c r="AB605" s="1">
        <f t="shared" si="112"/>
        <v>0</v>
      </c>
      <c r="AC605" s="1">
        <f t="shared" si="113"/>
        <v>0</v>
      </c>
      <c r="AD605" s="1">
        <f t="shared" si="114"/>
        <v>1</v>
      </c>
      <c r="AE605" s="1">
        <f t="shared" si="115"/>
        <v>1</v>
      </c>
      <c r="AF605" s="1">
        <f t="shared" si="116"/>
        <v>0</v>
      </c>
      <c r="AG605" s="1">
        <f t="shared" si="117"/>
        <v>1</v>
      </c>
      <c r="AH605" s="1">
        <f t="shared" si="118"/>
        <v>1</v>
      </c>
      <c r="AI605" s="1">
        <f t="shared" si="119"/>
        <v>1</v>
      </c>
      <c r="AJ605" s="1">
        <f>SUMXMY2(Z605:AI605, Occurrence!B$3:K$3)</f>
        <v>6</v>
      </c>
      <c r="AK605" s="1">
        <f t="shared" si="120"/>
        <v>4</v>
      </c>
    </row>
    <row r="606" spans="1:37">
      <c r="A606" s="1">
        <v>605</v>
      </c>
      <c r="B606" s="1">
        <v>4252604</v>
      </c>
      <c r="C606" s="6" t="s">
        <v>43</v>
      </c>
      <c r="D606" s="1">
        <v>0.2</v>
      </c>
      <c r="E606" s="1">
        <v>0.3</v>
      </c>
      <c r="F606" s="1">
        <v>0.5</v>
      </c>
      <c r="G606" s="1">
        <v>0.8</v>
      </c>
      <c r="H606" s="1">
        <v>0.3</v>
      </c>
      <c r="I606" s="1">
        <v>0.5</v>
      </c>
      <c r="J606" s="1">
        <v>0.8</v>
      </c>
      <c r="K606" s="1">
        <v>0.8</v>
      </c>
      <c r="L606" s="1">
        <v>0.5</v>
      </c>
      <c r="M606" s="1">
        <v>0.8</v>
      </c>
      <c r="N606" s="1">
        <f>(Occurrence!B$3-D606)^2</f>
        <v>4.0000000000000008E-2</v>
      </c>
      <c r="O606" s="1">
        <f>(Occurrence!C$3-E606)^2</f>
        <v>0.09</v>
      </c>
      <c r="P606" s="1">
        <f>(Occurrence!D$3-F606)^2</f>
        <v>0.25</v>
      </c>
      <c r="Q606" s="1">
        <f>(Occurrence!E$3-G606)^2</f>
        <v>3.999999999999998E-2</v>
      </c>
      <c r="R606" s="1">
        <f>(Occurrence!F$3-H606)^2</f>
        <v>0.09</v>
      </c>
      <c r="S606" s="1">
        <f>(Occurrence!G$3-I606)^2</f>
        <v>0.25</v>
      </c>
      <c r="T606" s="1">
        <f>(Occurrence!H$3-J606)^2</f>
        <v>3.999999999999998E-2</v>
      </c>
      <c r="U606" s="1">
        <f>(Occurrence!I$3-K606)^2</f>
        <v>3.999999999999998E-2</v>
      </c>
      <c r="V606" s="1">
        <f>(Occurrence!J$3-L606)^2</f>
        <v>0.25</v>
      </c>
      <c r="W606" s="1">
        <f>(Occurrence!K$3-M606)^2</f>
        <v>3.999999999999998E-2</v>
      </c>
      <c r="X606" s="1">
        <f t="shared" si="109"/>
        <v>1.1300000000000001</v>
      </c>
      <c r="Z606" s="1">
        <f t="shared" si="110"/>
        <v>0</v>
      </c>
      <c r="AA606" s="1">
        <f t="shared" si="111"/>
        <v>0</v>
      </c>
      <c r="AB606" s="1">
        <f t="shared" si="112"/>
        <v>1</v>
      </c>
      <c r="AC606" s="1">
        <f t="shared" si="113"/>
        <v>1</v>
      </c>
      <c r="AD606" s="1">
        <f t="shared" si="114"/>
        <v>0</v>
      </c>
      <c r="AE606" s="1">
        <f t="shared" si="115"/>
        <v>1</v>
      </c>
      <c r="AF606" s="1">
        <f t="shared" si="116"/>
        <v>1</v>
      </c>
      <c r="AG606" s="1">
        <f t="shared" si="117"/>
        <v>1</v>
      </c>
      <c r="AH606" s="1">
        <f t="shared" si="118"/>
        <v>1</v>
      </c>
      <c r="AI606" s="1">
        <f t="shared" si="119"/>
        <v>1</v>
      </c>
      <c r="AJ606" s="1">
        <f>SUMXMY2(Z606:AI606, Occurrence!B$3:K$3)</f>
        <v>2</v>
      </c>
      <c r="AK606" s="1">
        <f t="shared" si="120"/>
        <v>8</v>
      </c>
    </row>
    <row r="607" spans="1:37">
      <c r="A607" s="1">
        <v>606</v>
      </c>
      <c r="B607" s="1">
        <v>4252605</v>
      </c>
      <c r="C607" s="6" t="s">
        <v>43</v>
      </c>
      <c r="D607" s="1">
        <v>0.03</v>
      </c>
      <c r="E607" s="1">
        <v>0.05</v>
      </c>
      <c r="F607" s="1">
        <v>0.15</v>
      </c>
      <c r="G607" s="1">
        <v>0.5</v>
      </c>
      <c r="H607" s="1">
        <v>0.8</v>
      </c>
      <c r="I607" s="1">
        <v>0.5</v>
      </c>
      <c r="J607" s="1">
        <v>1</v>
      </c>
      <c r="K607" s="1">
        <v>0.99</v>
      </c>
      <c r="L607" s="1">
        <v>0.05</v>
      </c>
      <c r="M607" s="1">
        <v>0.95</v>
      </c>
      <c r="N607" s="1">
        <f>(Occurrence!B$3-D607)^2</f>
        <v>8.9999999999999998E-4</v>
      </c>
      <c r="O607" s="1">
        <f>(Occurrence!C$3-E607)^2</f>
        <v>2.5000000000000005E-3</v>
      </c>
      <c r="P607" s="1">
        <f>(Occurrence!D$3-F607)^2</f>
        <v>0.72249999999999992</v>
      </c>
      <c r="Q607" s="1">
        <f>(Occurrence!E$3-G607)^2</f>
        <v>0.25</v>
      </c>
      <c r="R607" s="1">
        <f>(Occurrence!F$3-H607)^2</f>
        <v>0.64000000000000012</v>
      </c>
      <c r="S607" s="1">
        <f>(Occurrence!G$3-I607)^2</f>
        <v>0.25</v>
      </c>
      <c r="T607" s="1">
        <f>(Occurrence!H$3-J607)^2</f>
        <v>0</v>
      </c>
      <c r="U607" s="1">
        <f>(Occurrence!I$3-K607)^2</f>
        <v>1.0000000000000018E-4</v>
      </c>
      <c r="V607" s="1">
        <f>(Occurrence!J$3-L607)^2</f>
        <v>2.5000000000000005E-3</v>
      </c>
      <c r="W607" s="1">
        <f>(Occurrence!K$3-M607)^2</f>
        <v>2.5000000000000044E-3</v>
      </c>
      <c r="X607" s="1">
        <f t="shared" si="109"/>
        <v>1.8709999999999998</v>
      </c>
      <c r="Z607" s="1">
        <f t="shared" si="110"/>
        <v>0</v>
      </c>
      <c r="AA607" s="1">
        <f t="shared" si="111"/>
        <v>0</v>
      </c>
      <c r="AB607" s="1">
        <f t="shared" si="112"/>
        <v>0</v>
      </c>
      <c r="AC607" s="1">
        <f t="shared" si="113"/>
        <v>1</v>
      </c>
      <c r="AD607" s="1">
        <f t="shared" si="114"/>
        <v>1</v>
      </c>
      <c r="AE607" s="1">
        <f t="shared" si="115"/>
        <v>1</v>
      </c>
      <c r="AF607" s="1">
        <f t="shared" si="116"/>
        <v>1</v>
      </c>
      <c r="AG607" s="1">
        <f t="shared" si="117"/>
        <v>1</v>
      </c>
      <c r="AH607" s="1">
        <f t="shared" si="118"/>
        <v>0</v>
      </c>
      <c r="AI607" s="1">
        <f t="shared" si="119"/>
        <v>1</v>
      </c>
      <c r="AJ607" s="1">
        <f>SUMXMY2(Z607:AI607, Occurrence!B$3:K$3)</f>
        <v>3</v>
      </c>
      <c r="AK607" s="1">
        <f t="shared" si="120"/>
        <v>7</v>
      </c>
    </row>
    <row r="608" spans="1:37">
      <c r="A608" s="1">
        <v>607</v>
      </c>
      <c r="B608" s="1">
        <v>4252606</v>
      </c>
      <c r="C608" s="6" t="s">
        <v>43</v>
      </c>
      <c r="D608" s="1">
        <v>0.1</v>
      </c>
      <c r="E608" s="1">
        <v>0.2</v>
      </c>
      <c r="F608" s="1">
        <v>0.4</v>
      </c>
      <c r="G608" s="1">
        <v>0.7</v>
      </c>
      <c r="H608" s="1">
        <v>0.5</v>
      </c>
      <c r="I608" s="1">
        <v>0.7</v>
      </c>
      <c r="J608" s="1">
        <v>0.99</v>
      </c>
      <c r="K608" s="1">
        <v>0.8</v>
      </c>
      <c r="L608" s="1">
        <v>0.9</v>
      </c>
      <c r="M608" s="1">
        <v>0.4</v>
      </c>
      <c r="N608" s="1">
        <f>(Occurrence!B$3-D608)^2</f>
        <v>1.0000000000000002E-2</v>
      </c>
      <c r="O608" s="1">
        <f>(Occurrence!C$3-E608)^2</f>
        <v>4.0000000000000008E-2</v>
      </c>
      <c r="P608" s="1">
        <f>(Occurrence!D$3-F608)^2</f>
        <v>0.36</v>
      </c>
      <c r="Q608" s="1">
        <f>(Occurrence!E$3-G608)^2</f>
        <v>9.0000000000000024E-2</v>
      </c>
      <c r="R608" s="1">
        <f>(Occurrence!F$3-H608)^2</f>
        <v>0.25</v>
      </c>
      <c r="S608" s="1">
        <f>(Occurrence!G$3-I608)^2</f>
        <v>0.48999999999999994</v>
      </c>
      <c r="T608" s="1">
        <f>(Occurrence!H$3-J608)^2</f>
        <v>1.0000000000000018E-4</v>
      </c>
      <c r="U608" s="1">
        <f>(Occurrence!I$3-K608)^2</f>
        <v>3.999999999999998E-2</v>
      </c>
      <c r="V608" s="1">
        <f>(Occurrence!J$3-L608)^2</f>
        <v>0.81</v>
      </c>
      <c r="W608" s="1">
        <f>(Occurrence!K$3-M608)^2</f>
        <v>0.36</v>
      </c>
      <c r="X608" s="1">
        <f t="shared" si="109"/>
        <v>2.4500999999999999</v>
      </c>
      <c r="Z608" s="1">
        <f t="shared" si="110"/>
        <v>0</v>
      </c>
      <c r="AA608" s="1">
        <f t="shared" si="111"/>
        <v>0</v>
      </c>
      <c r="AB608" s="1">
        <f t="shared" si="112"/>
        <v>0</v>
      </c>
      <c r="AC608" s="1">
        <f t="shared" si="113"/>
        <v>1</v>
      </c>
      <c r="AD608" s="1">
        <f t="shared" si="114"/>
        <v>1</v>
      </c>
      <c r="AE608" s="1">
        <f t="shared" si="115"/>
        <v>1</v>
      </c>
      <c r="AF608" s="1">
        <f t="shared" si="116"/>
        <v>1</v>
      </c>
      <c r="AG608" s="1">
        <f t="shared" si="117"/>
        <v>1</v>
      </c>
      <c r="AH608" s="1">
        <f t="shared" si="118"/>
        <v>1</v>
      </c>
      <c r="AI608" s="1">
        <f t="shared" si="119"/>
        <v>0</v>
      </c>
      <c r="AJ608" s="1">
        <f>SUMXMY2(Z608:AI608, Occurrence!B$3:K$3)</f>
        <v>5</v>
      </c>
      <c r="AK608" s="1">
        <f t="shared" si="120"/>
        <v>5</v>
      </c>
    </row>
    <row r="609" spans="1:37">
      <c r="A609" s="1">
        <v>608</v>
      </c>
      <c r="B609" s="1">
        <v>4252607</v>
      </c>
      <c r="C609" s="6" t="s">
        <v>43</v>
      </c>
      <c r="D609" s="1">
        <v>0.2</v>
      </c>
      <c r="E609" s="1">
        <v>0.5</v>
      </c>
      <c r="F609" s="1">
        <v>0.4</v>
      </c>
      <c r="G609" s="1">
        <v>0.7</v>
      </c>
      <c r="H609" s="1">
        <v>0.8</v>
      </c>
      <c r="I609" s="1">
        <v>0.4</v>
      </c>
      <c r="J609" s="1">
        <v>0.5</v>
      </c>
      <c r="K609" s="1">
        <v>0.5</v>
      </c>
      <c r="L609" s="1">
        <v>0.7</v>
      </c>
      <c r="M609" s="1">
        <v>0.4</v>
      </c>
      <c r="N609" s="1">
        <f>(Occurrence!B$3-D609)^2</f>
        <v>4.0000000000000008E-2</v>
      </c>
      <c r="O609" s="1">
        <f>(Occurrence!C$3-E609)^2</f>
        <v>0.25</v>
      </c>
      <c r="P609" s="1">
        <f>(Occurrence!D$3-F609)^2</f>
        <v>0.36</v>
      </c>
      <c r="Q609" s="1">
        <f>(Occurrence!E$3-G609)^2</f>
        <v>9.0000000000000024E-2</v>
      </c>
      <c r="R609" s="1">
        <f>(Occurrence!F$3-H609)^2</f>
        <v>0.64000000000000012</v>
      </c>
      <c r="S609" s="1">
        <f>(Occurrence!G$3-I609)^2</f>
        <v>0.16000000000000003</v>
      </c>
      <c r="T609" s="1">
        <f>(Occurrence!H$3-J609)^2</f>
        <v>0.25</v>
      </c>
      <c r="U609" s="1">
        <f>(Occurrence!I$3-K609)^2</f>
        <v>0.25</v>
      </c>
      <c r="V609" s="1">
        <f>(Occurrence!J$3-L609)^2</f>
        <v>0.48999999999999994</v>
      </c>
      <c r="W609" s="1">
        <f>(Occurrence!K$3-M609)^2</f>
        <v>0.36</v>
      </c>
      <c r="X609" s="1">
        <f t="shared" si="109"/>
        <v>2.8899999999999997</v>
      </c>
      <c r="Z609" s="1">
        <f t="shared" si="110"/>
        <v>0</v>
      </c>
      <c r="AA609" s="1">
        <f t="shared" si="111"/>
        <v>1</v>
      </c>
      <c r="AB609" s="1">
        <f t="shared" si="112"/>
        <v>0</v>
      </c>
      <c r="AC609" s="1">
        <f t="shared" si="113"/>
        <v>1</v>
      </c>
      <c r="AD609" s="1">
        <f t="shared" si="114"/>
        <v>1</v>
      </c>
      <c r="AE609" s="1">
        <f t="shared" si="115"/>
        <v>0</v>
      </c>
      <c r="AF609" s="1">
        <f t="shared" si="116"/>
        <v>1</v>
      </c>
      <c r="AG609" s="1">
        <f t="shared" si="117"/>
        <v>1</v>
      </c>
      <c r="AH609" s="1">
        <f t="shared" si="118"/>
        <v>1</v>
      </c>
      <c r="AI609" s="1">
        <f t="shared" si="119"/>
        <v>0</v>
      </c>
      <c r="AJ609" s="1">
        <f>SUMXMY2(Z609:AI609, Occurrence!B$3:K$3)</f>
        <v>5</v>
      </c>
      <c r="AK609" s="1">
        <f t="shared" si="120"/>
        <v>5</v>
      </c>
    </row>
    <row r="610" spans="1:37">
      <c r="A610" s="1">
        <v>609</v>
      </c>
      <c r="B610" s="1">
        <v>4252608</v>
      </c>
      <c r="C610" s="6" t="s">
        <v>43</v>
      </c>
      <c r="D610" s="1">
        <v>0.05</v>
      </c>
      <c r="E610" s="1">
        <v>0.05</v>
      </c>
      <c r="F610" s="1">
        <v>0.75</v>
      </c>
      <c r="G610" s="1">
        <v>0.9</v>
      </c>
      <c r="H610" s="1">
        <v>0.45</v>
      </c>
      <c r="I610" s="1">
        <v>0.34</v>
      </c>
      <c r="J610" s="1">
        <v>0.48</v>
      </c>
      <c r="K610" s="1">
        <v>0.87</v>
      </c>
      <c r="L610" s="1">
        <v>0.39</v>
      </c>
      <c r="M610" s="1">
        <v>0.92</v>
      </c>
      <c r="N610" s="1">
        <f>(Occurrence!B$3-D610)^2</f>
        <v>2.5000000000000005E-3</v>
      </c>
      <c r="O610" s="1">
        <f>(Occurrence!C$3-E610)^2</f>
        <v>2.5000000000000005E-3</v>
      </c>
      <c r="P610" s="1">
        <f>(Occurrence!D$3-F610)^2</f>
        <v>6.25E-2</v>
      </c>
      <c r="Q610" s="1">
        <f>(Occurrence!E$3-G610)^2</f>
        <v>9.999999999999995E-3</v>
      </c>
      <c r="R610" s="1">
        <f>(Occurrence!F$3-H610)^2</f>
        <v>0.20250000000000001</v>
      </c>
      <c r="S610" s="1">
        <f>(Occurrence!G$3-I610)^2</f>
        <v>0.11560000000000002</v>
      </c>
      <c r="T610" s="1">
        <f>(Occurrence!H$3-J610)^2</f>
        <v>0.27040000000000003</v>
      </c>
      <c r="U610" s="1">
        <f>(Occurrence!I$3-K610)^2</f>
        <v>1.6900000000000002E-2</v>
      </c>
      <c r="V610" s="1">
        <f>(Occurrence!J$3-L610)^2</f>
        <v>0.15210000000000001</v>
      </c>
      <c r="W610" s="1">
        <f>(Occurrence!K$3-M610)^2</f>
        <v>6.3999999999999934E-3</v>
      </c>
      <c r="X610" s="1">
        <f t="shared" si="109"/>
        <v>0.84140000000000015</v>
      </c>
      <c r="Z610" s="1">
        <f t="shared" si="110"/>
        <v>0</v>
      </c>
      <c r="AA610" s="1">
        <f t="shared" si="111"/>
        <v>0</v>
      </c>
      <c r="AB610" s="1">
        <f t="shared" si="112"/>
        <v>1</v>
      </c>
      <c r="AC610" s="1">
        <f t="shared" si="113"/>
        <v>1</v>
      </c>
      <c r="AD610" s="1">
        <f t="shared" si="114"/>
        <v>0</v>
      </c>
      <c r="AE610" s="1">
        <f t="shared" si="115"/>
        <v>0</v>
      </c>
      <c r="AF610" s="1">
        <f t="shared" si="116"/>
        <v>0</v>
      </c>
      <c r="AG610" s="1">
        <f t="shared" si="117"/>
        <v>1</v>
      </c>
      <c r="AH610" s="1">
        <f t="shared" si="118"/>
        <v>0</v>
      </c>
      <c r="AI610" s="1">
        <f t="shared" si="119"/>
        <v>1</v>
      </c>
      <c r="AJ610" s="1">
        <f>SUMXMY2(Z610:AI610, Occurrence!B$3:K$3)</f>
        <v>1</v>
      </c>
      <c r="AK610" s="1">
        <f t="shared" si="120"/>
        <v>9</v>
      </c>
    </row>
    <row r="611" spans="1:37">
      <c r="A611" s="1">
        <v>610</v>
      </c>
      <c r="B611" s="1">
        <v>4252609</v>
      </c>
      <c r="C611" s="6" t="s">
        <v>43</v>
      </c>
      <c r="D611" s="1">
        <v>0.03</v>
      </c>
      <c r="E611" s="1">
        <v>0.05</v>
      </c>
      <c r="F611" s="1">
        <v>0.85</v>
      </c>
      <c r="G611" s="1">
        <v>0.9</v>
      </c>
      <c r="H611" s="1">
        <v>0.45</v>
      </c>
      <c r="I611" s="1">
        <v>0.31</v>
      </c>
      <c r="J611" s="1">
        <v>0.48</v>
      </c>
      <c r="K611" s="1">
        <v>0.87</v>
      </c>
      <c r="L611" s="1">
        <v>0.39</v>
      </c>
      <c r="M611" s="1">
        <v>0.91</v>
      </c>
      <c r="N611" s="1">
        <f>(Occurrence!B$3-D611)^2</f>
        <v>8.9999999999999998E-4</v>
      </c>
      <c r="O611" s="1">
        <f>(Occurrence!C$3-E611)^2</f>
        <v>2.5000000000000005E-3</v>
      </c>
      <c r="P611" s="1">
        <f>(Occurrence!D$3-F611)^2</f>
        <v>2.2500000000000006E-2</v>
      </c>
      <c r="Q611" s="1">
        <f>(Occurrence!E$3-G611)^2</f>
        <v>9.999999999999995E-3</v>
      </c>
      <c r="R611" s="1">
        <f>(Occurrence!F$3-H611)^2</f>
        <v>0.20250000000000001</v>
      </c>
      <c r="S611" s="1">
        <f>(Occurrence!G$3-I611)^2</f>
        <v>9.6100000000000005E-2</v>
      </c>
      <c r="T611" s="1">
        <f>(Occurrence!H$3-J611)^2</f>
        <v>0.27040000000000003</v>
      </c>
      <c r="U611" s="1">
        <f>(Occurrence!I$3-K611)^2</f>
        <v>1.6900000000000002E-2</v>
      </c>
      <c r="V611" s="1">
        <f>(Occurrence!J$3-L611)^2</f>
        <v>0.15210000000000001</v>
      </c>
      <c r="W611" s="1">
        <f>(Occurrence!K$3-M611)^2</f>
        <v>8.0999999999999944E-3</v>
      </c>
      <c r="X611" s="1">
        <f t="shared" si="109"/>
        <v>0.78200000000000003</v>
      </c>
      <c r="Z611" s="1">
        <f t="shared" si="110"/>
        <v>0</v>
      </c>
      <c r="AA611" s="1">
        <f t="shared" si="111"/>
        <v>0</v>
      </c>
      <c r="AB611" s="1">
        <f t="shared" si="112"/>
        <v>1</v>
      </c>
      <c r="AC611" s="1">
        <f t="shared" si="113"/>
        <v>1</v>
      </c>
      <c r="AD611" s="1">
        <f t="shared" si="114"/>
        <v>0</v>
      </c>
      <c r="AE611" s="1">
        <f t="shared" si="115"/>
        <v>0</v>
      </c>
      <c r="AF611" s="1">
        <f t="shared" si="116"/>
        <v>0</v>
      </c>
      <c r="AG611" s="1">
        <f t="shared" si="117"/>
        <v>1</v>
      </c>
      <c r="AH611" s="1">
        <f t="shared" si="118"/>
        <v>0</v>
      </c>
      <c r="AI611" s="1">
        <f t="shared" si="119"/>
        <v>1</v>
      </c>
      <c r="AJ611" s="1">
        <f>SUMXMY2(Z611:AI611, Occurrence!B$3:K$3)</f>
        <v>1</v>
      </c>
      <c r="AK611" s="1">
        <f t="shared" si="120"/>
        <v>9</v>
      </c>
    </row>
    <row r="612" spans="1:37">
      <c r="A612" s="1">
        <v>611</v>
      </c>
      <c r="B612" s="1">
        <v>4252610</v>
      </c>
      <c r="C612" s="6" t="s">
        <v>43</v>
      </c>
      <c r="D612" s="1">
        <v>0.05</v>
      </c>
      <c r="E612" s="1">
        <v>0.1</v>
      </c>
      <c r="F612" s="1">
        <v>0.8</v>
      </c>
      <c r="G612" s="1">
        <v>0.96</v>
      </c>
      <c r="H612" s="1">
        <v>0.45</v>
      </c>
      <c r="I612" s="1">
        <v>0.48</v>
      </c>
      <c r="J612" s="1">
        <v>0.78</v>
      </c>
      <c r="K612" s="1">
        <v>0.42</v>
      </c>
      <c r="L612" s="1">
        <v>0.68</v>
      </c>
      <c r="M612" s="1">
        <v>0.52</v>
      </c>
      <c r="N612" s="1">
        <f>(Occurrence!B$3-D612)^2</f>
        <v>2.5000000000000005E-3</v>
      </c>
      <c r="O612" s="1">
        <f>(Occurrence!C$3-E612)^2</f>
        <v>1.0000000000000002E-2</v>
      </c>
      <c r="P612" s="1">
        <f>(Occurrence!D$3-F612)^2</f>
        <v>3.999999999999998E-2</v>
      </c>
      <c r="Q612" s="1">
        <f>(Occurrence!E$3-G612)^2</f>
        <v>1.6000000000000029E-3</v>
      </c>
      <c r="R612" s="1">
        <f>(Occurrence!F$3-H612)^2</f>
        <v>0.20250000000000001</v>
      </c>
      <c r="S612" s="1">
        <f>(Occurrence!G$3-I612)^2</f>
        <v>0.23039999999999999</v>
      </c>
      <c r="T612" s="1">
        <f>(Occurrence!H$3-J612)^2</f>
        <v>4.8399999999999992E-2</v>
      </c>
      <c r="U612" s="1">
        <f>(Occurrence!I$3-K612)^2</f>
        <v>0.33640000000000009</v>
      </c>
      <c r="V612" s="1">
        <f>(Occurrence!J$3-L612)^2</f>
        <v>0.46240000000000009</v>
      </c>
      <c r="W612" s="1">
        <f>(Occurrence!K$3-M612)^2</f>
        <v>0.23039999999999999</v>
      </c>
      <c r="X612" s="1">
        <f t="shared" si="109"/>
        <v>1.5646000000000002</v>
      </c>
      <c r="Z612" s="1">
        <f t="shared" si="110"/>
        <v>0</v>
      </c>
      <c r="AA612" s="1">
        <f t="shared" si="111"/>
        <v>0</v>
      </c>
      <c r="AB612" s="1">
        <f t="shared" si="112"/>
        <v>1</v>
      </c>
      <c r="AC612" s="1">
        <f t="shared" si="113"/>
        <v>1</v>
      </c>
      <c r="AD612" s="1">
        <f t="shared" si="114"/>
        <v>0</v>
      </c>
      <c r="AE612" s="1">
        <f t="shared" si="115"/>
        <v>0</v>
      </c>
      <c r="AF612" s="1">
        <f t="shared" si="116"/>
        <v>1</v>
      </c>
      <c r="AG612" s="1">
        <f t="shared" si="117"/>
        <v>0</v>
      </c>
      <c r="AH612" s="1">
        <f t="shared" si="118"/>
        <v>1</v>
      </c>
      <c r="AI612" s="1">
        <f t="shared" si="119"/>
        <v>1</v>
      </c>
      <c r="AJ612" s="1">
        <f>SUMXMY2(Z612:AI612, Occurrence!B$3:K$3)</f>
        <v>2</v>
      </c>
      <c r="AK612" s="1">
        <f t="shared" si="120"/>
        <v>8</v>
      </c>
    </row>
    <row r="613" spans="1:37">
      <c r="A613" s="1">
        <v>612</v>
      </c>
      <c r="B613" s="1">
        <v>4252611</v>
      </c>
      <c r="C613" s="6" t="s">
        <v>43</v>
      </c>
      <c r="D613" s="1">
        <v>0.2</v>
      </c>
      <c r="E613" s="1">
        <v>0.45</v>
      </c>
      <c r="F613" s="1">
        <v>0.32</v>
      </c>
      <c r="G613" s="1">
        <v>0.26</v>
      </c>
      <c r="H613" s="1">
        <v>0.18</v>
      </c>
      <c r="I613" s="1">
        <v>0.78</v>
      </c>
      <c r="J613" s="1">
        <v>0.37</v>
      </c>
      <c r="K613" s="1">
        <v>0.87</v>
      </c>
      <c r="L613" s="1">
        <v>0.49</v>
      </c>
      <c r="M613" s="1">
        <v>0.68</v>
      </c>
      <c r="N613" s="1">
        <f>(Occurrence!B$3-D613)^2</f>
        <v>4.0000000000000008E-2</v>
      </c>
      <c r="O613" s="1">
        <f>(Occurrence!C$3-E613)^2</f>
        <v>0.20250000000000001</v>
      </c>
      <c r="P613" s="1">
        <f>(Occurrence!D$3-F613)^2</f>
        <v>0.46239999999999992</v>
      </c>
      <c r="Q613" s="1">
        <f>(Occurrence!E$3-G613)^2</f>
        <v>0.54759999999999998</v>
      </c>
      <c r="R613" s="1">
        <f>(Occurrence!F$3-H613)^2</f>
        <v>3.2399999999999998E-2</v>
      </c>
      <c r="S613" s="1">
        <f>(Occurrence!G$3-I613)^2</f>
        <v>0.60840000000000005</v>
      </c>
      <c r="T613" s="1">
        <f>(Occurrence!H$3-J613)^2</f>
        <v>0.39690000000000003</v>
      </c>
      <c r="U613" s="1">
        <f>(Occurrence!I$3-K613)^2</f>
        <v>1.6900000000000002E-2</v>
      </c>
      <c r="V613" s="1">
        <f>(Occurrence!J$3-L613)^2</f>
        <v>0.24009999999999998</v>
      </c>
      <c r="W613" s="1">
        <f>(Occurrence!K$3-M613)^2</f>
        <v>0.10239999999999996</v>
      </c>
      <c r="X613" s="1">
        <f t="shared" si="109"/>
        <v>2.6496</v>
      </c>
      <c r="Z613" s="1">
        <f t="shared" si="110"/>
        <v>0</v>
      </c>
      <c r="AA613" s="1">
        <f t="shared" si="111"/>
        <v>0</v>
      </c>
      <c r="AB613" s="1">
        <f t="shared" si="112"/>
        <v>0</v>
      </c>
      <c r="AC613" s="1">
        <f t="shared" si="113"/>
        <v>0</v>
      </c>
      <c r="AD613" s="1">
        <f t="shared" si="114"/>
        <v>0</v>
      </c>
      <c r="AE613" s="1">
        <f t="shared" si="115"/>
        <v>1</v>
      </c>
      <c r="AF613" s="1">
        <f t="shared" si="116"/>
        <v>0</v>
      </c>
      <c r="AG613" s="1">
        <f t="shared" si="117"/>
        <v>1</v>
      </c>
      <c r="AH613" s="1">
        <f t="shared" si="118"/>
        <v>0</v>
      </c>
      <c r="AI613" s="1">
        <f t="shared" si="119"/>
        <v>1</v>
      </c>
      <c r="AJ613" s="1">
        <f>SUMXMY2(Z613:AI613, Occurrence!B$3:K$3)</f>
        <v>4</v>
      </c>
      <c r="AK613" s="1">
        <f t="shared" si="120"/>
        <v>6</v>
      </c>
    </row>
    <row r="614" spans="1:37">
      <c r="A614" s="1">
        <v>613</v>
      </c>
      <c r="B614" s="1">
        <v>4252612</v>
      </c>
      <c r="C614" s="6" t="s">
        <v>43</v>
      </c>
      <c r="D614" s="1">
        <v>5.0000000000000001E-3</v>
      </c>
      <c r="E614" s="1">
        <v>0.01</v>
      </c>
      <c r="F614" s="1">
        <v>0.3</v>
      </c>
      <c r="G614" s="1">
        <v>0.6</v>
      </c>
      <c r="H614" s="1">
        <v>0.9</v>
      </c>
      <c r="I614" s="1">
        <v>0.4</v>
      </c>
      <c r="J614" s="1">
        <v>0.19</v>
      </c>
      <c r="K614" s="1">
        <v>0.6</v>
      </c>
      <c r="L614" s="1">
        <v>0.7</v>
      </c>
      <c r="M614" s="1">
        <v>0.45</v>
      </c>
      <c r="N614" s="1">
        <f>(Occurrence!B$3-D614)^2</f>
        <v>2.5000000000000001E-5</v>
      </c>
      <c r="O614" s="1">
        <f>(Occurrence!C$3-E614)^2</f>
        <v>1E-4</v>
      </c>
      <c r="P614" s="1">
        <f>(Occurrence!D$3-F614)^2</f>
        <v>0.48999999999999994</v>
      </c>
      <c r="Q614" s="1">
        <f>(Occurrence!E$3-G614)^2</f>
        <v>0.16000000000000003</v>
      </c>
      <c r="R614" s="1">
        <f>(Occurrence!F$3-H614)^2</f>
        <v>0.81</v>
      </c>
      <c r="S614" s="1">
        <f>(Occurrence!G$3-I614)^2</f>
        <v>0.16000000000000003</v>
      </c>
      <c r="T614" s="1">
        <f>(Occurrence!H$3-J614)^2</f>
        <v>0.65610000000000013</v>
      </c>
      <c r="U614" s="1">
        <f>(Occurrence!I$3-K614)^2</f>
        <v>0.16000000000000003</v>
      </c>
      <c r="V614" s="1">
        <f>(Occurrence!J$3-L614)^2</f>
        <v>0.48999999999999994</v>
      </c>
      <c r="W614" s="1">
        <f>(Occurrence!K$3-M614)^2</f>
        <v>0.30250000000000005</v>
      </c>
      <c r="X614" s="1">
        <f t="shared" si="109"/>
        <v>3.2287250000000003</v>
      </c>
      <c r="Z614" s="1">
        <f t="shared" si="110"/>
        <v>0</v>
      </c>
      <c r="AA614" s="1">
        <f t="shared" si="111"/>
        <v>0</v>
      </c>
      <c r="AB614" s="1">
        <f t="shared" si="112"/>
        <v>0</v>
      </c>
      <c r="AC614" s="1">
        <f t="shared" si="113"/>
        <v>1</v>
      </c>
      <c r="AD614" s="1">
        <f t="shared" si="114"/>
        <v>1</v>
      </c>
      <c r="AE614" s="1">
        <f t="shared" si="115"/>
        <v>0</v>
      </c>
      <c r="AF614" s="1">
        <f t="shared" si="116"/>
        <v>0</v>
      </c>
      <c r="AG614" s="1">
        <f t="shared" si="117"/>
        <v>1</v>
      </c>
      <c r="AH614" s="1">
        <f t="shared" si="118"/>
        <v>1</v>
      </c>
      <c r="AI614" s="1">
        <f t="shared" si="119"/>
        <v>0</v>
      </c>
      <c r="AJ614" s="1">
        <f>SUMXMY2(Z614:AI614, Occurrence!B$3:K$3)</f>
        <v>5</v>
      </c>
      <c r="AK614" s="1">
        <f t="shared" si="120"/>
        <v>5</v>
      </c>
    </row>
    <row r="615" spans="1:37">
      <c r="A615" s="1">
        <v>614</v>
      </c>
      <c r="B615" s="1">
        <v>4252613</v>
      </c>
      <c r="C615" s="6" t="s">
        <v>43</v>
      </c>
      <c r="D615" s="1">
        <v>0.01</v>
      </c>
      <c r="E615" s="1">
        <v>0.09</v>
      </c>
      <c r="F615" s="1">
        <v>0.5</v>
      </c>
      <c r="G615" s="1">
        <v>0.8</v>
      </c>
      <c r="H615" s="1">
        <v>0.7</v>
      </c>
      <c r="I615" s="1">
        <v>0.6</v>
      </c>
      <c r="J615" s="1">
        <v>0.8</v>
      </c>
      <c r="K615" s="1">
        <v>0.2</v>
      </c>
      <c r="L615" s="1">
        <v>0.15</v>
      </c>
      <c r="M615" s="1">
        <v>0.51</v>
      </c>
      <c r="N615" s="1">
        <f>(Occurrence!B$3-D615)^2</f>
        <v>1E-4</v>
      </c>
      <c r="O615" s="1">
        <f>(Occurrence!C$3-E615)^2</f>
        <v>8.0999999999999996E-3</v>
      </c>
      <c r="P615" s="1">
        <f>(Occurrence!D$3-F615)^2</f>
        <v>0.25</v>
      </c>
      <c r="Q615" s="1">
        <f>(Occurrence!E$3-G615)^2</f>
        <v>3.999999999999998E-2</v>
      </c>
      <c r="R615" s="1">
        <f>(Occurrence!F$3-H615)^2</f>
        <v>0.48999999999999994</v>
      </c>
      <c r="S615" s="1">
        <f>(Occurrence!G$3-I615)^2</f>
        <v>0.36</v>
      </c>
      <c r="T615" s="1">
        <f>(Occurrence!H$3-J615)^2</f>
        <v>3.999999999999998E-2</v>
      </c>
      <c r="U615" s="1">
        <f>(Occurrence!I$3-K615)^2</f>
        <v>0.64000000000000012</v>
      </c>
      <c r="V615" s="1">
        <f>(Occurrence!J$3-L615)^2</f>
        <v>2.2499999999999999E-2</v>
      </c>
      <c r="W615" s="1">
        <f>(Occurrence!K$3-M615)^2</f>
        <v>0.24009999999999998</v>
      </c>
      <c r="X615" s="1">
        <f t="shared" si="109"/>
        <v>2.0907999999999998</v>
      </c>
      <c r="Z615" s="1">
        <f t="shared" si="110"/>
        <v>0</v>
      </c>
      <c r="AA615" s="1">
        <f t="shared" si="111"/>
        <v>0</v>
      </c>
      <c r="AB615" s="1">
        <f t="shared" si="112"/>
        <v>1</v>
      </c>
      <c r="AC615" s="1">
        <f t="shared" si="113"/>
        <v>1</v>
      </c>
      <c r="AD615" s="1">
        <f t="shared" si="114"/>
        <v>1</v>
      </c>
      <c r="AE615" s="1">
        <f t="shared" si="115"/>
        <v>1</v>
      </c>
      <c r="AF615" s="1">
        <f t="shared" si="116"/>
        <v>1</v>
      </c>
      <c r="AG615" s="1">
        <f t="shared" si="117"/>
        <v>0</v>
      </c>
      <c r="AH615" s="1">
        <f t="shared" si="118"/>
        <v>0</v>
      </c>
      <c r="AI615" s="1">
        <f t="shared" si="119"/>
        <v>1</v>
      </c>
      <c r="AJ615" s="1">
        <f>SUMXMY2(Z615:AI615, Occurrence!B$3:K$3)</f>
        <v>3</v>
      </c>
      <c r="AK615" s="1">
        <f t="shared" si="120"/>
        <v>7</v>
      </c>
    </row>
    <row r="616" spans="1:37">
      <c r="A616" s="1">
        <v>615</v>
      </c>
      <c r="B616" s="1">
        <v>4252614</v>
      </c>
      <c r="C616" s="6" t="s">
        <v>43</v>
      </c>
      <c r="D616" s="1">
        <v>0.03</v>
      </c>
      <c r="E616" s="1">
        <v>0.1</v>
      </c>
      <c r="F616" s="1">
        <v>0.65</v>
      </c>
      <c r="G616" s="1">
        <v>0.94</v>
      </c>
      <c r="H616" s="1">
        <v>0.32</v>
      </c>
      <c r="I616" s="1">
        <v>0.03</v>
      </c>
      <c r="J616" s="1">
        <v>0.45</v>
      </c>
      <c r="K616" s="1">
        <v>0.9</v>
      </c>
      <c r="L616" s="1">
        <v>0.05</v>
      </c>
      <c r="M616" s="1">
        <v>0.7</v>
      </c>
      <c r="N616" s="1">
        <f>(Occurrence!B$3-D616)^2</f>
        <v>8.9999999999999998E-4</v>
      </c>
      <c r="O616" s="1">
        <f>(Occurrence!C$3-E616)^2</f>
        <v>1.0000000000000002E-2</v>
      </c>
      <c r="P616" s="1">
        <f>(Occurrence!D$3-F616)^2</f>
        <v>0.12249999999999998</v>
      </c>
      <c r="Q616" s="1">
        <f>(Occurrence!E$3-G616)^2</f>
        <v>3.6000000000000064E-3</v>
      </c>
      <c r="R616" s="1">
        <f>(Occurrence!F$3-H616)^2</f>
        <v>0.1024</v>
      </c>
      <c r="S616" s="1">
        <f>(Occurrence!G$3-I616)^2</f>
        <v>8.9999999999999998E-4</v>
      </c>
      <c r="T616" s="1">
        <f>(Occurrence!H$3-J616)^2</f>
        <v>0.30250000000000005</v>
      </c>
      <c r="U616" s="1">
        <f>(Occurrence!I$3-K616)^2</f>
        <v>9.999999999999995E-3</v>
      </c>
      <c r="V616" s="1">
        <f>(Occurrence!J$3-L616)^2</f>
        <v>2.5000000000000005E-3</v>
      </c>
      <c r="W616" s="1">
        <f>(Occurrence!K$3-M616)^2</f>
        <v>9.0000000000000024E-2</v>
      </c>
      <c r="X616" s="1">
        <f t="shared" si="109"/>
        <v>0.64529999999999998</v>
      </c>
      <c r="Z616" s="1">
        <f t="shared" si="110"/>
        <v>0</v>
      </c>
      <c r="AA616" s="1">
        <f t="shared" si="111"/>
        <v>0</v>
      </c>
      <c r="AB616" s="1">
        <f t="shared" si="112"/>
        <v>1</v>
      </c>
      <c r="AC616" s="1">
        <f t="shared" si="113"/>
        <v>1</v>
      </c>
      <c r="AD616" s="1">
        <f t="shared" si="114"/>
        <v>0</v>
      </c>
      <c r="AE616" s="1">
        <f t="shared" si="115"/>
        <v>0</v>
      </c>
      <c r="AF616" s="1">
        <f t="shared" si="116"/>
        <v>0</v>
      </c>
      <c r="AG616" s="1">
        <f t="shared" si="117"/>
        <v>1</v>
      </c>
      <c r="AH616" s="1">
        <f t="shared" si="118"/>
        <v>0</v>
      </c>
      <c r="AI616" s="1">
        <f t="shared" si="119"/>
        <v>1</v>
      </c>
      <c r="AJ616" s="1">
        <f>SUMXMY2(Z616:AI616, Occurrence!B$3:K$3)</f>
        <v>1</v>
      </c>
      <c r="AK616" s="1">
        <f t="shared" si="120"/>
        <v>9</v>
      </c>
    </row>
    <row r="617" spans="1:37">
      <c r="A617" s="1">
        <v>616</v>
      </c>
      <c r="B617" s="1">
        <v>4252615</v>
      </c>
      <c r="C617" s="6" t="s">
        <v>43</v>
      </c>
      <c r="D617" s="1">
        <v>5.0000000000000001E-3</v>
      </c>
      <c r="E617" s="1">
        <v>0.01</v>
      </c>
      <c r="F617" s="1">
        <v>0.9</v>
      </c>
      <c r="G617" s="1">
        <v>0.95</v>
      </c>
      <c r="H617" s="1">
        <v>0.2</v>
      </c>
      <c r="I617" s="1">
        <v>0.6</v>
      </c>
      <c r="J617" s="1">
        <v>0.55000000000000004</v>
      </c>
      <c r="K617" s="1">
        <v>0.45</v>
      </c>
      <c r="L617" s="1">
        <v>0.7</v>
      </c>
      <c r="M617" s="1">
        <v>0.33</v>
      </c>
      <c r="N617" s="1">
        <f>(Occurrence!B$3-D617)^2</f>
        <v>2.5000000000000001E-5</v>
      </c>
      <c r="O617" s="1">
        <f>(Occurrence!C$3-E617)^2</f>
        <v>1E-4</v>
      </c>
      <c r="P617" s="1">
        <f>(Occurrence!D$3-F617)^2</f>
        <v>9.999999999999995E-3</v>
      </c>
      <c r="Q617" s="1">
        <f>(Occurrence!E$3-G617)^2</f>
        <v>2.5000000000000044E-3</v>
      </c>
      <c r="R617" s="1">
        <f>(Occurrence!F$3-H617)^2</f>
        <v>4.0000000000000008E-2</v>
      </c>
      <c r="S617" s="1">
        <f>(Occurrence!G$3-I617)^2</f>
        <v>0.36</v>
      </c>
      <c r="T617" s="1">
        <f>(Occurrence!H$3-J617)^2</f>
        <v>0.20249999999999996</v>
      </c>
      <c r="U617" s="1">
        <f>(Occurrence!I$3-K617)^2</f>
        <v>0.30250000000000005</v>
      </c>
      <c r="V617" s="1">
        <f>(Occurrence!J$3-L617)^2</f>
        <v>0.48999999999999994</v>
      </c>
      <c r="W617" s="1">
        <f>(Occurrence!K$3-M617)^2</f>
        <v>0.44889999999999991</v>
      </c>
      <c r="X617" s="1">
        <f t="shared" si="109"/>
        <v>1.8565249999999998</v>
      </c>
      <c r="Z617" s="1">
        <f t="shared" si="110"/>
        <v>0</v>
      </c>
      <c r="AA617" s="1">
        <f t="shared" si="111"/>
        <v>0</v>
      </c>
      <c r="AB617" s="1">
        <f t="shared" si="112"/>
        <v>1</v>
      </c>
      <c r="AC617" s="1">
        <f t="shared" si="113"/>
        <v>1</v>
      </c>
      <c r="AD617" s="1">
        <f t="shared" si="114"/>
        <v>0</v>
      </c>
      <c r="AE617" s="1">
        <f t="shared" si="115"/>
        <v>1</v>
      </c>
      <c r="AF617" s="1">
        <f t="shared" si="116"/>
        <v>1</v>
      </c>
      <c r="AG617" s="1">
        <f t="shared" si="117"/>
        <v>0</v>
      </c>
      <c r="AH617" s="1">
        <f t="shared" si="118"/>
        <v>1</v>
      </c>
      <c r="AI617" s="1">
        <f t="shared" si="119"/>
        <v>0</v>
      </c>
      <c r="AJ617" s="1">
        <f>SUMXMY2(Z617:AI617, Occurrence!B$3:K$3)</f>
        <v>4</v>
      </c>
      <c r="AK617" s="1">
        <f t="shared" si="120"/>
        <v>6</v>
      </c>
    </row>
    <row r="618" spans="1:37">
      <c r="A618" s="1">
        <v>617</v>
      </c>
      <c r="B618" s="1">
        <v>4252616</v>
      </c>
      <c r="C618" s="6" t="s">
        <v>43</v>
      </c>
      <c r="D618" s="1">
        <v>0.03</v>
      </c>
      <c r="E618" s="1">
        <v>0.05</v>
      </c>
      <c r="F618" s="1">
        <v>0.65</v>
      </c>
      <c r="G618" s="1">
        <v>0.75</v>
      </c>
      <c r="H618" s="1">
        <v>0.8</v>
      </c>
      <c r="I618" s="1">
        <v>0.46</v>
      </c>
      <c r="J618" s="1">
        <v>0.92</v>
      </c>
      <c r="K618" s="1">
        <v>0.36</v>
      </c>
      <c r="L618" s="1">
        <v>0.27</v>
      </c>
      <c r="M618" s="1">
        <v>0.16</v>
      </c>
      <c r="N618" s="1">
        <f>(Occurrence!B$3-D618)^2</f>
        <v>8.9999999999999998E-4</v>
      </c>
      <c r="O618" s="1">
        <f>(Occurrence!C$3-E618)^2</f>
        <v>2.5000000000000005E-3</v>
      </c>
      <c r="P618" s="1">
        <f>(Occurrence!D$3-F618)^2</f>
        <v>0.12249999999999998</v>
      </c>
      <c r="Q618" s="1">
        <f>(Occurrence!E$3-G618)^2</f>
        <v>6.25E-2</v>
      </c>
      <c r="R618" s="1">
        <f>(Occurrence!F$3-H618)^2</f>
        <v>0.64000000000000012</v>
      </c>
      <c r="S618" s="1">
        <f>(Occurrence!G$3-I618)^2</f>
        <v>0.21160000000000001</v>
      </c>
      <c r="T618" s="1">
        <f>(Occurrence!H$3-J618)^2</f>
        <v>6.3999999999999934E-3</v>
      </c>
      <c r="U618" s="1">
        <f>(Occurrence!I$3-K618)^2</f>
        <v>0.40960000000000002</v>
      </c>
      <c r="V618" s="1">
        <f>(Occurrence!J$3-L618)^2</f>
        <v>7.2900000000000006E-2</v>
      </c>
      <c r="W618" s="1">
        <f>(Occurrence!K$3-M618)^2</f>
        <v>0.70559999999999989</v>
      </c>
      <c r="X618" s="1">
        <f t="shared" si="109"/>
        <v>2.2344999999999997</v>
      </c>
      <c r="Z618" s="1">
        <f t="shared" si="110"/>
        <v>0</v>
      </c>
      <c r="AA618" s="1">
        <f t="shared" si="111"/>
        <v>0</v>
      </c>
      <c r="AB618" s="1">
        <f t="shared" si="112"/>
        <v>1</v>
      </c>
      <c r="AC618" s="1">
        <f t="shared" si="113"/>
        <v>1</v>
      </c>
      <c r="AD618" s="1">
        <f t="shared" si="114"/>
        <v>1</v>
      </c>
      <c r="AE618" s="1">
        <f t="shared" si="115"/>
        <v>0</v>
      </c>
      <c r="AF618" s="1">
        <f t="shared" si="116"/>
        <v>1</v>
      </c>
      <c r="AG618" s="1">
        <f t="shared" si="117"/>
        <v>0</v>
      </c>
      <c r="AH618" s="1">
        <f t="shared" si="118"/>
        <v>0</v>
      </c>
      <c r="AI618" s="1">
        <f t="shared" si="119"/>
        <v>0</v>
      </c>
      <c r="AJ618" s="1">
        <f>SUMXMY2(Z618:AI618, Occurrence!B$3:K$3)</f>
        <v>3</v>
      </c>
      <c r="AK618" s="1">
        <f t="shared" si="120"/>
        <v>7</v>
      </c>
    </row>
    <row r="619" spans="1:37">
      <c r="A619" s="1">
        <v>618</v>
      </c>
      <c r="B619" s="1">
        <v>4252617</v>
      </c>
      <c r="C619" s="6" t="s">
        <v>43</v>
      </c>
      <c r="D619" s="1">
        <v>0.03</v>
      </c>
      <c r="E619" s="1">
        <v>0.05</v>
      </c>
      <c r="F619" s="1">
        <v>0.3</v>
      </c>
      <c r="G619" s="1">
        <v>0.75</v>
      </c>
      <c r="H619" s="1">
        <v>0.8</v>
      </c>
      <c r="I619" s="1">
        <v>0.6</v>
      </c>
      <c r="J619" s="1">
        <v>0.4</v>
      </c>
      <c r="K619" s="1">
        <v>0.65</v>
      </c>
      <c r="L619" s="1">
        <v>0.3</v>
      </c>
      <c r="M619" s="1">
        <v>0.55000000000000004</v>
      </c>
      <c r="N619" s="1">
        <f>(Occurrence!B$3-D619)^2</f>
        <v>8.9999999999999998E-4</v>
      </c>
      <c r="O619" s="1">
        <f>(Occurrence!C$3-E619)^2</f>
        <v>2.5000000000000005E-3</v>
      </c>
      <c r="P619" s="1">
        <f>(Occurrence!D$3-F619)^2</f>
        <v>0.48999999999999994</v>
      </c>
      <c r="Q619" s="1">
        <f>(Occurrence!E$3-G619)^2</f>
        <v>6.25E-2</v>
      </c>
      <c r="R619" s="1">
        <f>(Occurrence!F$3-H619)^2</f>
        <v>0.64000000000000012</v>
      </c>
      <c r="S619" s="1">
        <f>(Occurrence!G$3-I619)^2</f>
        <v>0.36</v>
      </c>
      <c r="T619" s="1">
        <f>(Occurrence!H$3-J619)^2</f>
        <v>0.36</v>
      </c>
      <c r="U619" s="1">
        <f>(Occurrence!I$3-K619)^2</f>
        <v>0.12249999999999998</v>
      </c>
      <c r="V619" s="1">
        <f>(Occurrence!J$3-L619)^2</f>
        <v>0.09</v>
      </c>
      <c r="W619" s="1">
        <f>(Occurrence!K$3-M619)^2</f>
        <v>0.20249999999999996</v>
      </c>
      <c r="X619" s="1">
        <f t="shared" si="109"/>
        <v>2.3308999999999997</v>
      </c>
      <c r="Z619" s="1">
        <f t="shared" si="110"/>
        <v>0</v>
      </c>
      <c r="AA619" s="1">
        <f t="shared" si="111"/>
        <v>0</v>
      </c>
      <c r="AB619" s="1">
        <f t="shared" si="112"/>
        <v>0</v>
      </c>
      <c r="AC619" s="1">
        <f t="shared" si="113"/>
        <v>1</v>
      </c>
      <c r="AD619" s="1">
        <f t="shared" si="114"/>
        <v>1</v>
      </c>
      <c r="AE619" s="1">
        <f t="shared" si="115"/>
        <v>1</v>
      </c>
      <c r="AF619" s="1">
        <f t="shared" si="116"/>
        <v>0</v>
      </c>
      <c r="AG619" s="1">
        <f t="shared" si="117"/>
        <v>1</v>
      </c>
      <c r="AH619" s="1">
        <f t="shared" si="118"/>
        <v>0</v>
      </c>
      <c r="AI619" s="1">
        <f t="shared" si="119"/>
        <v>1</v>
      </c>
      <c r="AJ619" s="1">
        <f>SUMXMY2(Z619:AI619, Occurrence!B$3:K$3)</f>
        <v>4</v>
      </c>
      <c r="AK619" s="1">
        <f t="shared" si="120"/>
        <v>6</v>
      </c>
    </row>
    <row r="620" spans="1:37">
      <c r="A620" s="1">
        <v>619</v>
      </c>
      <c r="B620" s="1">
        <v>4252618</v>
      </c>
      <c r="C620" s="6" t="s">
        <v>43</v>
      </c>
      <c r="D620" s="1">
        <v>0.12</v>
      </c>
      <c r="E620" s="1">
        <v>0.2</v>
      </c>
      <c r="F620" s="1">
        <v>0.85</v>
      </c>
      <c r="G620" s="1">
        <v>0.97</v>
      </c>
      <c r="H620" s="1">
        <v>0</v>
      </c>
      <c r="I620" s="1">
        <v>0.01</v>
      </c>
      <c r="J620" s="1">
        <v>0.77</v>
      </c>
      <c r="K620" s="1">
        <v>0.45</v>
      </c>
      <c r="L620" s="1">
        <v>0.94</v>
      </c>
      <c r="M620" s="1">
        <v>0.55000000000000004</v>
      </c>
      <c r="N620" s="1">
        <f>(Occurrence!B$3-D620)^2</f>
        <v>1.44E-2</v>
      </c>
      <c r="O620" s="1">
        <f>(Occurrence!C$3-E620)^2</f>
        <v>4.0000000000000008E-2</v>
      </c>
      <c r="P620" s="1">
        <f>(Occurrence!D$3-F620)^2</f>
        <v>2.2500000000000006E-2</v>
      </c>
      <c r="Q620" s="1">
        <f>(Occurrence!E$3-G620)^2</f>
        <v>9.000000000000016E-4</v>
      </c>
      <c r="R620" s="1">
        <f>(Occurrence!F$3-H620)^2</f>
        <v>0</v>
      </c>
      <c r="S620" s="1">
        <f>(Occurrence!G$3-I620)^2</f>
        <v>1E-4</v>
      </c>
      <c r="T620" s="1">
        <f>(Occurrence!H$3-J620)^2</f>
        <v>5.2899999999999989E-2</v>
      </c>
      <c r="U620" s="1">
        <f>(Occurrence!I$3-K620)^2</f>
        <v>0.30250000000000005</v>
      </c>
      <c r="V620" s="1">
        <f>(Occurrence!J$3-L620)^2</f>
        <v>0.88359999999999994</v>
      </c>
      <c r="W620" s="1">
        <f>(Occurrence!K$3-M620)^2</f>
        <v>0.20249999999999996</v>
      </c>
      <c r="X620" s="1">
        <f t="shared" si="109"/>
        <v>1.5193999999999999</v>
      </c>
      <c r="Z620" s="1">
        <f t="shared" si="110"/>
        <v>0</v>
      </c>
      <c r="AA620" s="1">
        <f t="shared" si="111"/>
        <v>0</v>
      </c>
      <c r="AB620" s="1">
        <f t="shared" si="112"/>
        <v>1</v>
      </c>
      <c r="AC620" s="1">
        <f t="shared" si="113"/>
        <v>1</v>
      </c>
      <c r="AD620" s="1">
        <f t="shared" si="114"/>
        <v>0</v>
      </c>
      <c r="AE620" s="1">
        <f t="shared" si="115"/>
        <v>0</v>
      </c>
      <c r="AF620" s="1">
        <f t="shared" si="116"/>
        <v>1</v>
      </c>
      <c r="AG620" s="1">
        <f t="shared" si="117"/>
        <v>0</v>
      </c>
      <c r="AH620" s="1">
        <f t="shared" si="118"/>
        <v>1</v>
      </c>
      <c r="AI620" s="1">
        <f t="shared" si="119"/>
        <v>1</v>
      </c>
      <c r="AJ620" s="1">
        <f>SUMXMY2(Z620:AI620, Occurrence!B$3:K$3)</f>
        <v>2</v>
      </c>
      <c r="AK620" s="1">
        <f t="shared" si="120"/>
        <v>8</v>
      </c>
    </row>
    <row r="621" spans="1:37">
      <c r="A621" s="1">
        <v>620</v>
      </c>
      <c r="B621" s="1">
        <v>4252619</v>
      </c>
      <c r="C621" s="6" t="s">
        <v>43</v>
      </c>
      <c r="D621" s="1">
        <v>0.05</v>
      </c>
      <c r="E621" s="1">
        <v>0.5</v>
      </c>
      <c r="F621" s="1">
        <v>0.8</v>
      </c>
      <c r="G621" s="1">
        <v>0.9</v>
      </c>
      <c r="H621" s="1">
        <v>0.4</v>
      </c>
      <c r="I621" s="1">
        <v>0.3</v>
      </c>
      <c r="J621" s="1">
        <v>0.5</v>
      </c>
      <c r="K621" s="1">
        <v>0.75</v>
      </c>
      <c r="L621" s="1">
        <v>0.86</v>
      </c>
      <c r="M621" s="1">
        <v>0.9</v>
      </c>
      <c r="N621" s="1">
        <f>(Occurrence!B$3-D621)^2</f>
        <v>2.5000000000000005E-3</v>
      </c>
      <c r="O621" s="1">
        <f>(Occurrence!C$3-E621)^2</f>
        <v>0.25</v>
      </c>
      <c r="P621" s="1">
        <f>(Occurrence!D$3-F621)^2</f>
        <v>3.999999999999998E-2</v>
      </c>
      <c r="Q621" s="1">
        <f>(Occurrence!E$3-G621)^2</f>
        <v>9.999999999999995E-3</v>
      </c>
      <c r="R621" s="1">
        <f>(Occurrence!F$3-H621)^2</f>
        <v>0.16000000000000003</v>
      </c>
      <c r="S621" s="1">
        <f>(Occurrence!G$3-I621)^2</f>
        <v>0.09</v>
      </c>
      <c r="T621" s="1">
        <f>(Occurrence!H$3-J621)^2</f>
        <v>0.25</v>
      </c>
      <c r="U621" s="1">
        <f>(Occurrence!I$3-K621)^2</f>
        <v>6.25E-2</v>
      </c>
      <c r="V621" s="1">
        <f>(Occurrence!J$3-L621)^2</f>
        <v>0.73959999999999992</v>
      </c>
      <c r="W621" s="1">
        <f>(Occurrence!K$3-M621)^2</f>
        <v>9.999999999999995E-3</v>
      </c>
      <c r="X621" s="1">
        <f t="shared" si="109"/>
        <v>1.6146</v>
      </c>
      <c r="Z621" s="1">
        <f t="shared" si="110"/>
        <v>0</v>
      </c>
      <c r="AA621" s="1">
        <f t="shared" si="111"/>
        <v>1</v>
      </c>
      <c r="AB621" s="1">
        <f t="shared" si="112"/>
        <v>1</v>
      </c>
      <c r="AC621" s="1">
        <f t="shared" si="113"/>
        <v>1</v>
      </c>
      <c r="AD621" s="1">
        <f t="shared" si="114"/>
        <v>0</v>
      </c>
      <c r="AE621" s="1">
        <f t="shared" si="115"/>
        <v>0</v>
      </c>
      <c r="AF621" s="1">
        <f t="shared" si="116"/>
        <v>1</v>
      </c>
      <c r="AG621" s="1">
        <f t="shared" si="117"/>
        <v>1</v>
      </c>
      <c r="AH621" s="1">
        <f t="shared" si="118"/>
        <v>1</v>
      </c>
      <c r="AI621" s="1">
        <f t="shared" si="119"/>
        <v>1</v>
      </c>
      <c r="AJ621" s="1">
        <f>SUMXMY2(Z621:AI621, Occurrence!B$3:K$3)</f>
        <v>2</v>
      </c>
      <c r="AK621" s="1">
        <f t="shared" si="120"/>
        <v>8</v>
      </c>
    </row>
    <row r="622" spans="1:37">
      <c r="A622" s="1">
        <v>621</v>
      </c>
      <c r="B622" s="1">
        <v>4252620</v>
      </c>
      <c r="C622" s="6" t="s">
        <v>43</v>
      </c>
      <c r="D622" s="1">
        <v>8.9999999999999993E-3</v>
      </c>
      <c r="E622" s="1">
        <v>0.01</v>
      </c>
      <c r="F622" s="1">
        <v>0.9</v>
      </c>
      <c r="G622" s="1">
        <v>0.99</v>
      </c>
      <c r="H622" s="1">
        <v>0.2</v>
      </c>
      <c r="I622" s="1">
        <v>0.4</v>
      </c>
      <c r="J622" s="1">
        <v>0.33</v>
      </c>
      <c r="K622" s="1">
        <v>0.15</v>
      </c>
      <c r="L622" s="1">
        <v>0.95</v>
      </c>
      <c r="M622" s="1">
        <v>0.4</v>
      </c>
      <c r="N622" s="1">
        <f>(Occurrence!B$3-D622)^2</f>
        <v>8.099999999999999E-5</v>
      </c>
      <c r="O622" s="1">
        <f>(Occurrence!C$3-E622)^2</f>
        <v>1E-4</v>
      </c>
      <c r="P622" s="1">
        <f>(Occurrence!D$3-F622)^2</f>
        <v>9.999999999999995E-3</v>
      </c>
      <c r="Q622" s="1">
        <f>(Occurrence!E$3-G622)^2</f>
        <v>1.0000000000000018E-4</v>
      </c>
      <c r="R622" s="1">
        <f>(Occurrence!F$3-H622)^2</f>
        <v>4.0000000000000008E-2</v>
      </c>
      <c r="S622" s="1">
        <f>(Occurrence!G$3-I622)^2</f>
        <v>0.16000000000000003</v>
      </c>
      <c r="T622" s="1">
        <f>(Occurrence!H$3-J622)^2</f>
        <v>0.44889999999999991</v>
      </c>
      <c r="U622" s="1">
        <f>(Occurrence!I$3-K622)^2</f>
        <v>0.72249999999999992</v>
      </c>
      <c r="V622" s="1">
        <f>(Occurrence!J$3-L622)^2</f>
        <v>0.90249999999999997</v>
      </c>
      <c r="W622" s="1">
        <f>(Occurrence!K$3-M622)^2</f>
        <v>0.36</v>
      </c>
      <c r="X622" s="1">
        <f t="shared" si="109"/>
        <v>2.6441809999999997</v>
      </c>
      <c r="Z622" s="1">
        <f t="shared" si="110"/>
        <v>0</v>
      </c>
      <c r="AA622" s="1">
        <f t="shared" si="111"/>
        <v>0</v>
      </c>
      <c r="AB622" s="1">
        <f t="shared" si="112"/>
        <v>1</v>
      </c>
      <c r="AC622" s="1">
        <f t="shared" si="113"/>
        <v>1</v>
      </c>
      <c r="AD622" s="1">
        <f t="shared" si="114"/>
        <v>0</v>
      </c>
      <c r="AE622" s="1">
        <f t="shared" si="115"/>
        <v>0</v>
      </c>
      <c r="AF622" s="1">
        <f t="shared" si="116"/>
        <v>0</v>
      </c>
      <c r="AG622" s="1">
        <f t="shared" si="117"/>
        <v>0</v>
      </c>
      <c r="AH622" s="1">
        <f t="shared" si="118"/>
        <v>1</v>
      </c>
      <c r="AI622" s="1">
        <f t="shared" si="119"/>
        <v>0</v>
      </c>
      <c r="AJ622" s="1">
        <f>SUMXMY2(Z622:AI622, Occurrence!B$3:K$3)</f>
        <v>4</v>
      </c>
      <c r="AK622" s="1">
        <f t="shared" si="120"/>
        <v>6</v>
      </c>
    </row>
    <row r="623" spans="1:37">
      <c r="A623" s="1">
        <v>622</v>
      </c>
      <c r="B623" s="1">
        <v>4252621</v>
      </c>
      <c r="C623" s="6" t="s">
        <v>43</v>
      </c>
      <c r="D623" s="1">
        <v>5.0000000000000001E-3</v>
      </c>
      <c r="E623" s="1">
        <v>0.01</v>
      </c>
      <c r="F623" s="1">
        <v>0.9</v>
      </c>
      <c r="G623" s="1">
        <v>0.97</v>
      </c>
      <c r="H623" s="1">
        <v>9.5000000000000001E-2</v>
      </c>
      <c r="I623" s="1">
        <v>0.6</v>
      </c>
      <c r="J623" s="1">
        <v>0.99</v>
      </c>
      <c r="K623" s="1">
        <v>0.95</v>
      </c>
      <c r="L623" s="1">
        <v>0.4</v>
      </c>
      <c r="M623" s="1">
        <v>0.45</v>
      </c>
      <c r="N623" s="1">
        <f>(Occurrence!B$3-D623)^2</f>
        <v>2.5000000000000001E-5</v>
      </c>
      <c r="O623" s="1">
        <f>(Occurrence!C$3-E623)^2</f>
        <v>1E-4</v>
      </c>
      <c r="P623" s="1">
        <f>(Occurrence!D$3-F623)^2</f>
        <v>9.999999999999995E-3</v>
      </c>
      <c r="Q623" s="1">
        <f>(Occurrence!E$3-G623)^2</f>
        <v>9.000000000000016E-4</v>
      </c>
      <c r="R623" s="1">
        <f>(Occurrence!F$3-H623)^2</f>
        <v>9.025E-3</v>
      </c>
      <c r="S623" s="1">
        <f>(Occurrence!G$3-I623)^2</f>
        <v>0.36</v>
      </c>
      <c r="T623" s="1">
        <f>(Occurrence!H$3-J623)^2</f>
        <v>1.0000000000000018E-4</v>
      </c>
      <c r="U623" s="1">
        <f>(Occurrence!I$3-K623)^2</f>
        <v>2.5000000000000044E-3</v>
      </c>
      <c r="V623" s="1">
        <f>(Occurrence!J$3-L623)^2</f>
        <v>0.16000000000000003</v>
      </c>
      <c r="W623" s="1">
        <f>(Occurrence!K$3-M623)^2</f>
        <v>0.30250000000000005</v>
      </c>
      <c r="X623" s="1">
        <f t="shared" si="109"/>
        <v>0.84515000000000007</v>
      </c>
      <c r="Z623" s="1">
        <f t="shared" si="110"/>
        <v>0</v>
      </c>
      <c r="AA623" s="1">
        <f t="shared" si="111"/>
        <v>0</v>
      </c>
      <c r="AB623" s="1">
        <f t="shared" si="112"/>
        <v>1</v>
      </c>
      <c r="AC623" s="1">
        <f t="shared" si="113"/>
        <v>1</v>
      </c>
      <c r="AD623" s="1">
        <f t="shared" si="114"/>
        <v>0</v>
      </c>
      <c r="AE623" s="1">
        <f t="shared" si="115"/>
        <v>1</v>
      </c>
      <c r="AF623" s="1">
        <f t="shared" si="116"/>
        <v>1</v>
      </c>
      <c r="AG623" s="1">
        <f t="shared" si="117"/>
        <v>1</v>
      </c>
      <c r="AH623" s="1">
        <f t="shared" si="118"/>
        <v>0</v>
      </c>
      <c r="AI623" s="1">
        <f t="shared" si="119"/>
        <v>0</v>
      </c>
      <c r="AJ623" s="1">
        <f>SUMXMY2(Z623:AI623, Occurrence!B$3:K$3)</f>
        <v>2</v>
      </c>
      <c r="AK623" s="1">
        <f t="shared" si="120"/>
        <v>8</v>
      </c>
    </row>
    <row r="624" spans="1:37">
      <c r="A624" s="1">
        <v>623</v>
      </c>
      <c r="B624" s="1">
        <v>4252622</v>
      </c>
      <c r="C624" s="6" t="s">
        <v>43</v>
      </c>
      <c r="D624" s="1">
        <v>5.0000000000000001E-3</v>
      </c>
      <c r="E624" s="1">
        <v>0.01</v>
      </c>
      <c r="F624" s="1">
        <v>0.9</v>
      </c>
      <c r="G624" s="1">
        <v>0.95</v>
      </c>
      <c r="H624" s="1">
        <v>0.85</v>
      </c>
      <c r="I624" s="1">
        <v>0.6</v>
      </c>
      <c r="J624" s="1">
        <v>0.99</v>
      </c>
      <c r="K624" s="1">
        <v>0.95</v>
      </c>
      <c r="L624" s="1">
        <v>0.5</v>
      </c>
      <c r="M624" s="1">
        <v>0.45</v>
      </c>
      <c r="N624" s="1">
        <f>(Occurrence!B$3-D624)^2</f>
        <v>2.5000000000000001E-5</v>
      </c>
      <c r="O624" s="1">
        <f>(Occurrence!C$3-E624)^2</f>
        <v>1E-4</v>
      </c>
      <c r="P624" s="1">
        <f>(Occurrence!D$3-F624)^2</f>
        <v>9.999999999999995E-3</v>
      </c>
      <c r="Q624" s="1">
        <f>(Occurrence!E$3-G624)^2</f>
        <v>2.5000000000000044E-3</v>
      </c>
      <c r="R624" s="1">
        <f>(Occurrence!F$3-H624)^2</f>
        <v>0.72249999999999992</v>
      </c>
      <c r="S624" s="1">
        <f>(Occurrence!G$3-I624)^2</f>
        <v>0.36</v>
      </c>
      <c r="T624" s="1">
        <f>(Occurrence!H$3-J624)^2</f>
        <v>1.0000000000000018E-4</v>
      </c>
      <c r="U624" s="1">
        <f>(Occurrence!I$3-K624)^2</f>
        <v>2.5000000000000044E-3</v>
      </c>
      <c r="V624" s="1">
        <f>(Occurrence!J$3-L624)^2</f>
        <v>0.25</v>
      </c>
      <c r="W624" s="1">
        <f>(Occurrence!K$3-M624)^2</f>
        <v>0.30250000000000005</v>
      </c>
      <c r="X624" s="1">
        <f t="shared" si="109"/>
        <v>1.6502249999999998</v>
      </c>
      <c r="Z624" s="1">
        <f t="shared" si="110"/>
        <v>0</v>
      </c>
      <c r="AA624" s="1">
        <f t="shared" si="111"/>
        <v>0</v>
      </c>
      <c r="AB624" s="1">
        <f t="shared" si="112"/>
        <v>1</v>
      </c>
      <c r="AC624" s="1">
        <f t="shared" si="113"/>
        <v>1</v>
      </c>
      <c r="AD624" s="1">
        <f t="shared" si="114"/>
        <v>1</v>
      </c>
      <c r="AE624" s="1">
        <f t="shared" si="115"/>
        <v>1</v>
      </c>
      <c r="AF624" s="1">
        <f t="shared" si="116"/>
        <v>1</v>
      </c>
      <c r="AG624" s="1">
        <f t="shared" si="117"/>
        <v>1</v>
      </c>
      <c r="AH624" s="1">
        <f t="shared" si="118"/>
        <v>1</v>
      </c>
      <c r="AI624" s="1">
        <f t="shared" si="119"/>
        <v>0</v>
      </c>
      <c r="AJ624" s="1">
        <f>SUMXMY2(Z624:AI624, Occurrence!B$3:K$3)</f>
        <v>4</v>
      </c>
      <c r="AK624" s="1">
        <f t="shared" si="120"/>
        <v>6</v>
      </c>
    </row>
    <row r="625" spans="1:37">
      <c r="A625" s="1">
        <v>624</v>
      </c>
      <c r="B625" s="1">
        <v>4252623</v>
      </c>
      <c r="C625" s="6" t="s">
        <v>43</v>
      </c>
      <c r="D625" s="1">
        <v>0.01</v>
      </c>
      <c r="E625" s="1">
        <v>0.05</v>
      </c>
      <c r="F625" s="1">
        <v>0.6</v>
      </c>
      <c r="G625" s="1">
        <v>0.8</v>
      </c>
      <c r="H625" s="1">
        <v>0.39</v>
      </c>
      <c r="I625" s="1">
        <v>0.01</v>
      </c>
      <c r="J625" s="1">
        <v>0.4</v>
      </c>
      <c r="K625" s="1">
        <v>0.5</v>
      </c>
      <c r="L625" s="1">
        <v>0.3</v>
      </c>
      <c r="M625" s="1">
        <v>0.3</v>
      </c>
      <c r="N625" s="1">
        <f>(Occurrence!B$3-D625)^2</f>
        <v>1E-4</v>
      </c>
      <c r="O625" s="1">
        <f>(Occurrence!C$3-E625)^2</f>
        <v>2.5000000000000005E-3</v>
      </c>
      <c r="P625" s="1">
        <f>(Occurrence!D$3-F625)^2</f>
        <v>0.16000000000000003</v>
      </c>
      <c r="Q625" s="1">
        <f>(Occurrence!E$3-G625)^2</f>
        <v>3.999999999999998E-2</v>
      </c>
      <c r="R625" s="1">
        <f>(Occurrence!F$3-H625)^2</f>
        <v>0.15210000000000001</v>
      </c>
      <c r="S625" s="1">
        <f>(Occurrence!G$3-I625)^2</f>
        <v>1E-4</v>
      </c>
      <c r="T625" s="1">
        <f>(Occurrence!H$3-J625)^2</f>
        <v>0.36</v>
      </c>
      <c r="U625" s="1">
        <f>(Occurrence!I$3-K625)^2</f>
        <v>0.25</v>
      </c>
      <c r="V625" s="1">
        <f>(Occurrence!J$3-L625)^2</f>
        <v>0.09</v>
      </c>
      <c r="W625" s="1">
        <f>(Occurrence!K$3-M625)^2</f>
        <v>0.48999999999999994</v>
      </c>
      <c r="X625" s="1">
        <f t="shared" si="109"/>
        <v>1.5448</v>
      </c>
      <c r="Z625" s="1">
        <f t="shared" si="110"/>
        <v>0</v>
      </c>
      <c r="AA625" s="1">
        <f t="shared" si="111"/>
        <v>0</v>
      </c>
      <c r="AB625" s="1">
        <f t="shared" si="112"/>
        <v>1</v>
      </c>
      <c r="AC625" s="1">
        <f t="shared" si="113"/>
        <v>1</v>
      </c>
      <c r="AD625" s="1">
        <f t="shared" si="114"/>
        <v>0</v>
      </c>
      <c r="AE625" s="1">
        <f t="shared" si="115"/>
        <v>0</v>
      </c>
      <c r="AF625" s="1">
        <f t="shared" si="116"/>
        <v>0</v>
      </c>
      <c r="AG625" s="1">
        <f t="shared" si="117"/>
        <v>1</v>
      </c>
      <c r="AH625" s="1">
        <f t="shared" si="118"/>
        <v>0</v>
      </c>
      <c r="AI625" s="1">
        <f t="shared" si="119"/>
        <v>0</v>
      </c>
      <c r="AJ625" s="1">
        <f>SUMXMY2(Z625:AI625, Occurrence!B$3:K$3)</f>
        <v>2</v>
      </c>
      <c r="AK625" s="1">
        <f t="shared" si="120"/>
        <v>8</v>
      </c>
    </row>
    <row r="626" spans="1:37">
      <c r="A626" s="1">
        <v>625</v>
      </c>
      <c r="B626" s="1">
        <v>4252624</v>
      </c>
      <c r="C626" s="6" t="s">
        <v>43</v>
      </c>
      <c r="D626" s="1">
        <v>0.1</v>
      </c>
      <c r="E626" s="1">
        <v>0.2</v>
      </c>
      <c r="F626" s="1">
        <v>0.2</v>
      </c>
      <c r="G626" s="1">
        <v>0.4</v>
      </c>
      <c r="H626" s="1">
        <v>0.6</v>
      </c>
      <c r="I626" s="1">
        <v>0.6</v>
      </c>
      <c r="J626" s="1">
        <v>0.5</v>
      </c>
      <c r="K626" s="1">
        <v>0.9</v>
      </c>
      <c r="L626" s="1">
        <v>0.25</v>
      </c>
      <c r="M626" s="1">
        <v>0.9</v>
      </c>
      <c r="N626" s="1">
        <f>(Occurrence!B$3-D626)^2</f>
        <v>1.0000000000000002E-2</v>
      </c>
      <c r="O626" s="1">
        <f>(Occurrence!C$3-E626)^2</f>
        <v>4.0000000000000008E-2</v>
      </c>
      <c r="P626" s="1">
        <f>(Occurrence!D$3-F626)^2</f>
        <v>0.64000000000000012</v>
      </c>
      <c r="Q626" s="1">
        <f>(Occurrence!E$3-G626)^2</f>
        <v>0.36</v>
      </c>
      <c r="R626" s="1">
        <f>(Occurrence!F$3-H626)^2</f>
        <v>0.36</v>
      </c>
      <c r="S626" s="1">
        <f>(Occurrence!G$3-I626)^2</f>
        <v>0.36</v>
      </c>
      <c r="T626" s="1">
        <f>(Occurrence!H$3-J626)^2</f>
        <v>0.25</v>
      </c>
      <c r="U626" s="1">
        <f>(Occurrence!I$3-K626)^2</f>
        <v>9.999999999999995E-3</v>
      </c>
      <c r="V626" s="1">
        <f>(Occurrence!J$3-L626)^2</f>
        <v>6.25E-2</v>
      </c>
      <c r="W626" s="1">
        <f>(Occurrence!K$3-M626)^2</f>
        <v>9.999999999999995E-3</v>
      </c>
      <c r="X626" s="1">
        <f t="shared" si="109"/>
        <v>2.1024999999999996</v>
      </c>
      <c r="Z626" s="1">
        <f t="shared" si="110"/>
        <v>0</v>
      </c>
      <c r="AA626" s="1">
        <f t="shared" si="111"/>
        <v>0</v>
      </c>
      <c r="AB626" s="1">
        <f t="shared" si="112"/>
        <v>0</v>
      </c>
      <c r="AC626" s="1">
        <f t="shared" si="113"/>
        <v>0</v>
      </c>
      <c r="AD626" s="1">
        <f t="shared" si="114"/>
        <v>1</v>
      </c>
      <c r="AE626" s="1">
        <f t="shared" si="115"/>
        <v>1</v>
      </c>
      <c r="AF626" s="1">
        <f t="shared" si="116"/>
        <v>1</v>
      </c>
      <c r="AG626" s="1">
        <f t="shared" si="117"/>
        <v>1</v>
      </c>
      <c r="AH626" s="1">
        <f t="shared" si="118"/>
        <v>0</v>
      </c>
      <c r="AI626" s="1">
        <f t="shared" si="119"/>
        <v>1</v>
      </c>
      <c r="AJ626" s="1">
        <f>SUMXMY2(Z626:AI626, Occurrence!B$3:K$3)</f>
        <v>4</v>
      </c>
      <c r="AK626" s="1">
        <f t="shared" si="120"/>
        <v>6</v>
      </c>
    </row>
    <row r="627" spans="1:37">
      <c r="A627" s="1">
        <v>626</v>
      </c>
      <c r="B627" s="1">
        <v>4252625</v>
      </c>
      <c r="C627" s="6" t="s">
        <v>43</v>
      </c>
      <c r="D627" s="1">
        <v>5.0000000000000001E-3</v>
      </c>
      <c r="E627" s="1">
        <v>0.01</v>
      </c>
      <c r="F627" s="1">
        <v>0.9</v>
      </c>
      <c r="G627" s="1">
        <v>0.9</v>
      </c>
      <c r="H627" s="1">
        <v>0.01</v>
      </c>
      <c r="I627" s="1">
        <v>0.7</v>
      </c>
      <c r="J627" s="1">
        <v>0.6</v>
      </c>
      <c r="K627" s="1">
        <v>0.8</v>
      </c>
      <c r="L627" s="1">
        <v>0.7</v>
      </c>
      <c r="M627" s="1">
        <v>0.85</v>
      </c>
      <c r="N627" s="1">
        <f>(Occurrence!B$3-D627)^2</f>
        <v>2.5000000000000001E-5</v>
      </c>
      <c r="O627" s="1">
        <f>(Occurrence!C$3-E627)^2</f>
        <v>1E-4</v>
      </c>
      <c r="P627" s="1">
        <f>(Occurrence!D$3-F627)^2</f>
        <v>9.999999999999995E-3</v>
      </c>
      <c r="Q627" s="1">
        <f>(Occurrence!E$3-G627)^2</f>
        <v>9.999999999999995E-3</v>
      </c>
      <c r="R627" s="1">
        <f>(Occurrence!F$3-H627)^2</f>
        <v>1E-4</v>
      </c>
      <c r="S627" s="1">
        <f>(Occurrence!G$3-I627)^2</f>
        <v>0.48999999999999994</v>
      </c>
      <c r="T627" s="1">
        <f>(Occurrence!H$3-J627)^2</f>
        <v>0.16000000000000003</v>
      </c>
      <c r="U627" s="1">
        <f>(Occurrence!I$3-K627)^2</f>
        <v>3.999999999999998E-2</v>
      </c>
      <c r="V627" s="1">
        <f>(Occurrence!J$3-L627)^2</f>
        <v>0.48999999999999994</v>
      </c>
      <c r="W627" s="1">
        <f>(Occurrence!K$3-M627)^2</f>
        <v>2.2500000000000006E-2</v>
      </c>
      <c r="X627" s="1">
        <f t="shared" si="109"/>
        <v>1.2227249999999998</v>
      </c>
      <c r="Z627" s="1">
        <f t="shared" si="110"/>
        <v>0</v>
      </c>
      <c r="AA627" s="1">
        <f t="shared" si="111"/>
        <v>0</v>
      </c>
      <c r="AB627" s="1">
        <f t="shared" si="112"/>
        <v>1</v>
      </c>
      <c r="AC627" s="1">
        <f t="shared" si="113"/>
        <v>1</v>
      </c>
      <c r="AD627" s="1">
        <f t="shared" si="114"/>
        <v>0</v>
      </c>
      <c r="AE627" s="1">
        <f t="shared" si="115"/>
        <v>1</v>
      </c>
      <c r="AF627" s="1">
        <f t="shared" si="116"/>
        <v>1</v>
      </c>
      <c r="AG627" s="1">
        <f t="shared" si="117"/>
        <v>1</v>
      </c>
      <c r="AH627" s="1">
        <f t="shared" si="118"/>
        <v>1</v>
      </c>
      <c r="AI627" s="1">
        <f t="shared" si="119"/>
        <v>1</v>
      </c>
      <c r="AJ627" s="1">
        <f>SUMXMY2(Z627:AI627, Occurrence!B$3:K$3)</f>
        <v>2</v>
      </c>
      <c r="AK627" s="1">
        <f t="shared" si="120"/>
        <v>8</v>
      </c>
    </row>
    <row r="628" spans="1:37">
      <c r="A628" s="1">
        <v>627</v>
      </c>
      <c r="B628" s="1">
        <v>4252626</v>
      </c>
      <c r="C628" s="6" t="s">
        <v>43</v>
      </c>
      <c r="D628" s="1">
        <v>0.2</v>
      </c>
      <c r="E628" s="1">
        <v>0.4</v>
      </c>
      <c r="F628" s="1">
        <v>0.2</v>
      </c>
      <c r="G628" s="1">
        <v>0.4</v>
      </c>
      <c r="H628" s="1">
        <v>0.6</v>
      </c>
      <c r="I628" s="1">
        <v>0.01</v>
      </c>
      <c r="J628" s="1">
        <v>0.4</v>
      </c>
      <c r="K628" s="1">
        <v>0.8</v>
      </c>
      <c r="L628" s="1">
        <v>0.2</v>
      </c>
      <c r="M628" s="1">
        <v>0.8</v>
      </c>
      <c r="N628" s="1">
        <f>(Occurrence!B$3-D628)^2</f>
        <v>4.0000000000000008E-2</v>
      </c>
      <c r="O628" s="1">
        <f>(Occurrence!C$3-E628)^2</f>
        <v>0.16000000000000003</v>
      </c>
      <c r="P628" s="1">
        <f>(Occurrence!D$3-F628)^2</f>
        <v>0.64000000000000012</v>
      </c>
      <c r="Q628" s="1">
        <f>(Occurrence!E$3-G628)^2</f>
        <v>0.36</v>
      </c>
      <c r="R628" s="1">
        <f>(Occurrence!F$3-H628)^2</f>
        <v>0.36</v>
      </c>
      <c r="S628" s="1">
        <f>(Occurrence!G$3-I628)^2</f>
        <v>1E-4</v>
      </c>
      <c r="T628" s="1">
        <f>(Occurrence!H$3-J628)^2</f>
        <v>0.36</v>
      </c>
      <c r="U628" s="1">
        <f>(Occurrence!I$3-K628)^2</f>
        <v>3.999999999999998E-2</v>
      </c>
      <c r="V628" s="1">
        <f>(Occurrence!J$3-L628)^2</f>
        <v>4.0000000000000008E-2</v>
      </c>
      <c r="W628" s="1">
        <f>(Occurrence!K$3-M628)^2</f>
        <v>3.999999999999998E-2</v>
      </c>
      <c r="X628" s="1">
        <f t="shared" si="109"/>
        <v>2.0401000000000002</v>
      </c>
      <c r="Z628" s="1">
        <f t="shared" si="110"/>
        <v>0</v>
      </c>
      <c r="AA628" s="1">
        <f t="shared" si="111"/>
        <v>0</v>
      </c>
      <c r="AB628" s="1">
        <f t="shared" si="112"/>
        <v>0</v>
      </c>
      <c r="AC628" s="1">
        <f t="shared" si="113"/>
        <v>0</v>
      </c>
      <c r="AD628" s="1">
        <f t="shared" si="114"/>
        <v>1</v>
      </c>
      <c r="AE628" s="1">
        <f t="shared" si="115"/>
        <v>0</v>
      </c>
      <c r="AF628" s="1">
        <f t="shared" si="116"/>
        <v>0</v>
      </c>
      <c r="AG628" s="1">
        <f t="shared" si="117"/>
        <v>1</v>
      </c>
      <c r="AH628" s="1">
        <f t="shared" si="118"/>
        <v>0</v>
      </c>
      <c r="AI628" s="1">
        <f t="shared" si="119"/>
        <v>1</v>
      </c>
      <c r="AJ628" s="1">
        <f>SUMXMY2(Z628:AI628, Occurrence!B$3:K$3)</f>
        <v>4</v>
      </c>
      <c r="AK628" s="1">
        <f t="shared" si="120"/>
        <v>6</v>
      </c>
    </row>
    <row r="629" spans="1:37">
      <c r="A629" s="1">
        <v>628</v>
      </c>
      <c r="B629" s="1">
        <v>4252627</v>
      </c>
      <c r="C629" s="6" t="s">
        <v>43</v>
      </c>
      <c r="D629" s="1">
        <v>0.06</v>
      </c>
      <c r="E629" s="1">
        <v>0.02</v>
      </c>
      <c r="F629" s="1">
        <v>0.76</v>
      </c>
      <c r="G629" s="1">
        <v>0.94</v>
      </c>
      <c r="H629" s="1">
        <v>0</v>
      </c>
      <c r="I629" s="1">
        <v>1</v>
      </c>
      <c r="J629" s="1">
        <v>1</v>
      </c>
      <c r="K629" s="1">
        <v>1</v>
      </c>
      <c r="L629" s="1">
        <v>0.02</v>
      </c>
      <c r="M629" s="1">
        <v>0.8</v>
      </c>
      <c r="N629" s="1">
        <f>(Occurrence!B$3-D629)^2</f>
        <v>3.5999999999999999E-3</v>
      </c>
      <c r="O629" s="1">
        <f>(Occurrence!C$3-E629)^2</f>
        <v>4.0000000000000002E-4</v>
      </c>
      <c r="P629" s="1">
        <f>(Occurrence!D$3-F629)^2</f>
        <v>5.7599999999999998E-2</v>
      </c>
      <c r="Q629" s="1">
        <f>(Occurrence!E$3-G629)^2</f>
        <v>3.6000000000000064E-3</v>
      </c>
      <c r="R629" s="1">
        <f>(Occurrence!F$3-H629)^2</f>
        <v>0</v>
      </c>
      <c r="S629" s="1">
        <f>(Occurrence!G$3-I629)^2</f>
        <v>1</v>
      </c>
      <c r="T629" s="1">
        <f>(Occurrence!H$3-J629)^2</f>
        <v>0</v>
      </c>
      <c r="U629" s="1">
        <f>(Occurrence!I$3-K629)^2</f>
        <v>0</v>
      </c>
      <c r="V629" s="1">
        <f>(Occurrence!J$3-L629)^2</f>
        <v>4.0000000000000002E-4</v>
      </c>
      <c r="W629" s="1">
        <f>(Occurrence!K$3-M629)^2</f>
        <v>3.999999999999998E-2</v>
      </c>
      <c r="X629" s="1">
        <f t="shared" si="109"/>
        <v>1.1055999999999999</v>
      </c>
      <c r="Z629" s="1">
        <f t="shared" si="110"/>
        <v>0</v>
      </c>
      <c r="AA629" s="1">
        <f t="shared" si="111"/>
        <v>0</v>
      </c>
      <c r="AB629" s="1">
        <f t="shared" si="112"/>
        <v>1</v>
      </c>
      <c r="AC629" s="1">
        <f t="shared" si="113"/>
        <v>1</v>
      </c>
      <c r="AD629" s="1">
        <f t="shared" si="114"/>
        <v>0</v>
      </c>
      <c r="AE629" s="1">
        <f t="shared" si="115"/>
        <v>1</v>
      </c>
      <c r="AF629" s="1">
        <f t="shared" si="116"/>
        <v>1</v>
      </c>
      <c r="AG629" s="1">
        <f t="shared" si="117"/>
        <v>1</v>
      </c>
      <c r="AH629" s="1">
        <f t="shared" si="118"/>
        <v>0</v>
      </c>
      <c r="AI629" s="1">
        <f t="shared" si="119"/>
        <v>1</v>
      </c>
      <c r="AJ629" s="1">
        <f>SUMXMY2(Z629:AI629, Occurrence!B$3:K$3)</f>
        <v>1</v>
      </c>
      <c r="AK629" s="1">
        <f t="shared" si="120"/>
        <v>9</v>
      </c>
    </row>
    <row r="630" spans="1:37">
      <c r="A630" s="1">
        <v>629</v>
      </c>
      <c r="B630" s="1">
        <v>4252628</v>
      </c>
      <c r="C630" s="6" t="s">
        <v>43</v>
      </c>
      <c r="D630" s="1">
        <v>5.0000000000000001E-3</v>
      </c>
      <c r="E630" s="1">
        <v>0.01</v>
      </c>
      <c r="F630" s="1">
        <v>0.95</v>
      </c>
      <c r="G630" s="1">
        <v>0.9</v>
      </c>
      <c r="H630" s="1">
        <v>0.5</v>
      </c>
      <c r="I630" s="1">
        <v>0.5</v>
      </c>
      <c r="J630" s="1">
        <v>0.1</v>
      </c>
      <c r="K630" s="1">
        <v>0.5</v>
      </c>
      <c r="L630" s="1">
        <v>0.8</v>
      </c>
      <c r="M630" s="1">
        <v>0.4</v>
      </c>
      <c r="N630" s="1">
        <f>(Occurrence!B$3-D630)^2</f>
        <v>2.5000000000000001E-5</v>
      </c>
      <c r="O630" s="1">
        <f>(Occurrence!C$3-E630)^2</f>
        <v>1E-4</v>
      </c>
      <c r="P630" s="1">
        <f>(Occurrence!D$3-F630)^2</f>
        <v>2.5000000000000044E-3</v>
      </c>
      <c r="Q630" s="1">
        <f>(Occurrence!E$3-G630)^2</f>
        <v>9.999999999999995E-3</v>
      </c>
      <c r="R630" s="1">
        <f>(Occurrence!F$3-H630)^2</f>
        <v>0.25</v>
      </c>
      <c r="S630" s="1">
        <f>(Occurrence!G$3-I630)^2</f>
        <v>0.25</v>
      </c>
      <c r="T630" s="1">
        <f>(Occurrence!H$3-J630)^2</f>
        <v>0.81</v>
      </c>
      <c r="U630" s="1">
        <f>(Occurrence!I$3-K630)^2</f>
        <v>0.25</v>
      </c>
      <c r="V630" s="1">
        <f>(Occurrence!J$3-L630)^2</f>
        <v>0.64000000000000012</v>
      </c>
      <c r="W630" s="1">
        <f>(Occurrence!K$3-M630)^2</f>
        <v>0.36</v>
      </c>
      <c r="X630" s="1">
        <f t="shared" si="109"/>
        <v>2.5726249999999999</v>
      </c>
      <c r="Z630" s="1">
        <f t="shared" si="110"/>
        <v>0</v>
      </c>
      <c r="AA630" s="1">
        <f t="shared" si="111"/>
        <v>0</v>
      </c>
      <c r="AB630" s="1">
        <f t="shared" si="112"/>
        <v>1</v>
      </c>
      <c r="AC630" s="1">
        <f t="shared" si="113"/>
        <v>1</v>
      </c>
      <c r="AD630" s="1">
        <f t="shared" si="114"/>
        <v>1</v>
      </c>
      <c r="AE630" s="1">
        <f t="shared" si="115"/>
        <v>1</v>
      </c>
      <c r="AF630" s="1">
        <f t="shared" si="116"/>
        <v>0</v>
      </c>
      <c r="AG630" s="1">
        <f t="shared" si="117"/>
        <v>1</v>
      </c>
      <c r="AH630" s="1">
        <f t="shared" si="118"/>
        <v>1</v>
      </c>
      <c r="AI630" s="1">
        <f t="shared" si="119"/>
        <v>0</v>
      </c>
      <c r="AJ630" s="1">
        <f>SUMXMY2(Z630:AI630, Occurrence!B$3:K$3)</f>
        <v>5</v>
      </c>
      <c r="AK630" s="1">
        <f t="shared" si="120"/>
        <v>5</v>
      </c>
    </row>
    <row r="631" spans="1:37">
      <c r="A631" s="1">
        <v>630</v>
      </c>
      <c r="B631" s="1">
        <v>4252629</v>
      </c>
      <c r="C631" s="6" t="s">
        <v>43</v>
      </c>
      <c r="D631" s="1">
        <v>0.01</v>
      </c>
      <c r="E631" s="1">
        <v>0.02</v>
      </c>
      <c r="F631" s="1">
        <v>0.9</v>
      </c>
      <c r="G631" s="1">
        <v>0.98</v>
      </c>
      <c r="H631" s="1">
        <v>0.09</v>
      </c>
      <c r="I631" s="1">
        <v>0.2</v>
      </c>
      <c r="J631" s="1">
        <v>0.999</v>
      </c>
      <c r="K631" s="1">
        <v>0.99</v>
      </c>
      <c r="L631" s="1">
        <v>0.05</v>
      </c>
      <c r="M631" s="1">
        <v>0.6</v>
      </c>
      <c r="N631" s="1">
        <f>(Occurrence!B$3-D631)^2</f>
        <v>1E-4</v>
      </c>
      <c r="O631" s="1">
        <f>(Occurrence!C$3-E631)^2</f>
        <v>4.0000000000000002E-4</v>
      </c>
      <c r="P631" s="1">
        <f>(Occurrence!D$3-F631)^2</f>
        <v>9.999999999999995E-3</v>
      </c>
      <c r="Q631" s="1">
        <f>(Occurrence!E$3-G631)^2</f>
        <v>4.0000000000000072E-4</v>
      </c>
      <c r="R631" s="1">
        <f>(Occurrence!F$3-H631)^2</f>
        <v>8.0999999999999996E-3</v>
      </c>
      <c r="S631" s="1">
        <f>(Occurrence!G$3-I631)^2</f>
        <v>4.0000000000000008E-2</v>
      </c>
      <c r="T631" s="1">
        <f>(Occurrence!H$3-J631)^2</f>
        <v>1.0000000000000019E-6</v>
      </c>
      <c r="U631" s="1">
        <f>(Occurrence!I$3-K631)^2</f>
        <v>1.0000000000000018E-4</v>
      </c>
      <c r="V631" s="1">
        <f>(Occurrence!J$3-L631)^2</f>
        <v>2.5000000000000005E-3</v>
      </c>
      <c r="W631" s="1">
        <f>(Occurrence!K$3-M631)^2</f>
        <v>0.16000000000000003</v>
      </c>
      <c r="X631" s="1">
        <f t="shared" si="109"/>
        <v>0.22160100000000005</v>
      </c>
      <c r="Z631" s="1">
        <f t="shared" si="110"/>
        <v>0</v>
      </c>
      <c r="AA631" s="1">
        <f t="shared" si="111"/>
        <v>0</v>
      </c>
      <c r="AB631" s="1">
        <f t="shared" si="112"/>
        <v>1</v>
      </c>
      <c r="AC631" s="1">
        <f t="shared" si="113"/>
        <v>1</v>
      </c>
      <c r="AD631" s="1">
        <f t="shared" si="114"/>
        <v>0</v>
      </c>
      <c r="AE631" s="1">
        <f t="shared" si="115"/>
        <v>0</v>
      </c>
      <c r="AF631" s="1">
        <f t="shared" si="116"/>
        <v>1</v>
      </c>
      <c r="AG631" s="1">
        <f t="shared" si="117"/>
        <v>1</v>
      </c>
      <c r="AH631" s="1">
        <f t="shared" si="118"/>
        <v>0</v>
      </c>
      <c r="AI631" s="1">
        <f t="shared" si="119"/>
        <v>1</v>
      </c>
      <c r="AJ631" s="1">
        <f>SUMXMY2(Z631:AI631, Occurrence!B$3:K$3)</f>
        <v>0</v>
      </c>
      <c r="AK631" s="1">
        <f t="shared" si="120"/>
        <v>10</v>
      </c>
    </row>
    <row r="632" spans="1:37">
      <c r="A632" s="1">
        <v>631</v>
      </c>
      <c r="B632" s="1">
        <v>4252630</v>
      </c>
      <c r="C632" s="6" t="s">
        <v>43</v>
      </c>
      <c r="D632" s="1">
        <v>0.05</v>
      </c>
      <c r="E632" s="1">
        <v>0.1</v>
      </c>
      <c r="F632" s="1">
        <v>0.5</v>
      </c>
      <c r="G632" s="1">
        <v>0.85</v>
      </c>
      <c r="H632" s="1">
        <v>0.25</v>
      </c>
      <c r="I632" s="1">
        <v>0.25</v>
      </c>
      <c r="J632" s="1">
        <v>0.3</v>
      </c>
      <c r="K632" s="1">
        <v>0.6</v>
      </c>
      <c r="L632" s="1">
        <v>0.7</v>
      </c>
      <c r="M632" s="1">
        <v>0.25</v>
      </c>
      <c r="N632" s="1">
        <f>(Occurrence!B$3-D632)^2</f>
        <v>2.5000000000000005E-3</v>
      </c>
      <c r="O632" s="1">
        <f>(Occurrence!C$3-E632)^2</f>
        <v>1.0000000000000002E-2</v>
      </c>
      <c r="P632" s="1">
        <f>(Occurrence!D$3-F632)^2</f>
        <v>0.25</v>
      </c>
      <c r="Q632" s="1">
        <f>(Occurrence!E$3-G632)^2</f>
        <v>2.2500000000000006E-2</v>
      </c>
      <c r="R632" s="1">
        <f>(Occurrence!F$3-H632)^2</f>
        <v>6.25E-2</v>
      </c>
      <c r="S632" s="1">
        <f>(Occurrence!G$3-I632)^2</f>
        <v>6.25E-2</v>
      </c>
      <c r="T632" s="1">
        <f>(Occurrence!H$3-J632)^2</f>
        <v>0.48999999999999994</v>
      </c>
      <c r="U632" s="1">
        <f>(Occurrence!I$3-K632)^2</f>
        <v>0.16000000000000003</v>
      </c>
      <c r="V632" s="1">
        <f>(Occurrence!J$3-L632)^2</f>
        <v>0.48999999999999994</v>
      </c>
      <c r="W632" s="1">
        <f>(Occurrence!K$3-M632)^2</f>
        <v>0.5625</v>
      </c>
      <c r="X632" s="1">
        <f t="shared" si="109"/>
        <v>2.1124999999999998</v>
      </c>
      <c r="Z632" s="1">
        <f t="shared" si="110"/>
        <v>0</v>
      </c>
      <c r="AA632" s="1">
        <f t="shared" si="111"/>
        <v>0</v>
      </c>
      <c r="AB632" s="1">
        <f t="shared" si="112"/>
        <v>1</v>
      </c>
      <c r="AC632" s="1">
        <f t="shared" si="113"/>
        <v>1</v>
      </c>
      <c r="AD632" s="1">
        <f t="shared" si="114"/>
        <v>0</v>
      </c>
      <c r="AE632" s="1">
        <f t="shared" si="115"/>
        <v>0</v>
      </c>
      <c r="AF632" s="1">
        <f t="shared" si="116"/>
        <v>0</v>
      </c>
      <c r="AG632" s="1">
        <f t="shared" si="117"/>
        <v>1</v>
      </c>
      <c r="AH632" s="1">
        <f t="shared" si="118"/>
        <v>1</v>
      </c>
      <c r="AI632" s="1">
        <f t="shared" si="119"/>
        <v>0</v>
      </c>
      <c r="AJ632" s="1">
        <f>SUMXMY2(Z632:AI632, Occurrence!B$3:K$3)</f>
        <v>3</v>
      </c>
      <c r="AK632" s="1">
        <f t="shared" si="120"/>
        <v>7</v>
      </c>
    </row>
    <row r="633" spans="1:37">
      <c r="A633" s="1">
        <v>632</v>
      </c>
      <c r="B633" s="1">
        <v>4252631</v>
      </c>
      <c r="C633" s="6" t="s">
        <v>43</v>
      </c>
      <c r="D633" s="1">
        <v>0.03</v>
      </c>
      <c r="E633" s="1">
        <v>0.1</v>
      </c>
      <c r="F633" s="1">
        <v>0.1</v>
      </c>
      <c r="G633" s="1">
        <v>0.4</v>
      </c>
      <c r="H633" s="1">
        <v>0.96</v>
      </c>
      <c r="I633" s="1">
        <v>0.4</v>
      </c>
      <c r="J633" s="1">
        <v>0.9</v>
      </c>
      <c r="K633" s="1">
        <v>0.8</v>
      </c>
      <c r="L633" s="1">
        <v>0.7</v>
      </c>
      <c r="M633" s="1">
        <v>0.5</v>
      </c>
      <c r="N633" s="1">
        <f>(Occurrence!B$3-D633)^2</f>
        <v>8.9999999999999998E-4</v>
      </c>
      <c r="O633" s="1">
        <f>(Occurrence!C$3-E633)^2</f>
        <v>1.0000000000000002E-2</v>
      </c>
      <c r="P633" s="1">
        <f>(Occurrence!D$3-F633)^2</f>
        <v>0.81</v>
      </c>
      <c r="Q633" s="1">
        <f>(Occurrence!E$3-G633)^2</f>
        <v>0.36</v>
      </c>
      <c r="R633" s="1">
        <f>(Occurrence!F$3-H633)^2</f>
        <v>0.92159999999999997</v>
      </c>
      <c r="S633" s="1">
        <f>(Occurrence!G$3-I633)^2</f>
        <v>0.16000000000000003</v>
      </c>
      <c r="T633" s="1">
        <f>(Occurrence!H$3-J633)^2</f>
        <v>9.999999999999995E-3</v>
      </c>
      <c r="U633" s="1">
        <f>(Occurrence!I$3-K633)^2</f>
        <v>3.999999999999998E-2</v>
      </c>
      <c r="V633" s="1">
        <f>(Occurrence!J$3-L633)^2</f>
        <v>0.48999999999999994</v>
      </c>
      <c r="W633" s="1">
        <f>(Occurrence!K$3-M633)^2</f>
        <v>0.25</v>
      </c>
      <c r="X633" s="1">
        <f t="shared" si="109"/>
        <v>3.0524999999999998</v>
      </c>
      <c r="Z633" s="1">
        <f t="shared" si="110"/>
        <v>0</v>
      </c>
      <c r="AA633" s="1">
        <f t="shared" si="111"/>
        <v>0</v>
      </c>
      <c r="AB633" s="1">
        <f t="shared" si="112"/>
        <v>0</v>
      </c>
      <c r="AC633" s="1">
        <f t="shared" si="113"/>
        <v>0</v>
      </c>
      <c r="AD633" s="1">
        <f t="shared" si="114"/>
        <v>1</v>
      </c>
      <c r="AE633" s="1">
        <f t="shared" si="115"/>
        <v>0</v>
      </c>
      <c r="AF633" s="1">
        <f t="shared" si="116"/>
        <v>1</v>
      </c>
      <c r="AG633" s="1">
        <f t="shared" si="117"/>
        <v>1</v>
      </c>
      <c r="AH633" s="1">
        <f t="shared" si="118"/>
        <v>1</v>
      </c>
      <c r="AI633" s="1">
        <f t="shared" si="119"/>
        <v>1</v>
      </c>
      <c r="AJ633" s="1">
        <f>SUMXMY2(Z633:AI633, Occurrence!B$3:K$3)</f>
        <v>4</v>
      </c>
      <c r="AK633" s="1">
        <f t="shared" si="120"/>
        <v>6</v>
      </c>
    </row>
    <row r="634" spans="1:37">
      <c r="A634" s="1">
        <v>633</v>
      </c>
      <c r="B634" s="1">
        <v>4252632</v>
      </c>
      <c r="C634" s="6" t="s">
        <v>43</v>
      </c>
      <c r="D634" s="1">
        <v>0.02</v>
      </c>
      <c r="E634" s="1">
        <v>0.05</v>
      </c>
      <c r="F634" s="1">
        <v>0.7</v>
      </c>
      <c r="G634" s="1">
        <v>0.8</v>
      </c>
      <c r="H634" s="1">
        <v>0.5</v>
      </c>
      <c r="I634" s="1">
        <v>0.35</v>
      </c>
      <c r="J634" s="1">
        <v>0</v>
      </c>
      <c r="K634" s="1">
        <v>0.9</v>
      </c>
      <c r="L634" s="1">
        <v>0</v>
      </c>
      <c r="M634" s="1">
        <v>0.6</v>
      </c>
      <c r="N634" s="1">
        <f>(Occurrence!B$3-D634)^2</f>
        <v>4.0000000000000002E-4</v>
      </c>
      <c r="O634" s="1">
        <f>(Occurrence!C$3-E634)^2</f>
        <v>2.5000000000000005E-3</v>
      </c>
      <c r="P634" s="1">
        <f>(Occurrence!D$3-F634)^2</f>
        <v>9.0000000000000024E-2</v>
      </c>
      <c r="Q634" s="1">
        <f>(Occurrence!E$3-G634)^2</f>
        <v>3.999999999999998E-2</v>
      </c>
      <c r="R634" s="1">
        <f>(Occurrence!F$3-H634)^2</f>
        <v>0.25</v>
      </c>
      <c r="S634" s="1">
        <f>(Occurrence!G$3-I634)^2</f>
        <v>0.12249999999999998</v>
      </c>
      <c r="T634" s="1">
        <f>(Occurrence!H$3-J634)^2</f>
        <v>1</v>
      </c>
      <c r="U634" s="1">
        <f>(Occurrence!I$3-K634)^2</f>
        <v>9.999999999999995E-3</v>
      </c>
      <c r="V634" s="1">
        <f>(Occurrence!J$3-L634)^2</f>
        <v>0</v>
      </c>
      <c r="W634" s="1">
        <f>(Occurrence!K$3-M634)^2</f>
        <v>0.16000000000000003</v>
      </c>
      <c r="X634" s="1">
        <f t="shared" si="109"/>
        <v>1.6753999999999998</v>
      </c>
      <c r="Z634" s="1">
        <f t="shared" si="110"/>
        <v>0</v>
      </c>
      <c r="AA634" s="1">
        <f t="shared" si="111"/>
        <v>0</v>
      </c>
      <c r="AB634" s="1">
        <f t="shared" si="112"/>
        <v>1</v>
      </c>
      <c r="AC634" s="1">
        <f t="shared" si="113"/>
        <v>1</v>
      </c>
      <c r="AD634" s="1">
        <f t="shared" si="114"/>
        <v>1</v>
      </c>
      <c r="AE634" s="1">
        <f t="shared" si="115"/>
        <v>0</v>
      </c>
      <c r="AF634" s="1">
        <f t="shared" si="116"/>
        <v>0</v>
      </c>
      <c r="AG634" s="1">
        <f t="shared" si="117"/>
        <v>1</v>
      </c>
      <c r="AH634" s="1">
        <f t="shared" si="118"/>
        <v>0</v>
      </c>
      <c r="AI634" s="1">
        <f t="shared" si="119"/>
        <v>1</v>
      </c>
      <c r="AJ634" s="1">
        <f>SUMXMY2(Z634:AI634, Occurrence!B$3:K$3)</f>
        <v>2</v>
      </c>
      <c r="AK634" s="1">
        <f t="shared" si="120"/>
        <v>8</v>
      </c>
    </row>
    <row r="635" spans="1:37">
      <c r="A635" s="1">
        <v>634</v>
      </c>
      <c r="B635" s="1">
        <v>4252633</v>
      </c>
      <c r="C635" s="6" t="s">
        <v>43</v>
      </c>
      <c r="D635" s="1">
        <v>0.3</v>
      </c>
      <c r="E635" s="1">
        <v>0.35</v>
      </c>
      <c r="F635" s="1">
        <v>0.7</v>
      </c>
      <c r="G635" s="1">
        <v>0.65</v>
      </c>
      <c r="H635" s="1">
        <v>0.4</v>
      </c>
      <c r="I635" s="1">
        <v>0.15</v>
      </c>
      <c r="J635" s="1">
        <v>0.95</v>
      </c>
      <c r="K635" s="1">
        <v>0.85</v>
      </c>
      <c r="L635" s="1">
        <v>0.15</v>
      </c>
      <c r="M635" s="1">
        <v>0.85</v>
      </c>
      <c r="N635" s="1">
        <f>(Occurrence!B$3-D635)^2</f>
        <v>0.09</v>
      </c>
      <c r="O635" s="1">
        <f>(Occurrence!C$3-E635)^2</f>
        <v>0.12249999999999998</v>
      </c>
      <c r="P635" s="1">
        <f>(Occurrence!D$3-F635)^2</f>
        <v>9.0000000000000024E-2</v>
      </c>
      <c r="Q635" s="1">
        <f>(Occurrence!E$3-G635)^2</f>
        <v>0.12249999999999998</v>
      </c>
      <c r="R635" s="1">
        <f>(Occurrence!F$3-H635)^2</f>
        <v>0.16000000000000003</v>
      </c>
      <c r="S635" s="1">
        <f>(Occurrence!G$3-I635)^2</f>
        <v>2.2499999999999999E-2</v>
      </c>
      <c r="T635" s="1">
        <f>(Occurrence!H$3-J635)^2</f>
        <v>2.5000000000000044E-3</v>
      </c>
      <c r="U635" s="1">
        <f>(Occurrence!I$3-K635)^2</f>
        <v>2.2500000000000006E-2</v>
      </c>
      <c r="V635" s="1">
        <f>(Occurrence!J$3-L635)^2</f>
        <v>2.2499999999999999E-2</v>
      </c>
      <c r="W635" s="1">
        <f>(Occurrence!K$3-M635)^2</f>
        <v>2.2500000000000006E-2</v>
      </c>
      <c r="X635" s="1">
        <f t="shared" si="109"/>
        <v>0.67749999999999988</v>
      </c>
      <c r="Z635" s="1">
        <f t="shared" si="110"/>
        <v>0</v>
      </c>
      <c r="AA635" s="1">
        <f t="shared" si="111"/>
        <v>0</v>
      </c>
      <c r="AB635" s="1">
        <f t="shared" si="112"/>
        <v>1</v>
      </c>
      <c r="AC635" s="1">
        <f t="shared" si="113"/>
        <v>1</v>
      </c>
      <c r="AD635" s="1">
        <f t="shared" si="114"/>
        <v>0</v>
      </c>
      <c r="AE635" s="1">
        <f t="shared" si="115"/>
        <v>0</v>
      </c>
      <c r="AF635" s="1">
        <f t="shared" si="116"/>
        <v>1</v>
      </c>
      <c r="AG635" s="1">
        <f t="shared" si="117"/>
        <v>1</v>
      </c>
      <c r="AH635" s="1">
        <f t="shared" si="118"/>
        <v>0</v>
      </c>
      <c r="AI635" s="1">
        <f t="shared" si="119"/>
        <v>1</v>
      </c>
      <c r="AJ635" s="1">
        <f>SUMXMY2(Z635:AI635, Occurrence!B$3:K$3)</f>
        <v>0</v>
      </c>
      <c r="AK635" s="1">
        <f t="shared" si="120"/>
        <v>10</v>
      </c>
    </row>
    <row r="636" spans="1:37">
      <c r="A636" s="1">
        <v>635</v>
      </c>
      <c r="B636" s="1">
        <v>4252634</v>
      </c>
      <c r="C636" s="6" t="s">
        <v>44</v>
      </c>
      <c r="D636" s="1">
        <v>0.05</v>
      </c>
      <c r="E636" s="1">
        <v>0.08</v>
      </c>
      <c r="F636" s="1">
        <v>0.22</v>
      </c>
      <c r="G636" s="1">
        <v>0.35</v>
      </c>
      <c r="H636" s="1">
        <v>0.12</v>
      </c>
      <c r="I636" s="1">
        <v>0.43</v>
      </c>
      <c r="J636" s="1">
        <v>0.67</v>
      </c>
      <c r="K636" s="1">
        <v>0.43</v>
      </c>
      <c r="L636" s="1">
        <v>0.22</v>
      </c>
      <c r="M636" s="1">
        <v>0.27</v>
      </c>
      <c r="N636" s="1">
        <f>(Occurrence!B$3-D636)^2</f>
        <v>2.5000000000000005E-3</v>
      </c>
      <c r="O636" s="1">
        <f>(Occurrence!C$3-E636)^2</f>
        <v>6.4000000000000003E-3</v>
      </c>
      <c r="P636" s="1">
        <f>(Occurrence!D$3-F636)^2</f>
        <v>0.60840000000000005</v>
      </c>
      <c r="Q636" s="1">
        <f>(Occurrence!E$3-G636)^2</f>
        <v>0.42250000000000004</v>
      </c>
      <c r="R636" s="1">
        <f>(Occurrence!F$3-H636)^2</f>
        <v>1.44E-2</v>
      </c>
      <c r="S636" s="1">
        <f>(Occurrence!G$3-I636)^2</f>
        <v>0.18489999999999998</v>
      </c>
      <c r="T636" s="1">
        <f>(Occurrence!H$3-J636)^2</f>
        <v>0.10889999999999997</v>
      </c>
      <c r="U636" s="1">
        <f>(Occurrence!I$3-K636)^2</f>
        <v>0.32490000000000008</v>
      </c>
      <c r="V636" s="1">
        <f>(Occurrence!J$3-L636)^2</f>
        <v>4.8399999999999999E-2</v>
      </c>
      <c r="W636" s="1">
        <f>(Occurrence!K$3-M636)^2</f>
        <v>0.53289999999999993</v>
      </c>
      <c r="X636" s="1">
        <f t="shared" si="109"/>
        <v>2.2542</v>
      </c>
      <c r="Z636" s="1">
        <f t="shared" si="110"/>
        <v>0</v>
      </c>
      <c r="AA636" s="1">
        <f t="shared" si="111"/>
        <v>0</v>
      </c>
      <c r="AB636" s="1">
        <f t="shared" si="112"/>
        <v>0</v>
      </c>
      <c r="AC636" s="1">
        <f t="shared" si="113"/>
        <v>0</v>
      </c>
      <c r="AD636" s="1">
        <f t="shared" si="114"/>
        <v>0</v>
      </c>
      <c r="AE636" s="1">
        <f t="shared" si="115"/>
        <v>0</v>
      </c>
      <c r="AF636" s="1">
        <f t="shared" si="116"/>
        <v>1</v>
      </c>
      <c r="AG636" s="1">
        <f t="shared" si="117"/>
        <v>0</v>
      </c>
      <c r="AH636" s="1">
        <f t="shared" si="118"/>
        <v>0</v>
      </c>
      <c r="AI636" s="1">
        <f t="shared" si="119"/>
        <v>0</v>
      </c>
      <c r="AJ636" s="1">
        <f>SUMXMY2(Z636:AI636, Occurrence!B$3:K$3)</f>
        <v>4</v>
      </c>
      <c r="AK636" s="1">
        <f t="shared" si="120"/>
        <v>6</v>
      </c>
    </row>
    <row r="637" spans="1:37">
      <c r="A637" s="1">
        <v>636</v>
      </c>
      <c r="B637" s="1">
        <v>4252635</v>
      </c>
      <c r="C637" s="6" t="s">
        <v>44</v>
      </c>
      <c r="D637" s="1">
        <v>0.75</v>
      </c>
      <c r="E637" s="1">
        <v>0.5</v>
      </c>
      <c r="F637" s="1">
        <v>0.2</v>
      </c>
      <c r="G637" s="1">
        <v>0.8</v>
      </c>
      <c r="H637" s="1">
        <v>0.2</v>
      </c>
      <c r="I637" s="1">
        <v>0.5</v>
      </c>
      <c r="J637" s="1">
        <v>0.6</v>
      </c>
      <c r="K637" s="1">
        <v>0.2</v>
      </c>
      <c r="L637" s="1">
        <v>0.3</v>
      </c>
      <c r="M637" s="1">
        <v>0.2</v>
      </c>
      <c r="N637" s="1">
        <f>(Occurrence!B$3-D637)^2</f>
        <v>0.5625</v>
      </c>
      <c r="O637" s="1">
        <f>(Occurrence!C$3-E637)^2</f>
        <v>0.25</v>
      </c>
      <c r="P637" s="1">
        <f>(Occurrence!D$3-F637)^2</f>
        <v>0.64000000000000012</v>
      </c>
      <c r="Q637" s="1">
        <f>(Occurrence!E$3-G637)^2</f>
        <v>3.999999999999998E-2</v>
      </c>
      <c r="R637" s="1">
        <f>(Occurrence!F$3-H637)^2</f>
        <v>4.0000000000000008E-2</v>
      </c>
      <c r="S637" s="1">
        <f>(Occurrence!G$3-I637)^2</f>
        <v>0.25</v>
      </c>
      <c r="T637" s="1">
        <f>(Occurrence!H$3-J637)^2</f>
        <v>0.16000000000000003</v>
      </c>
      <c r="U637" s="1">
        <f>(Occurrence!I$3-K637)^2</f>
        <v>0.64000000000000012</v>
      </c>
      <c r="V637" s="1">
        <f>(Occurrence!J$3-L637)^2</f>
        <v>0.09</v>
      </c>
      <c r="W637" s="1">
        <f>(Occurrence!K$3-M637)^2</f>
        <v>0.64000000000000012</v>
      </c>
      <c r="X637" s="1">
        <f t="shared" si="109"/>
        <v>3.3125000000000004</v>
      </c>
      <c r="Z637" s="1">
        <f t="shared" si="110"/>
        <v>1</v>
      </c>
      <c r="AA637" s="1">
        <f t="shared" si="111"/>
        <v>1</v>
      </c>
      <c r="AB637" s="1">
        <f t="shared" si="112"/>
        <v>0</v>
      </c>
      <c r="AC637" s="1">
        <f t="shared" si="113"/>
        <v>1</v>
      </c>
      <c r="AD637" s="1">
        <f t="shared" si="114"/>
        <v>0</v>
      </c>
      <c r="AE637" s="1">
        <f t="shared" si="115"/>
        <v>1</v>
      </c>
      <c r="AF637" s="1">
        <f t="shared" si="116"/>
        <v>1</v>
      </c>
      <c r="AG637" s="1">
        <f t="shared" si="117"/>
        <v>0</v>
      </c>
      <c r="AH637" s="1">
        <f t="shared" si="118"/>
        <v>0</v>
      </c>
      <c r="AI637" s="1">
        <f t="shared" si="119"/>
        <v>0</v>
      </c>
      <c r="AJ637" s="1">
        <f>SUMXMY2(Z637:AI637, Occurrence!B$3:K$3)</f>
        <v>6</v>
      </c>
      <c r="AK637" s="1">
        <f t="shared" si="120"/>
        <v>4</v>
      </c>
    </row>
    <row r="638" spans="1:37">
      <c r="A638" s="1">
        <v>637</v>
      </c>
      <c r="B638" s="1">
        <v>4252636</v>
      </c>
      <c r="C638" s="6" t="s">
        <v>44</v>
      </c>
      <c r="D638" s="1">
        <v>0.01</v>
      </c>
      <c r="E638" s="1">
        <v>0.4</v>
      </c>
      <c r="F638" s="1">
        <v>0.05</v>
      </c>
      <c r="G638" s="1">
        <v>0.6</v>
      </c>
      <c r="H638" s="1">
        <v>0.2</v>
      </c>
      <c r="I638" s="1">
        <v>0.05</v>
      </c>
      <c r="J638" s="1">
        <v>0.4</v>
      </c>
      <c r="K638" s="1">
        <v>0.2</v>
      </c>
      <c r="L638" s="1">
        <v>0.7</v>
      </c>
      <c r="M638" s="1">
        <v>0.3</v>
      </c>
      <c r="N638" s="1">
        <f>(Occurrence!B$3-D638)^2</f>
        <v>1E-4</v>
      </c>
      <c r="O638" s="1">
        <f>(Occurrence!C$3-E638)^2</f>
        <v>0.16000000000000003</v>
      </c>
      <c r="P638" s="1">
        <f>(Occurrence!D$3-F638)^2</f>
        <v>0.90249999999999997</v>
      </c>
      <c r="Q638" s="1">
        <f>(Occurrence!E$3-G638)^2</f>
        <v>0.16000000000000003</v>
      </c>
      <c r="R638" s="1">
        <f>(Occurrence!F$3-H638)^2</f>
        <v>4.0000000000000008E-2</v>
      </c>
      <c r="S638" s="1">
        <f>(Occurrence!G$3-I638)^2</f>
        <v>2.5000000000000005E-3</v>
      </c>
      <c r="T638" s="1">
        <f>(Occurrence!H$3-J638)^2</f>
        <v>0.36</v>
      </c>
      <c r="U638" s="1">
        <f>(Occurrence!I$3-K638)^2</f>
        <v>0.64000000000000012</v>
      </c>
      <c r="V638" s="1">
        <f>(Occurrence!J$3-L638)^2</f>
        <v>0.48999999999999994</v>
      </c>
      <c r="W638" s="1">
        <f>(Occurrence!K$3-M638)^2</f>
        <v>0.48999999999999994</v>
      </c>
      <c r="X638" s="1">
        <f t="shared" si="109"/>
        <v>3.2450999999999994</v>
      </c>
      <c r="Z638" s="1">
        <f t="shared" si="110"/>
        <v>0</v>
      </c>
      <c r="AA638" s="1">
        <f t="shared" si="111"/>
        <v>0</v>
      </c>
      <c r="AB638" s="1">
        <f t="shared" si="112"/>
        <v>0</v>
      </c>
      <c r="AC638" s="1">
        <f t="shared" si="113"/>
        <v>1</v>
      </c>
      <c r="AD638" s="1">
        <f t="shared" si="114"/>
        <v>0</v>
      </c>
      <c r="AE638" s="1">
        <f t="shared" si="115"/>
        <v>0</v>
      </c>
      <c r="AF638" s="1">
        <f t="shared" si="116"/>
        <v>0</v>
      </c>
      <c r="AG638" s="1">
        <f t="shared" si="117"/>
        <v>0</v>
      </c>
      <c r="AH638" s="1">
        <f t="shared" si="118"/>
        <v>1</v>
      </c>
      <c r="AI638" s="1">
        <f t="shared" si="119"/>
        <v>0</v>
      </c>
      <c r="AJ638" s="1">
        <f>SUMXMY2(Z638:AI638, Occurrence!B$3:K$3)</f>
        <v>5</v>
      </c>
      <c r="AK638" s="1">
        <f t="shared" si="120"/>
        <v>5</v>
      </c>
    </row>
    <row r="639" spans="1:37">
      <c r="A639" s="1">
        <v>638</v>
      </c>
      <c r="B639" s="1">
        <v>4252637</v>
      </c>
      <c r="C639" s="6" t="s">
        <v>44</v>
      </c>
      <c r="D639" s="1">
        <v>0.2</v>
      </c>
      <c r="E639" s="1">
        <v>0.43</v>
      </c>
      <c r="F639" s="1">
        <v>0.54</v>
      </c>
      <c r="G639" s="1">
        <v>0.72</v>
      </c>
      <c r="H639" s="1">
        <v>0.32</v>
      </c>
      <c r="I639" s="1">
        <v>0.64</v>
      </c>
      <c r="J639" s="1">
        <v>0.23</v>
      </c>
      <c r="K639" s="1">
        <v>0.11</v>
      </c>
      <c r="L639" s="1">
        <v>0.06</v>
      </c>
      <c r="M639" s="1">
        <v>0.24</v>
      </c>
      <c r="N639" s="1">
        <f>(Occurrence!B$3-D639)^2</f>
        <v>4.0000000000000008E-2</v>
      </c>
      <c r="O639" s="1">
        <f>(Occurrence!C$3-E639)^2</f>
        <v>0.18489999999999998</v>
      </c>
      <c r="P639" s="1">
        <f>(Occurrence!D$3-F639)^2</f>
        <v>0.21159999999999995</v>
      </c>
      <c r="Q639" s="1">
        <f>(Occurrence!E$3-G639)^2</f>
        <v>7.8400000000000011E-2</v>
      </c>
      <c r="R639" s="1">
        <f>(Occurrence!F$3-H639)^2</f>
        <v>0.1024</v>
      </c>
      <c r="S639" s="1">
        <f>(Occurrence!G$3-I639)^2</f>
        <v>0.40960000000000002</v>
      </c>
      <c r="T639" s="1">
        <f>(Occurrence!H$3-J639)^2</f>
        <v>0.59289999999999998</v>
      </c>
      <c r="U639" s="1">
        <f>(Occurrence!I$3-K639)^2</f>
        <v>0.79210000000000003</v>
      </c>
      <c r="V639" s="1">
        <f>(Occurrence!J$3-L639)^2</f>
        <v>3.5999999999999999E-3</v>
      </c>
      <c r="W639" s="1">
        <f>(Occurrence!K$3-M639)^2</f>
        <v>0.5776</v>
      </c>
      <c r="X639" s="1">
        <f t="shared" si="109"/>
        <v>2.9931000000000001</v>
      </c>
      <c r="Z639" s="1">
        <f t="shared" si="110"/>
        <v>0</v>
      </c>
      <c r="AA639" s="1">
        <f t="shared" si="111"/>
        <v>0</v>
      </c>
      <c r="AB639" s="1">
        <f t="shared" si="112"/>
        <v>1</v>
      </c>
      <c r="AC639" s="1">
        <f t="shared" si="113"/>
        <v>1</v>
      </c>
      <c r="AD639" s="1">
        <f t="shared" si="114"/>
        <v>0</v>
      </c>
      <c r="AE639" s="1">
        <f t="shared" si="115"/>
        <v>1</v>
      </c>
      <c r="AF639" s="1">
        <f t="shared" si="116"/>
        <v>0</v>
      </c>
      <c r="AG639" s="1">
        <f t="shared" si="117"/>
        <v>0</v>
      </c>
      <c r="AH639" s="1">
        <f t="shared" si="118"/>
        <v>0</v>
      </c>
      <c r="AI639" s="1">
        <f t="shared" si="119"/>
        <v>0</v>
      </c>
      <c r="AJ639" s="1">
        <f>SUMXMY2(Z639:AI639, Occurrence!B$3:K$3)</f>
        <v>4</v>
      </c>
      <c r="AK639" s="1">
        <f t="shared" si="120"/>
        <v>6</v>
      </c>
    </row>
    <row r="640" spans="1:37">
      <c r="A640" s="1">
        <v>639</v>
      </c>
      <c r="B640" s="1">
        <v>4252638</v>
      </c>
      <c r="C640" s="6" t="s">
        <v>44</v>
      </c>
      <c r="D640" s="1">
        <v>0.2</v>
      </c>
      <c r="E640" s="1">
        <v>0.1</v>
      </c>
      <c r="F640" s="1">
        <v>0.2</v>
      </c>
      <c r="G640" s="1">
        <v>0.15</v>
      </c>
      <c r="H640" s="1">
        <v>0.15</v>
      </c>
      <c r="I640" s="1">
        <v>0.4</v>
      </c>
      <c r="J640" s="1">
        <v>0.2</v>
      </c>
      <c r="K640" s="1">
        <v>0.15</v>
      </c>
      <c r="L640" s="1">
        <v>0.3</v>
      </c>
      <c r="M640" s="1">
        <v>0.2</v>
      </c>
      <c r="N640" s="1">
        <f>(Occurrence!B$3-D640)^2</f>
        <v>4.0000000000000008E-2</v>
      </c>
      <c r="O640" s="1">
        <f>(Occurrence!C$3-E640)^2</f>
        <v>1.0000000000000002E-2</v>
      </c>
      <c r="P640" s="1">
        <f>(Occurrence!D$3-F640)^2</f>
        <v>0.64000000000000012</v>
      </c>
      <c r="Q640" s="1">
        <f>(Occurrence!E$3-G640)^2</f>
        <v>0.72249999999999992</v>
      </c>
      <c r="R640" s="1">
        <f>(Occurrence!F$3-H640)^2</f>
        <v>2.2499999999999999E-2</v>
      </c>
      <c r="S640" s="1">
        <f>(Occurrence!G$3-I640)^2</f>
        <v>0.16000000000000003</v>
      </c>
      <c r="T640" s="1">
        <f>(Occurrence!H$3-J640)^2</f>
        <v>0.64000000000000012</v>
      </c>
      <c r="U640" s="1">
        <f>(Occurrence!I$3-K640)^2</f>
        <v>0.72249999999999992</v>
      </c>
      <c r="V640" s="1">
        <f>(Occurrence!J$3-L640)^2</f>
        <v>0.09</v>
      </c>
      <c r="W640" s="1">
        <f>(Occurrence!K$3-M640)^2</f>
        <v>0.64000000000000012</v>
      </c>
      <c r="X640" s="1">
        <f t="shared" si="109"/>
        <v>3.6875000000000004</v>
      </c>
      <c r="Z640" s="1">
        <f t="shared" si="110"/>
        <v>0</v>
      </c>
      <c r="AA640" s="1">
        <f t="shared" si="111"/>
        <v>0</v>
      </c>
      <c r="AB640" s="1">
        <f t="shared" si="112"/>
        <v>0</v>
      </c>
      <c r="AC640" s="1">
        <f t="shared" si="113"/>
        <v>0</v>
      </c>
      <c r="AD640" s="1">
        <f t="shared" si="114"/>
        <v>0</v>
      </c>
      <c r="AE640" s="1">
        <f t="shared" si="115"/>
        <v>0</v>
      </c>
      <c r="AF640" s="1">
        <f t="shared" si="116"/>
        <v>0</v>
      </c>
      <c r="AG640" s="1">
        <f t="shared" si="117"/>
        <v>0</v>
      </c>
      <c r="AH640" s="1">
        <f t="shared" si="118"/>
        <v>0</v>
      </c>
      <c r="AI640" s="1">
        <f t="shared" si="119"/>
        <v>0</v>
      </c>
      <c r="AJ640" s="1">
        <f>SUMXMY2(Z640:AI640, Occurrence!B$3:K$3)</f>
        <v>5</v>
      </c>
      <c r="AK640" s="1">
        <f t="shared" si="120"/>
        <v>5</v>
      </c>
    </row>
    <row r="641" spans="1:37">
      <c r="A641" s="1">
        <v>640</v>
      </c>
      <c r="B641" s="1">
        <v>4252639</v>
      </c>
      <c r="C641" s="6" t="s">
        <v>44</v>
      </c>
      <c r="D641" s="1">
        <v>1.0000000000000001E-5</v>
      </c>
      <c r="E641" s="1">
        <v>5.0000000000000002E-5</v>
      </c>
      <c r="F641" s="1">
        <v>0.85</v>
      </c>
      <c r="G641" s="1">
        <v>0.99</v>
      </c>
      <c r="H641" s="1">
        <v>0.14000000000000001</v>
      </c>
      <c r="I641" s="1">
        <v>0.25</v>
      </c>
      <c r="J641" s="1">
        <v>0.5</v>
      </c>
      <c r="K641" s="1">
        <v>0.4</v>
      </c>
      <c r="L641" s="1">
        <v>0.8</v>
      </c>
      <c r="M641" s="1">
        <v>0.7</v>
      </c>
      <c r="N641" s="1">
        <f>(Occurrence!B$3-D641)^2</f>
        <v>1.0000000000000002E-10</v>
      </c>
      <c r="O641" s="1">
        <f>(Occurrence!C$3-E641)^2</f>
        <v>2.5000000000000001E-9</v>
      </c>
      <c r="P641" s="1">
        <f>(Occurrence!D$3-F641)^2</f>
        <v>2.2500000000000006E-2</v>
      </c>
      <c r="Q641" s="1">
        <f>(Occurrence!E$3-G641)^2</f>
        <v>1.0000000000000018E-4</v>
      </c>
      <c r="R641" s="1">
        <f>(Occurrence!F$3-H641)^2</f>
        <v>1.9600000000000003E-2</v>
      </c>
      <c r="S641" s="1">
        <f>(Occurrence!G$3-I641)^2</f>
        <v>6.25E-2</v>
      </c>
      <c r="T641" s="1">
        <f>(Occurrence!H$3-J641)^2</f>
        <v>0.25</v>
      </c>
      <c r="U641" s="1">
        <f>(Occurrence!I$3-K641)^2</f>
        <v>0.36</v>
      </c>
      <c r="V641" s="1">
        <f>(Occurrence!J$3-L641)^2</f>
        <v>0.64000000000000012</v>
      </c>
      <c r="W641" s="1">
        <f>(Occurrence!K$3-M641)^2</f>
        <v>9.0000000000000024E-2</v>
      </c>
      <c r="X641" s="1">
        <f t="shared" si="109"/>
        <v>1.4447000026000001</v>
      </c>
      <c r="Z641" s="1">
        <f t="shared" si="110"/>
        <v>0</v>
      </c>
      <c r="AA641" s="1">
        <f t="shared" si="111"/>
        <v>0</v>
      </c>
      <c r="AB641" s="1">
        <f t="shared" si="112"/>
        <v>1</v>
      </c>
      <c r="AC641" s="1">
        <f t="shared" si="113"/>
        <v>1</v>
      </c>
      <c r="AD641" s="1">
        <f t="shared" si="114"/>
        <v>0</v>
      </c>
      <c r="AE641" s="1">
        <f t="shared" si="115"/>
        <v>0</v>
      </c>
      <c r="AF641" s="1">
        <f t="shared" si="116"/>
        <v>1</v>
      </c>
      <c r="AG641" s="1">
        <f t="shared" si="117"/>
        <v>0</v>
      </c>
      <c r="AH641" s="1">
        <f t="shared" si="118"/>
        <v>1</v>
      </c>
      <c r="AI641" s="1">
        <f t="shared" si="119"/>
        <v>1</v>
      </c>
      <c r="AJ641" s="1">
        <f>SUMXMY2(Z641:AI641, Occurrence!B$3:K$3)</f>
        <v>2</v>
      </c>
      <c r="AK641" s="1">
        <f t="shared" si="120"/>
        <v>8</v>
      </c>
    </row>
    <row r="642" spans="1:37">
      <c r="A642" s="1">
        <v>641</v>
      </c>
      <c r="B642" s="1">
        <v>4252640</v>
      </c>
      <c r="C642" s="6" t="s">
        <v>44</v>
      </c>
      <c r="D642" s="1">
        <v>0.2</v>
      </c>
      <c r="E642" s="1">
        <v>0.25</v>
      </c>
      <c r="F642" s="1">
        <v>0.3</v>
      </c>
      <c r="G642" s="1">
        <v>0.1</v>
      </c>
      <c r="H642" s="1">
        <v>1E-3</v>
      </c>
      <c r="I642" s="1">
        <v>0.7</v>
      </c>
      <c r="J642" s="1">
        <v>0.37</v>
      </c>
      <c r="K642" s="1">
        <v>0.5</v>
      </c>
      <c r="L642" s="1">
        <v>0.65</v>
      </c>
      <c r="M642" s="1">
        <v>2.1000000000000001E-2</v>
      </c>
      <c r="N642" s="1">
        <f>(Occurrence!B$3-D642)^2</f>
        <v>4.0000000000000008E-2</v>
      </c>
      <c r="O642" s="1">
        <f>(Occurrence!C$3-E642)^2</f>
        <v>6.25E-2</v>
      </c>
      <c r="P642" s="1">
        <f>(Occurrence!D$3-F642)^2</f>
        <v>0.48999999999999994</v>
      </c>
      <c r="Q642" s="1">
        <f>(Occurrence!E$3-G642)^2</f>
        <v>0.81</v>
      </c>
      <c r="R642" s="1">
        <f>(Occurrence!F$3-H642)^2</f>
        <v>9.9999999999999995E-7</v>
      </c>
      <c r="S642" s="1">
        <f>(Occurrence!G$3-I642)^2</f>
        <v>0.48999999999999994</v>
      </c>
      <c r="T642" s="1">
        <f>(Occurrence!H$3-J642)^2</f>
        <v>0.39690000000000003</v>
      </c>
      <c r="U642" s="1">
        <f>(Occurrence!I$3-K642)^2</f>
        <v>0.25</v>
      </c>
      <c r="V642" s="1">
        <f>(Occurrence!J$3-L642)^2</f>
        <v>0.42250000000000004</v>
      </c>
      <c r="W642" s="1">
        <f>(Occurrence!K$3-M642)^2</f>
        <v>0.95844099999999999</v>
      </c>
      <c r="X642" s="1">
        <f t="shared" si="109"/>
        <v>3.9203419999999998</v>
      </c>
      <c r="Z642" s="1">
        <f t="shared" si="110"/>
        <v>0</v>
      </c>
      <c r="AA642" s="1">
        <f t="shared" si="111"/>
        <v>0</v>
      </c>
      <c r="AB642" s="1">
        <f t="shared" si="112"/>
        <v>0</v>
      </c>
      <c r="AC642" s="1">
        <f t="shared" si="113"/>
        <v>0</v>
      </c>
      <c r="AD642" s="1">
        <f t="shared" si="114"/>
        <v>0</v>
      </c>
      <c r="AE642" s="1">
        <f t="shared" si="115"/>
        <v>1</v>
      </c>
      <c r="AF642" s="1">
        <f t="shared" si="116"/>
        <v>0</v>
      </c>
      <c r="AG642" s="1">
        <f t="shared" si="117"/>
        <v>1</v>
      </c>
      <c r="AH642" s="1">
        <f t="shared" si="118"/>
        <v>1</v>
      </c>
      <c r="AI642" s="1">
        <f t="shared" si="119"/>
        <v>0</v>
      </c>
      <c r="AJ642" s="1">
        <f>SUMXMY2(Z642:AI642, Occurrence!B$3:K$3)</f>
        <v>6</v>
      </c>
      <c r="AK642" s="1">
        <f t="shared" si="120"/>
        <v>4</v>
      </c>
    </row>
    <row r="643" spans="1:37">
      <c r="A643" s="1">
        <v>642</v>
      </c>
      <c r="B643" s="1">
        <v>4252641</v>
      </c>
      <c r="C643" s="6" t="s">
        <v>44</v>
      </c>
      <c r="D643" s="1">
        <v>0.35</v>
      </c>
      <c r="E643" s="1">
        <v>0.45</v>
      </c>
      <c r="F643" s="1">
        <v>0.5</v>
      </c>
      <c r="G643" s="1">
        <v>0.75</v>
      </c>
      <c r="H643" s="1">
        <v>0.4</v>
      </c>
      <c r="I643" s="1">
        <v>0.2</v>
      </c>
      <c r="J643" s="1">
        <v>0.65</v>
      </c>
      <c r="K643" s="1">
        <v>0.5</v>
      </c>
      <c r="L643" s="1">
        <v>0.15</v>
      </c>
      <c r="M643" s="1">
        <v>0.48</v>
      </c>
      <c r="N643" s="1">
        <f>(Occurrence!B$3-D643)^2</f>
        <v>0.12249999999999998</v>
      </c>
      <c r="O643" s="1">
        <f>(Occurrence!C$3-E643)^2</f>
        <v>0.20250000000000001</v>
      </c>
      <c r="P643" s="1">
        <f>(Occurrence!D$3-F643)^2</f>
        <v>0.25</v>
      </c>
      <c r="Q643" s="1">
        <f>(Occurrence!E$3-G643)^2</f>
        <v>6.25E-2</v>
      </c>
      <c r="R643" s="1">
        <f>(Occurrence!F$3-H643)^2</f>
        <v>0.16000000000000003</v>
      </c>
      <c r="S643" s="1">
        <f>(Occurrence!G$3-I643)^2</f>
        <v>4.0000000000000008E-2</v>
      </c>
      <c r="T643" s="1">
        <f>(Occurrence!H$3-J643)^2</f>
        <v>0.12249999999999998</v>
      </c>
      <c r="U643" s="1">
        <f>(Occurrence!I$3-K643)^2</f>
        <v>0.25</v>
      </c>
      <c r="V643" s="1">
        <f>(Occurrence!J$3-L643)^2</f>
        <v>2.2499999999999999E-2</v>
      </c>
      <c r="W643" s="1">
        <f>(Occurrence!K$3-M643)^2</f>
        <v>0.27040000000000003</v>
      </c>
      <c r="X643" s="1">
        <f t="shared" ref="X643:X706" si="121">SUM(N643:W643)</f>
        <v>1.5028999999999999</v>
      </c>
      <c r="Z643" s="1">
        <f t="shared" ref="Z643:Z706" si="122">ROUND(D643, 0)</f>
        <v>0</v>
      </c>
      <c r="AA643" s="1">
        <f t="shared" ref="AA643:AA706" si="123">ROUND(E643, 0)</f>
        <v>0</v>
      </c>
      <c r="AB643" s="1">
        <f t="shared" ref="AB643:AB706" si="124">ROUND(F643, 0)</f>
        <v>1</v>
      </c>
      <c r="AC643" s="1">
        <f t="shared" ref="AC643:AC706" si="125">ROUND(G643, 0)</f>
        <v>1</v>
      </c>
      <c r="AD643" s="1">
        <f t="shared" ref="AD643:AD706" si="126">ROUND(H643, 0)</f>
        <v>0</v>
      </c>
      <c r="AE643" s="1">
        <f t="shared" ref="AE643:AE706" si="127">ROUND(I643, 0)</f>
        <v>0</v>
      </c>
      <c r="AF643" s="1">
        <f t="shared" ref="AF643:AF706" si="128">ROUND(J643, 0)</f>
        <v>1</v>
      </c>
      <c r="AG643" s="1">
        <f t="shared" ref="AG643:AG706" si="129">ROUND(K643, 0)</f>
        <v>1</v>
      </c>
      <c r="AH643" s="1">
        <f t="shared" ref="AH643:AH706" si="130">ROUND(L643, 0)</f>
        <v>0</v>
      </c>
      <c r="AI643" s="1">
        <f t="shared" ref="AI643:AI706" si="131">ROUND(M643, 0)</f>
        <v>0</v>
      </c>
      <c r="AJ643" s="1">
        <f>SUMXMY2(Z643:AI643, Occurrence!B$3:K$3)</f>
        <v>1</v>
      </c>
      <c r="AK643" s="1">
        <f t="shared" ref="AK643:AK706" si="132">10-AJ643</f>
        <v>9</v>
      </c>
    </row>
    <row r="644" spans="1:37">
      <c r="A644" s="1">
        <v>643</v>
      </c>
      <c r="B644" s="1">
        <v>4252642</v>
      </c>
      <c r="C644" s="6" t="s">
        <v>44</v>
      </c>
      <c r="D644" s="1">
        <v>0.12</v>
      </c>
      <c r="E644" s="1">
        <v>0.22</v>
      </c>
      <c r="F644" s="1">
        <v>0.47</v>
      </c>
      <c r="G644" s="1">
        <v>0.31</v>
      </c>
      <c r="H644" s="1">
        <v>0.78</v>
      </c>
      <c r="I644" s="1">
        <v>0.5</v>
      </c>
      <c r="J644" s="1">
        <v>1</v>
      </c>
      <c r="K644" s="1">
        <v>0.89</v>
      </c>
      <c r="L644" s="1">
        <v>1</v>
      </c>
      <c r="M644" s="1">
        <v>0.9</v>
      </c>
      <c r="N644" s="1">
        <f>(Occurrence!B$3-D644)^2</f>
        <v>1.44E-2</v>
      </c>
      <c r="O644" s="1">
        <f>(Occurrence!C$3-E644)^2</f>
        <v>4.8399999999999999E-2</v>
      </c>
      <c r="P644" s="1">
        <f>(Occurrence!D$3-F644)^2</f>
        <v>0.28090000000000004</v>
      </c>
      <c r="Q644" s="1">
        <f>(Occurrence!E$3-G644)^2</f>
        <v>0.47609999999999991</v>
      </c>
      <c r="R644" s="1">
        <f>(Occurrence!F$3-H644)^2</f>
        <v>0.60840000000000005</v>
      </c>
      <c r="S644" s="1">
        <f>(Occurrence!G$3-I644)^2</f>
        <v>0.25</v>
      </c>
      <c r="T644" s="1">
        <f>(Occurrence!H$3-J644)^2</f>
        <v>0</v>
      </c>
      <c r="U644" s="1">
        <f>(Occurrence!I$3-K644)^2</f>
        <v>1.2099999999999998E-2</v>
      </c>
      <c r="V644" s="1">
        <f>(Occurrence!J$3-L644)^2</f>
        <v>1</v>
      </c>
      <c r="W644" s="1">
        <f>(Occurrence!K$3-M644)^2</f>
        <v>9.999999999999995E-3</v>
      </c>
      <c r="X644" s="1">
        <f t="shared" si="121"/>
        <v>2.7002999999999995</v>
      </c>
      <c r="Z644" s="1">
        <f t="shared" si="122"/>
        <v>0</v>
      </c>
      <c r="AA644" s="1">
        <f t="shared" si="123"/>
        <v>0</v>
      </c>
      <c r="AB644" s="1">
        <f t="shared" si="124"/>
        <v>0</v>
      </c>
      <c r="AC644" s="1">
        <f t="shared" si="125"/>
        <v>0</v>
      </c>
      <c r="AD644" s="1">
        <f t="shared" si="126"/>
        <v>1</v>
      </c>
      <c r="AE644" s="1">
        <f t="shared" si="127"/>
        <v>1</v>
      </c>
      <c r="AF644" s="1">
        <f t="shared" si="128"/>
        <v>1</v>
      </c>
      <c r="AG644" s="1">
        <f t="shared" si="129"/>
        <v>1</v>
      </c>
      <c r="AH644" s="1">
        <f t="shared" si="130"/>
        <v>1</v>
      </c>
      <c r="AI644" s="1">
        <f t="shared" si="131"/>
        <v>1</v>
      </c>
      <c r="AJ644" s="1">
        <f>SUMXMY2(Z644:AI644, Occurrence!B$3:K$3)</f>
        <v>5</v>
      </c>
      <c r="AK644" s="1">
        <f t="shared" si="132"/>
        <v>5</v>
      </c>
    </row>
    <row r="645" spans="1:37">
      <c r="A645" s="1">
        <v>644</v>
      </c>
      <c r="B645" s="1">
        <v>4252643</v>
      </c>
      <c r="C645" s="6" t="s">
        <v>44</v>
      </c>
      <c r="D645" s="1">
        <v>0.34</v>
      </c>
      <c r="E645" s="1">
        <v>0.66</v>
      </c>
      <c r="F645" s="1">
        <v>0.75</v>
      </c>
      <c r="G645" s="1">
        <v>0.91</v>
      </c>
      <c r="H645" s="1">
        <v>0.5</v>
      </c>
      <c r="I645" s="1">
        <v>0.67</v>
      </c>
      <c r="J645" s="1">
        <v>0.65</v>
      </c>
      <c r="K645" s="1">
        <v>0.78</v>
      </c>
      <c r="L645" s="1">
        <v>0.34</v>
      </c>
      <c r="M645" s="1">
        <v>0.67</v>
      </c>
      <c r="N645" s="1">
        <f>(Occurrence!B$3-D645)^2</f>
        <v>0.11560000000000002</v>
      </c>
      <c r="O645" s="1">
        <f>(Occurrence!C$3-E645)^2</f>
        <v>0.43560000000000004</v>
      </c>
      <c r="P645" s="1">
        <f>(Occurrence!D$3-F645)^2</f>
        <v>6.25E-2</v>
      </c>
      <c r="Q645" s="1">
        <f>(Occurrence!E$3-G645)^2</f>
        <v>8.0999999999999944E-3</v>
      </c>
      <c r="R645" s="1">
        <f>(Occurrence!F$3-H645)^2</f>
        <v>0.25</v>
      </c>
      <c r="S645" s="1">
        <f>(Occurrence!G$3-I645)^2</f>
        <v>0.44890000000000008</v>
      </c>
      <c r="T645" s="1">
        <f>(Occurrence!H$3-J645)^2</f>
        <v>0.12249999999999998</v>
      </c>
      <c r="U645" s="1">
        <f>(Occurrence!I$3-K645)^2</f>
        <v>4.8399999999999992E-2</v>
      </c>
      <c r="V645" s="1">
        <f>(Occurrence!J$3-L645)^2</f>
        <v>0.11560000000000002</v>
      </c>
      <c r="W645" s="1">
        <f>(Occurrence!K$3-M645)^2</f>
        <v>0.10889999999999997</v>
      </c>
      <c r="X645" s="1">
        <f t="shared" si="121"/>
        <v>1.7161</v>
      </c>
      <c r="Z645" s="1">
        <f t="shared" si="122"/>
        <v>0</v>
      </c>
      <c r="AA645" s="1">
        <f t="shared" si="123"/>
        <v>1</v>
      </c>
      <c r="AB645" s="1">
        <f t="shared" si="124"/>
        <v>1</v>
      </c>
      <c r="AC645" s="1">
        <f t="shared" si="125"/>
        <v>1</v>
      </c>
      <c r="AD645" s="1">
        <f t="shared" si="126"/>
        <v>1</v>
      </c>
      <c r="AE645" s="1">
        <f t="shared" si="127"/>
        <v>1</v>
      </c>
      <c r="AF645" s="1">
        <f t="shared" si="128"/>
        <v>1</v>
      </c>
      <c r="AG645" s="1">
        <f t="shared" si="129"/>
        <v>1</v>
      </c>
      <c r="AH645" s="1">
        <f t="shared" si="130"/>
        <v>0</v>
      </c>
      <c r="AI645" s="1">
        <f t="shared" si="131"/>
        <v>1</v>
      </c>
      <c r="AJ645" s="1">
        <f>SUMXMY2(Z645:AI645, Occurrence!B$3:K$3)</f>
        <v>3</v>
      </c>
      <c r="AK645" s="1">
        <f t="shared" si="132"/>
        <v>7</v>
      </c>
    </row>
    <row r="646" spans="1:37">
      <c r="A646" s="1">
        <v>645</v>
      </c>
      <c r="B646" s="1">
        <v>4252644</v>
      </c>
      <c r="C646" s="6" t="s">
        <v>44</v>
      </c>
      <c r="D646" s="1">
        <v>0.5</v>
      </c>
      <c r="E646" s="1">
        <v>0.2</v>
      </c>
      <c r="F646" s="1">
        <v>0.4</v>
      </c>
      <c r="G646" s="1">
        <v>0.8</v>
      </c>
      <c r="H646" s="1">
        <v>0.5</v>
      </c>
      <c r="I646" s="1">
        <v>0.6</v>
      </c>
      <c r="J646" s="1">
        <v>0.4</v>
      </c>
      <c r="K646" s="1">
        <v>0.5</v>
      </c>
      <c r="L646" s="1">
        <v>0.1</v>
      </c>
      <c r="M646" s="1">
        <v>0.4</v>
      </c>
      <c r="N646" s="1">
        <f>(Occurrence!B$3-D646)^2</f>
        <v>0.25</v>
      </c>
      <c r="O646" s="1">
        <f>(Occurrence!C$3-E646)^2</f>
        <v>4.0000000000000008E-2</v>
      </c>
      <c r="P646" s="1">
        <f>(Occurrence!D$3-F646)^2</f>
        <v>0.36</v>
      </c>
      <c r="Q646" s="1">
        <f>(Occurrence!E$3-G646)^2</f>
        <v>3.999999999999998E-2</v>
      </c>
      <c r="R646" s="1">
        <f>(Occurrence!F$3-H646)^2</f>
        <v>0.25</v>
      </c>
      <c r="S646" s="1">
        <f>(Occurrence!G$3-I646)^2</f>
        <v>0.36</v>
      </c>
      <c r="T646" s="1">
        <f>(Occurrence!H$3-J646)^2</f>
        <v>0.36</v>
      </c>
      <c r="U646" s="1">
        <f>(Occurrence!I$3-K646)^2</f>
        <v>0.25</v>
      </c>
      <c r="V646" s="1">
        <f>(Occurrence!J$3-L646)^2</f>
        <v>1.0000000000000002E-2</v>
      </c>
      <c r="W646" s="1">
        <f>(Occurrence!K$3-M646)^2</f>
        <v>0.36</v>
      </c>
      <c r="X646" s="1">
        <f t="shared" si="121"/>
        <v>2.2799999999999998</v>
      </c>
      <c r="Z646" s="1">
        <f t="shared" si="122"/>
        <v>1</v>
      </c>
      <c r="AA646" s="1">
        <f t="shared" si="123"/>
        <v>0</v>
      </c>
      <c r="AB646" s="1">
        <f t="shared" si="124"/>
        <v>0</v>
      </c>
      <c r="AC646" s="1">
        <f t="shared" si="125"/>
        <v>1</v>
      </c>
      <c r="AD646" s="1">
        <f t="shared" si="126"/>
        <v>1</v>
      </c>
      <c r="AE646" s="1">
        <f t="shared" si="127"/>
        <v>1</v>
      </c>
      <c r="AF646" s="1">
        <f t="shared" si="128"/>
        <v>0</v>
      </c>
      <c r="AG646" s="1">
        <f t="shared" si="129"/>
        <v>1</v>
      </c>
      <c r="AH646" s="1">
        <f t="shared" si="130"/>
        <v>0</v>
      </c>
      <c r="AI646" s="1">
        <f t="shared" si="131"/>
        <v>0</v>
      </c>
      <c r="AJ646" s="1">
        <f>SUMXMY2(Z646:AI646, Occurrence!B$3:K$3)</f>
        <v>6</v>
      </c>
      <c r="AK646" s="1">
        <f t="shared" si="132"/>
        <v>4</v>
      </c>
    </row>
    <row r="647" spans="1:37">
      <c r="A647" s="1">
        <v>646</v>
      </c>
      <c r="B647" s="1">
        <v>4252645</v>
      </c>
      <c r="C647" s="6" t="s">
        <v>44</v>
      </c>
      <c r="D647" s="1">
        <v>0.1</v>
      </c>
      <c r="E647" s="1">
        <v>0.2</v>
      </c>
      <c r="F647" s="1">
        <v>0.4</v>
      </c>
      <c r="G647" s="1">
        <v>0.7</v>
      </c>
      <c r="H647" s="1">
        <v>0.25</v>
      </c>
      <c r="I647" s="1">
        <v>0.3</v>
      </c>
      <c r="J647" s="1">
        <v>1</v>
      </c>
      <c r="K647" s="1">
        <v>0.8</v>
      </c>
      <c r="L647" s="1">
        <v>0.82</v>
      </c>
      <c r="M647" s="1">
        <v>0.7</v>
      </c>
      <c r="N647" s="1">
        <f>(Occurrence!B$3-D647)^2</f>
        <v>1.0000000000000002E-2</v>
      </c>
      <c r="O647" s="1">
        <f>(Occurrence!C$3-E647)^2</f>
        <v>4.0000000000000008E-2</v>
      </c>
      <c r="P647" s="1">
        <f>(Occurrence!D$3-F647)^2</f>
        <v>0.36</v>
      </c>
      <c r="Q647" s="1">
        <f>(Occurrence!E$3-G647)^2</f>
        <v>9.0000000000000024E-2</v>
      </c>
      <c r="R647" s="1">
        <f>(Occurrence!F$3-H647)^2</f>
        <v>6.25E-2</v>
      </c>
      <c r="S647" s="1">
        <f>(Occurrence!G$3-I647)^2</f>
        <v>0.09</v>
      </c>
      <c r="T647" s="1">
        <f>(Occurrence!H$3-J647)^2</f>
        <v>0</v>
      </c>
      <c r="U647" s="1">
        <f>(Occurrence!I$3-K647)^2</f>
        <v>3.999999999999998E-2</v>
      </c>
      <c r="V647" s="1">
        <f>(Occurrence!J$3-L647)^2</f>
        <v>0.67239999999999989</v>
      </c>
      <c r="W647" s="1">
        <f>(Occurrence!K$3-M647)^2</f>
        <v>9.0000000000000024E-2</v>
      </c>
      <c r="X647" s="1">
        <f t="shared" si="121"/>
        <v>1.4548999999999999</v>
      </c>
      <c r="Z647" s="1">
        <f t="shared" si="122"/>
        <v>0</v>
      </c>
      <c r="AA647" s="1">
        <f t="shared" si="123"/>
        <v>0</v>
      </c>
      <c r="AB647" s="1">
        <f t="shared" si="124"/>
        <v>0</v>
      </c>
      <c r="AC647" s="1">
        <f t="shared" si="125"/>
        <v>1</v>
      </c>
      <c r="AD647" s="1">
        <f t="shared" si="126"/>
        <v>0</v>
      </c>
      <c r="AE647" s="1">
        <f t="shared" si="127"/>
        <v>0</v>
      </c>
      <c r="AF647" s="1">
        <f t="shared" si="128"/>
        <v>1</v>
      </c>
      <c r="AG647" s="1">
        <f t="shared" si="129"/>
        <v>1</v>
      </c>
      <c r="AH647" s="1">
        <f t="shared" si="130"/>
        <v>1</v>
      </c>
      <c r="AI647" s="1">
        <f t="shared" si="131"/>
        <v>1</v>
      </c>
      <c r="AJ647" s="1">
        <f>SUMXMY2(Z647:AI647, Occurrence!B$3:K$3)</f>
        <v>2</v>
      </c>
      <c r="AK647" s="1">
        <f t="shared" si="132"/>
        <v>8</v>
      </c>
    </row>
    <row r="648" spans="1:37">
      <c r="A648" s="1">
        <v>647</v>
      </c>
      <c r="B648" s="1">
        <v>4252646</v>
      </c>
      <c r="C648" s="6" t="s">
        <v>44</v>
      </c>
      <c r="D648" s="1">
        <v>0.01</v>
      </c>
      <c r="E648" s="1">
        <v>0.1</v>
      </c>
      <c r="F648" s="1">
        <v>0.4</v>
      </c>
      <c r="G648" s="1">
        <v>0.5</v>
      </c>
      <c r="H648" s="1">
        <v>0.3</v>
      </c>
      <c r="I648" s="1">
        <v>0.8</v>
      </c>
      <c r="J648" s="1">
        <v>0.55000000000000004</v>
      </c>
      <c r="K648" s="1">
        <v>0.6</v>
      </c>
      <c r="L648" s="1">
        <v>0.9</v>
      </c>
      <c r="M648" s="1">
        <v>0.6</v>
      </c>
      <c r="N648" s="1">
        <f>(Occurrence!B$3-D648)^2</f>
        <v>1E-4</v>
      </c>
      <c r="O648" s="1">
        <f>(Occurrence!C$3-E648)^2</f>
        <v>1.0000000000000002E-2</v>
      </c>
      <c r="P648" s="1">
        <f>(Occurrence!D$3-F648)^2</f>
        <v>0.36</v>
      </c>
      <c r="Q648" s="1">
        <f>(Occurrence!E$3-G648)^2</f>
        <v>0.25</v>
      </c>
      <c r="R648" s="1">
        <f>(Occurrence!F$3-H648)^2</f>
        <v>0.09</v>
      </c>
      <c r="S648" s="1">
        <f>(Occurrence!G$3-I648)^2</f>
        <v>0.64000000000000012</v>
      </c>
      <c r="T648" s="1">
        <f>(Occurrence!H$3-J648)^2</f>
        <v>0.20249999999999996</v>
      </c>
      <c r="U648" s="1">
        <f>(Occurrence!I$3-K648)^2</f>
        <v>0.16000000000000003</v>
      </c>
      <c r="V648" s="1">
        <f>(Occurrence!J$3-L648)^2</f>
        <v>0.81</v>
      </c>
      <c r="W648" s="1">
        <f>(Occurrence!K$3-M648)^2</f>
        <v>0.16000000000000003</v>
      </c>
      <c r="X648" s="1">
        <f t="shared" si="121"/>
        <v>2.6826000000000003</v>
      </c>
      <c r="Z648" s="1">
        <f t="shared" si="122"/>
        <v>0</v>
      </c>
      <c r="AA648" s="1">
        <f t="shared" si="123"/>
        <v>0</v>
      </c>
      <c r="AB648" s="1">
        <f t="shared" si="124"/>
        <v>0</v>
      </c>
      <c r="AC648" s="1">
        <f t="shared" si="125"/>
        <v>1</v>
      </c>
      <c r="AD648" s="1">
        <f t="shared" si="126"/>
        <v>0</v>
      </c>
      <c r="AE648" s="1">
        <f t="shared" si="127"/>
        <v>1</v>
      </c>
      <c r="AF648" s="1">
        <f t="shared" si="128"/>
        <v>1</v>
      </c>
      <c r="AG648" s="1">
        <f t="shared" si="129"/>
        <v>1</v>
      </c>
      <c r="AH648" s="1">
        <f t="shared" si="130"/>
        <v>1</v>
      </c>
      <c r="AI648" s="1">
        <f t="shared" si="131"/>
        <v>1</v>
      </c>
      <c r="AJ648" s="1">
        <f>SUMXMY2(Z648:AI648, Occurrence!B$3:K$3)</f>
        <v>3</v>
      </c>
      <c r="AK648" s="1">
        <f t="shared" si="132"/>
        <v>7</v>
      </c>
    </row>
    <row r="649" spans="1:37">
      <c r="A649" s="1">
        <v>648</v>
      </c>
      <c r="B649" s="1">
        <v>4252647</v>
      </c>
      <c r="C649" s="6" t="s">
        <v>44</v>
      </c>
      <c r="D649" s="1">
        <v>0.1</v>
      </c>
      <c r="E649" s="1">
        <v>0.2</v>
      </c>
      <c r="F649" s="1">
        <v>0.3</v>
      </c>
      <c r="G649" s="1">
        <v>0.4</v>
      </c>
      <c r="H649" s="1">
        <v>0.6</v>
      </c>
      <c r="I649" s="1">
        <v>0.6</v>
      </c>
      <c r="J649" s="1">
        <v>0.5</v>
      </c>
      <c r="K649" s="1">
        <v>1</v>
      </c>
      <c r="L649" s="1">
        <v>0.8</v>
      </c>
      <c r="M649" s="1">
        <v>0.5</v>
      </c>
      <c r="N649" s="1">
        <f>(Occurrence!B$3-D649)^2</f>
        <v>1.0000000000000002E-2</v>
      </c>
      <c r="O649" s="1">
        <f>(Occurrence!C$3-E649)^2</f>
        <v>4.0000000000000008E-2</v>
      </c>
      <c r="P649" s="1">
        <f>(Occurrence!D$3-F649)^2</f>
        <v>0.48999999999999994</v>
      </c>
      <c r="Q649" s="1">
        <f>(Occurrence!E$3-G649)^2</f>
        <v>0.36</v>
      </c>
      <c r="R649" s="1">
        <f>(Occurrence!F$3-H649)^2</f>
        <v>0.36</v>
      </c>
      <c r="S649" s="1">
        <f>(Occurrence!G$3-I649)^2</f>
        <v>0.36</v>
      </c>
      <c r="T649" s="1">
        <f>(Occurrence!H$3-J649)^2</f>
        <v>0.25</v>
      </c>
      <c r="U649" s="1">
        <f>(Occurrence!I$3-K649)^2</f>
        <v>0</v>
      </c>
      <c r="V649" s="1">
        <f>(Occurrence!J$3-L649)^2</f>
        <v>0.64000000000000012</v>
      </c>
      <c r="W649" s="1">
        <f>(Occurrence!K$3-M649)^2</f>
        <v>0.25</v>
      </c>
      <c r="X649" s="1">
        <f t="shared" si="121"/>
        <v>2.76</v>
      </c>
      <c r="Z649" s="1">
        <f t="shared" si="122"/>
        <v>0</v>
      </c>
      <c r="AA649" s="1">
        <f t="shared" si="123"/>
        <v>0</v>
      </c>
      <c r="AB649" s="1">
        <f t="shared" si="124"/>
        <v>0</v>
      </c>
      <c r="AC649" s="1">
        <f t="shared" si="125"/>
        <v>0</v>
      </c>
      <c r="AD649" s="1">
        <f t="shared" si="126"/>
        <v>1</v>
      </c>
      <c r="AE649" s="1">
        <f t="shared" si="127"/>
        <v>1</v>
      </c>
      <c r="AF649" s="1">
        <f t="shared" si="128"/>
        <v>1</v>
      </c>
      <c r="AG649" s="1">
        <f t="shared" si="129"/>
        <v>1</v>
      </c>
      <c r="AH649" s="1">
        <f t="shared" si="130"/>
        <v>1</v>
      </c>
      <c r="AI649" s="1">
        <f t="shared" si="131"/>
        <v>1</v>
      </c>
      <c r="AJ649" s="1">
        <f>SUMXMY2(Z649:AI649, Occurrence!B$3:K$3)</f>
        <v>5</v>
      </c>
      <c r="AK649" s="1">
        <f t="shared" si="132"/>
        <v>5</v>
      </c>
    </row>
    <row r="650" spans="1:37">
      <c r="A650" s="1">
        <v>649</v>
      </c>
      <c r="B650" s="1">
        <v>4252648</v>
      </c>
      <c r="C650" s="6" t="s">
        <v>44</v>
      </c>
      <c r="D650" s="1">
        <v>9.9999999999999995E-7</v>
      </c>
      <c r="E650" s="1">
        <v>1E-3</v>
      </c>
      <c r="F650" s="1">
        <v>0.33</v>
      </c>
      <c r="G650" s="1">
        <v>0.9</v>
      </c>
      <c r="H650" s="1">
        <v>1</v>
      </c>
      <c r="I650" s="1">
        <v>0.5</v>
      </c>
      <c r="J650" s="1">
        <v>1</v>
      </c>
      <c r="K650" s="1">
        <v>0.7</v>
      </c>
      <c r="L650" s="1">
        <v>0.1</v>
      </c>
      <c r="M650" s="1">
        <v>0.65</v>
      </c>
      <c r="N650" s="1">
        <f>(Occurrence!B$3-D650)^2</f>
        <v>9.9999999999999998E-13</v>
      </c>
      <c r="O650" s="1">
        <f>(Occurrence!C$3-E650)^2</f>
        <v>9.9999999999999995E-7</v>
      </c>
      <c r="P650" s="1">
        <f>(Occurrence!D$3-F650)^2</f>
        <v>0.44889999999999991</v>
      </c>
      <c r="Q650" s="1">
        <f>(Occurrence!E$3-G650)^2</f>
        <v>9.999999999999995E-3</v>
      </c>
      <c r="R650" s="1">
        <f>(Occurrence!F$3-H650)^2</f>
        <v>1</v>
      </c>
      <c r="S650" s="1">
        <f>(Occurrence!G$3-I650)^2</f>
        <v>0.25</v>
      </c>
      <c r="T650" s="1">
        <f>(Occurrence!H$3-J650)^2</f>
        <v>0</v>
      </c>
      <c r="U650" s="1">
        <f>(Occurrence!I$3-K650)^2</f>
        <v>9.0000000000000024E-2</v>
      </c>
      <c r="V650" s="1">
        <f>(Occurrence!J$3-L650)^2</f>
        <v>1.0000000000000002E-2</v>
      </c>
      <c r="W650" s="1">
        <f>(Occurrence!K$3-M650)^2</f>
        <v>0.12249999999999998</v>
      </c>
      <c r="X650" s="1">
        <f t="shared" si="121"/>
        <v>1.931401000001</v>
      </c>
      <c r="Z650" s="1">
        <f t="shared" si="122"/>
        <v>0</v>
      </c>
      <c r="AA650" s="1">
        <f t="shared" si="123"/>
        <v>0</v>
      </c>
      <c r="AB650" s="1">
        <f t="shared" si="124"/>
        <v>0</v>
      </c>
      <c r="AC650" s="1">
        <f t="shared" si="125"/>
        <v>1</v>
      </c>
      <c r="AD650" s="1">
        <f t="shared" si="126"/>
        <v>1</v>
      </c>
      <c r="AE650" s="1">
        <f t="shared" si="127"/>
        <v>1</v>
      </c>
      <c r="AF650" s="1">
        <f t="shared" si="128"/>
        <v>1</v>
      </c>
      <c r="AG650" s="1">
        <f t="shared" si="129"/>
        <v>1</v>
      </c>
      <c r="AH650" s="1">
        <f t="shared" si="130"/>
        <v>0</v>
      </c>
      <c r="AI650" s="1">
        <f t="shared" si="131"/>
        <v>1</v>
      </c>
      <c r="AJ650" s="1">
        <f>SUMXMY2(Z650:AI650, Occurrence!B$3:K$3)</f>
        <v>3</v>
      </c>
      <c r="AK650" s="1">
        <f t="shared" si="132"/>
        <v>7</v>
      </c>
    </row>
    <row r="651" spans="1:37">
      <c r="A651" s="1">
        <v>650</v>
      </c>
      <c r="B651" s="1">
        <v>4252649</v>
      </c>
      <c r="C651" s="6" t="s">
        <v>44</v>
      </c>
      <c r="D651" s="1">
        <v>0.11</v>
      </c>
      <c r="E651" s="1">
        <v>0.32</v>
      </c>
      <c r="F651" s="1">
        <v>0.1</v>
      </c>
      <c r="G651" s="1">
        <v>0.43</v>
      </c>
      <c r="H651" s="1">
        <v>1</v>
      </c>
      <c r="I651" s="1">
        <v>0.3</v>
      </c>
      <c r="J651" s="1">
        <v>0.2</v>
      </c>
      <c r="K651" s="1">
        <v>0.45</v>
      </c>
      <c r="L651" s="1">
        <v>1</v>
      </c>
      <c r="M651" s="1">
        <v>0.5</v>
      </c>
      <c r="N651" s="1">
        <f>(Occurrence!B$3-D651)^2</f>
        <v>1.21E-2</v>
      </c>
      <c r="O651" s="1">
        <f>(Occurrence!C$3-E651)^2</f>
        <v>0.1024</v>
      </c>
      <c r="P651" s="1">
        <f>(Occurrence!D$3-F651)^2</f>
        <v>0.81</v>
      </c>
      <c r="Q651" s="1">
        <f>(Occurrence!E$3-G651)^2</f>
        <v>0.32490000000000008</v>
      </c>
      <c r="R651" s="1">
        <f>(Occurrence!F$3-H651)^2</f>
        <v>1</v>
      </c>
      <c r="S651" s="1">
        <f>(Occurrence!G$3-I651)^2</f>
        <v>0.09</v>
      </c>
      <c r="T651" s="1">
        <f>(Occurrence!H$3-J651)^2</f>
        <v>0.64000000000000012</v>
      </c>
      <c r="U651" s="1">
        <f>(Occurrence!I$3-K651)^2</f>
        <v>0.30250000000000005</v>
      </c>
      <c r="V651" s="1">
        <f>(Occurrence!J$3-L651)^2</f>
        <v>1</v>
      </c>
      <c r="W651" s="1">
        <f>(Occurrence!K$3-M651)^2</f>
        <v>0.25</v>
      </c>
      <c r="X651" s="1">
        <f t="shared" si="121"/>
        <v>4.5319000000000003</v>
      </c>
      <c r="Z651" s="1">
        <f t="shared" si="122"/>
        <v>0</v>
      </c>
      <c r="AA651" s="1">
        <f t="shared" si="123"/>
        <v>0</v>
      </c>
      <c r="AB651" s="1">
        <f t="shared" si="124"/>
        <v>0</v>
      </c>
      <c r="AC651" s="1">
        <f t="shared" si="125"/>
        <v>0</v>
      </c>
      <c r="AD651" s="1">
        <f t="shared" si="126"/>
        <v>1</v>
      </c>
      <c r="AE651" s="1">
        <f t="shared" si="127"/>
        <v>0</v>
      </c>
      <c r="AF651" s="1">
        <f t="shared" si="128"/>
        <v>0</v>
      </c>
      <c r="AG651" s="1">
        <f t="shared" si="129"/>
        <v>0</v>
      </c>
      <c r="AH651" s="1">
        <f t="shared" si="130"/>
        <v>1</v>
      </c>
      <c r="AI651" s="1">
        <f t="shared" si="131"/>
        <v>1</v>
      </c>
      <c r="AJ651" s="1">
        <f>SUMXMY2(Z651:AI651, Occurrence!B$3:K$3)</f>
        <v>6</v>
      </c>
      <c r="AK651" s="1">
        <f t="shared" si="132"/>
        <v>4</v>
      </c>
    </row>
    <row r="652" spans="1:37">
      <c r="A652" s="1">
        <v>651</v>
      </c>
      <c r="B652" s="1">
        <v>4252650</v>
      </c>
      <c r="C652" s="6" t="s">
        <v>44</v>
      </c>
      <c r="D652" s="1">
        <v>0.04</v>
      </c>
      <c r="E652" s="1">
        <v>0.15</v>
      </c>
      <c r="F652" s="1">
        <v>0.77</v>
      </c>
      <c r="G652" s="1">
        <v>1</v>
      </c>
      <c r="H652" s="1">
        <v>0.87</v>
      </c>
      <c r="I652" s="1">
        <v>1</v>
      </c>
      <c r="J652" s="1">
        <v>0.75</v>
      </c>
      <c r="K652" s="1">
        <v>0.82</v>
      </c>
      <c r="L652" s="1">
        <v>0.9</v>
      </c>
      <c r="M652" s="1">
        <v>0.65</v>
      </c>
      <c r="N652" s="1">
        <f>(Occurrence!B$3-D652)^2</f>
        <v>1.6000000000000001E-3</v>
      </c>
      <c r="O652" s="1">
        <f>(Occurrence!C$3-E652)^2</f>
        <v>2.2499999999999999E-2</v>
      </c>
      <c r="P652" s="1">
        <f>(Occurrence!D$3-F652)^2</f>
        <v>5.2899999999999989E-2</v>
      </c>
      <c r="Q652" s="1">
        <f>(Occurrence!E$3-G652)^2</f>
        <v>0</v>
      </c>
      <c r="R652" s="1">
        <f>(Occurrence!F$3-H652)^2</f>
        <v>0.75690000000000002</v>
      </c>
      <c r="S652" s="1">
        <f>(Occurrence!G$3-I652)^2</f>
        <v>1</v>
      </c>
      <c r="T652" s="1">
        <f>(Occurrence!H$3-J652)^2</f>
        <v>6.25E-2</v>
      </c>
      <c r="U652" s="1">
        <f>(Occurrence!I$3-K652)^2</f>
        <v>3.2400000000000019E-2</v>
      </c>
      <c r="V652" s="1">
        <f>(Occurrence!J$3-L652)^2</f>
        <v>0.81</v>
      </c>
      <c r="W652" s="1">
        <f>(Occurrence!K$3-M652)^2</f>
        <v>0.12249999999999998</v>
      </c>
      <c r="X652" s="1">
        <f t="shared" si="121"/>
        <v>2.8613</v>
      </c>
      <c r="Z652" s="1">
        <f t="shared" si="122"/>
        <v>0</v>
      </c>
      <c r="AA652" s="1">
        <f t="shared" si="123"/>
        <v>0</v>
      </c>
      <c r="AB652" s="1">
        <f t="shared" si="124"/>
        <v>1</v>
      </c>
      <c r="AC652" s="1">
        <f t="shared" si="125"/>
        <v>1</v>
      </c>
      <c r="AD652" s="1">
        <f t="shared" si="126"/>
        <v>1</v>
      </c>
      <c r="AE652" s="1">
        <f t="shared" si="127"/>
        <v>1</v>
      </c>
      <c r="AF652" s="1">
        <f t="shared" si="128"/>
        <v>1</v>
      </c>
      <c r="AG652" s="1">
        <f t="shared" si="129"/>
        <v>1</v>
      </c>
      <c r="AH652" s="1">
        <f t="shared" si="130"/>
        <v>1</v>
      </c>
      <c r="AI652" s="1">
        <f t="shared" si="131"/>
        <v>1</v>
      </c>
      <c r="AJ652" s="1">
        <f>SUMXMY2(Z652:AI652, Occurrence!B$3:K$3)</f>
        <v>3</v>
      </c>
      <c r="AK652" s="1">
        <f t="shared" si="132"/>
        <v>7</v>
      </c>
    </row>
    <row r="653" spans="1:37">
      <c r="A653" s="1">
        <v>652</v>
      </c>
      <c r="B653" s="1">
        <v>4252651</v>
      </c>
      <c r="C653" s="6" t="s">
        <v>44</v>
      </c>
      <c r="D653" s="1">
        <v>0</v>
      </c>
      <c r="E653" s="1">
        <v>1E-8</v>
      </c>
      <c r="F653" s="1">
        <v>1</v>
      </c>
      <c r="G653" s="1">
        <v>1</v>
      </c>
      <c r="H653" s="1">
        <v>0</v>
      </c>
      <c r="I653" s="1">
        <v>0.15</v>
      </c>
      <c r="J653" s="1">
        <v>0.05</v>
      </c>
      <c r="K653" s="1">
        <v>0.6</v>
      </c>
      <c r="L653" s="1">
        <v>1</v>
      </c>
      <c r="M653" s="1">
        <v>0.05</v>
      </c>
      <c r="N653" s="1">
        <f>(Occurrence!B$3-D653)^2</f>
        <v>0</v>
      </c>
      <c r="O653" s="1">
        <f>(Occurrence!C$3-E653)^2</f>
        <v>1.0000000000000001E-16</v>
      </c>
      <c r="P653" s="1">
        <f>(Occurrence!D$3-F653)^2</f>
        <v>0</v>
      </c>
      <c r="Q653" s="1">
        <f>(Occurrence!E$3-G653)^2</f>
        <v>0</v>
      </c>
      <c r="R653" s="1">
        <f>(Occurrence!F$3-H653)^2</f>
        <v>0</v>
      </c>
      <c r="S653" s="1">
        <f>(Occurrence!G$3-I653)^2</f>
        <v>2.2499999999999999E-2</v>
      </c>
      <c r="T653" s="1">
        <f>(Occurrence!H$3-J653)^2</f>
        <v>0.90249999999999997</v>
      </c>
      <c r="U653" s="1">
        <f>(Occurrence!I$3-K653)^2</f>
        <v>0.16000000000000003</v>
      </c>
      <c r="V653" s="1">
        <f>(Occurrence!J$3-L653)^2</f>
        <v>1</v>
      </c>
      <c r="W653" s="1">
        <f>(Occurrence!K$3-M653)^2</f>
        <v>0.90249999999999997</v>
      </c>
      <c r="X653" s="1">
        <f t="shared" si="121"/>
        <v>2.9874999999999998</v>
      </c>
      <c r="Z653" s="1">
        <f t="shared" si="122"/>
        <v>0</v>
      </c>
      <c r="AA653" s="1">
        <f t="shared" si="123"/>
        <v>0</v>
      </c>
      <c r="AB653" s="1">
        <f t="shared" si="124"/>
        <v>1</v>
      </c>
      <c r="AC653" s="1">
        <f t="shared" si="125"/>
        <v>1</v>
      </c>
      <c r="AD653" s="1">
        <f t="shared" si="126"/>
        <v>0</v>
      </c>
      <c r="AE653" s="1">
        <f t="shared" si="127"/>
        <v>0</v>
      </c>
      <c r="AF653" s="1">
        <f t="shared" si="128"/>
        <v>0</v>
      </c>
      <c r="AG653" s="1">
        <f t="shared" si="129"/>
        <v>1</v>
      </c>
      <c r="AH653" s="1">
        <f t="shared" si="130"/>
        <v>1</v>
      </c>
      <c r="AI653" s="1">
        <f t="shared" si="131"/>
        <v>0</v>
      </c>
      <c r="AJ653" s="1">
        <f>SUMXMY2(Z653:AI653, Occurrence!B$3:K$3)</f>
        <v>3</v>
      </c>
      <c r="AK653" s="1">
        <f t="shared" si="132"/>
        <v>7</v>
      </c>
    </row>
    <row r="654" spans="1:37">
      <c r="A654" s="1">
        <v>653</v>
      </c>
      <c r="B654" s="1">
        <v>4252652</v>
      </c>
      <c r="C654" s="6" t="s">
        <v>44</v>
      </c>
      <c r="D654" s="1">
        <v>0.15</v>
      </c>
      <c r="E654" s="1">
        <v>0.22</v>
      </c>
      <c r="F654" s="1">
        <v>0.65</v>
      </c>
      <c r="G654" s="1">
        <v>0.95</v>
      </c>
      <c r="H654" s="1">
        <v>0.8</v>
      </c>
      <c r="I654" s="1">
        <v>3.0000000000000001E-3</v>
      </c>
      <c r="J654" s="1">
        <v>0.9</v>
      </c>
      <c r="K654" s="1">
        <v>0.6</v>
      </c>
      <c r="L654" s="1">
        <v>0.98</v>
      </c>
      <c r="M654" s="1">
        <v>0.68</v>
      </c>
      <c r="N654" s="1">
        <f>(Occurrence!B$3-D654)^2</f>
        <v>2.2499999999999999E-2</v>
      </c>
      <c r="O654" s="1">
        <f>(Occurrence!C$3-E654)^2</f>
        <v>4.8399999999999999E-2</v>
      </c>
      <c r="P654" s="1">
        <f>(Occurrence!D$3-F654)^2</f>
        <v>0.12249999999999998</v>
      </c>
      <c r="Q654" s="1">
        <f>(Occurrence!E$3-G654)^2</f>
        <v>2.5000000000000044E-3</v>
      </c>
      <c r="R654" s="1">
        <f>(Occurrence!F$3-H654)^2</f>
        <v>0.64000000000000012</v>
      </c>
      <c r="S654" s="1">
        <f>(Occurrence!G$3-I654)^2</f>
        <v>9.0000000000000002E-6</v>
      </c>
      <c r="T654" s="1">
        <f>(Occurrence!H$3-J654)^2</f>
        <v>9.999999999999995E-3</v>
      </c>
      <c r="U654" s="1">
        <f>(Occurrence!I$3-K654)^2</f>
        <v>0.16000000000000003</v>
      </c>
      <c r="V654" s="1">
        <f>(Occurrence!J$3-L654)^2</f>
        <v>0.96039999999999992</v>
      </c>
      <c r="W654" s="1">
        <f>(Occurrence!K$3-M654)^2</f>
        <v>0.10239999999999996</v>
      </c>
      <c r="X654" s="1">
        <f t="shared" si="121"/>
        <v>2.0687090000000001</v>
      </c>
      <c r="Z654" s="1">
        <f t="shared" si="122"/>
        <v>0</v>
      </c>
      <c r="AA654" s="1">
        <f t="shared" si="123"/>
        <v>0</v>
      </c>
      <c r="AB654" s="1">
        <f t="shared" si="124"/>
        <v>1</v>
      </c>
      <c r="AC654" s="1">
        <f t="shared" si="125"/>
        <v>1</v>
      </c>
      <c r="AD654" s="1">
        <f t="shared" si="126"/>
        <v>1</v>
      </c>
      <c r="AE654" s="1">
        <f t="shared" si="127"/>
        <v>0</v>
      </c>
      <c r="AF654" s="1">
        <f t="shared" si="128"/>
        <v>1</v>
      </c>
      <c r="AG654" s="1">
        <f t="shared" si="129"/>
        <v>1</v>
      </c>
      <c r="AH654" s="1">
        <f t="shared" si="130"/>
        <v>1</v>
      </c>
      <c r="AI654" s="1">
        <f t="shared" si="131"/>
        <v>1</v>
      </c>
      <c r="AJ654" s="1">
        <f>SUMXMY2(Z654:AI654, Occurrence!B$3:K$3)</f>
        <v>2</v>
      </c>
      <c r="AK654" s="1">
        <f t="shared" si="132"/>
        <v>8</v>
      </c>
    </row>
    <row r="655" spans="1:37">
      <c r="A655" s="1">
        <v>654</v>
      </c>
      <c r="B655" s="1">
        <v>4252653</v>
      </c>
      <c r="C655" s="6" t="s">
        <v>44</v>
      </c>
      <c r="D655" s="1">
        <v>0.4</v>
      </c>
      <c r="E655" s="1">
        <v>0.5</v>
      </c>
      <c r="F655" s="1">
        <v>0.6</v>
      </c>
      <c r="G655" s="1">
        <v>0.5</v>
      </c>
      <c r="H655" s="1">
        <v>0.3</v>
      </c>
      <c r="I655" s="1">
        <v>0.8</v>
      </c>
      <c r="J655" s="1">
        <v>0.6</v>
      </c>
      <c r="K655" s="1">
        <v>0.4</v>
      </c>
      <c r="L655" s="1">
        <v>0.65</v>
      </c>
      <c r="M655" s="1">
        <v>0.45</v>
      </c>
      <c r="N655" s="1">
        <f>(Occurrence!B$3-D655)^2</f>
        <v>0.16000000000000003</v>
      </c>
      <c r="O655" s="1">
        <f>(Occurrence!C$3-E655)^2</f>
        <v>0.25</v>
      </c>
      <c r="P655" s="1">
        <f>(Occurrence!D$3-F655)^2</f>
        <v>0.16000000000000003</v>
      </c>
      <c r="Q655" s="1">
        <f>(Occurrence!E$3-G655)^2</f>
        <v>0.25</v>
      </c>
      <c r="R655" s="1">
        <f>(Occurrence!F$3-H655)^2</f>
        <v>0.09</v>
      </c>
      <c r="S655" s="1">
        <f>(Occurrence!G$3-I655)^2</f>
        <v>0.64000000000000012</v>
      </c>
      <c r="T655" s="1">
        <f>(Occurrence!H$3-J655)^2</f>
        <v>0.16000000000000003</v>
      </c>
      <c r="U655" s="1">
        <f>(Occurrence!I$3-K655)^2</f>
        <v>0.36</v>
      </c>
      <c r="V655" s="1">
        <f>(Occurrence!J$3-L655)^2</f>
        <v>0.42250000000000004</v>
      </c>
      <c r="W655" s="1">
        <f>(Occurrence!K$3-M655)^2</f>
        <v>0.30250000000000005</v>
      </c>
      <c r="X655" s="1">
        <f t="shared" si="121"/>
        <v>2.7950000000000004</v>
      </c>
      <c r="Z655" s="1">
        <f t="shared" si="122"/>
        <v>0</v>
      </c>
      <c r="AA655" s="1">
        <f t="shared" si="123"/>
        <v>1</v>
      </c>
      <c r="AB655" s="1">
        <f t="shared" si="124"/>
        <v>1</v>
      </c>
      <c r="AC655" s="1">
        <f t="shared" si="125"/>
        <v>1</v>
      </c>
      <c r="AD655" s="1">
        <f t="shared" si="126"/>
        <v>0</v>
      </c>
      <c r="AE655" s="1">
        <f t="shared" si="127"/>
        <v>1</v>
      </c>
      <c r="AF655" s="1">
        <f t="shared" si="128"/>
        <v>1</v>
      </c>
      <c r="AG655" s="1">
        <f t="shared" si="129"/>
        <v>0</v>
      </c>
      <c r="AH655" s="1">
        <f t="shared" si="130"/>
        <v>1</v>
      </c>
      <c r="AI655" s="1">
        <f t="shared" si="131"/>
        <v>0</v>
      </c>
      <c r="AJ655" s="1">
        <f>SUMXMY2(Z655:AI655, Occurrence!B$3:K$3)</f>
        <v>5</v>
      </c>
      <c r="AK655" s="1">
        <f t="shared" si="132"/>
        <v>5</v>
      </c>
    </row>
    <row r="656" spans="1:37">
      <c r="A656" s="1">
        <v>655</v>
      </c>
      <c r="B656" s="1">
        <v>4252654</v>
      </c>
      <c r="C656" s="6" t="s">
        <v>44</v>
      </c>
      <c r="D656" s="1">
        <v>0.12</v>
      </c>
      <c r="E656" s="1">
        <v>0.17</v>
      </c>
      <c r="F656" s="1">
        <v>0.71</v>
      </c>
      <c r="G656" s="1">
        <v>0.8</v>
      </c>
      <c r="H656" s="1">
        <v>0.83</v>
      </c>
      <c r="I656" s="1">
        <v>0.4</v>
      </c>
      <c r="J656" s="1">
        <v>0.21</v>
      </c>
      <c r="K656" s="1">
        <v>0.7</v>
      </c>
      <c r="L656" s="1">
        <v>0.02</v>
      </c>
      <c r="M656" s="1">
        <v>0.6</v>
      </c>
      <c r="N656" s="1">
        <f>(Occurrence!B$3-D656)^2</f>
        <v>1.44E-2</v>
      </c>
      <c r="O656" s="1">
        <f>(Occurrence!C$3-E656)^2</f>
        <v>2.8900000000000006E-2</v>
      </c>
      <c r="P656" s="1">
        <f>(Occurrence!D$3-F656)^2</f>
        <v>8.4100000000000022E-2</v>
      </c>
      <c r="Q656" s="1">
        <f>(Occurrence!E$3-G656)^2</f>
        <v>3.999999999999998E-2</v>
      </c>
      <c r="R656" s="1">
        <f>(Occurrence!F$3-H656)^2</f>
        <v>0.68889999999999996</v>
      </c>
      <c r="S656" s="1">
        <f>(Occurrence!G$3-I656)^2</f>
        <v>0.16000000000000003</v>
      </c>
      <c r="T656" s="1">
        <f>(Occurrence!H$3-J656)^2</f>
        <v>0.6241000000000001</v>
      </c>
      <c r="U656" s="1">
        <f>(Occurrence!I$3-K656)^2</f>
        <v>9.0000000000000024E-2</v>
      </c>
      <c r="V656" s="1">
        <f>(Occurrence!J$3-L656)^2</f>
        <v>4.0000000000000002E-4</v>
      </c>
      <c r="W656" s="1">
        <f>(Occurrence!K$3-M656)^2</f>
        <v>0.16000000000000003</v>
      </c>
      <c r="X656" s="1">
        <f t="shared" si="121"/>
        <v>1.8908</v>
      </c>
      <c r="Z656" s="1">
        <f t="shared" si="122"/>
        <v>0</v>
      </c>
      <c r="AA656" s="1">
        <f t="shared" si="123"/>
        <v>0</v>
      </c>
      <c r="AB656" s="1">
        <f t="shared" si="124"/>
        <v>1</v>
      </c>
      <c r="AC656" s="1">
        <f t="shared" si="125"/>
        <v>1</v>
      </c>
      <c r="AD656" s="1">
        <f t="shared" si="126"/>
        <v>1</v>
      </c>
      <c r="AE656" s="1">
        <f t="shared" si="127"/>
        <v>0</v>
      </c>
      <c r="AF656" s="1">
        <f t="shared" si="128"/>
        <v>0</v>
      </c>
      <c r="AG656" s="1">
        <f t="shared" si="129"/>
        <v>1</v>
      </c>
      <c r="AH656" s="1">
        <f t="shared" si="130"/>
        <v>0</v>
      </c>
      <c r="AI656" s="1">
        <f t="shared" si="131"/>
        <v>1</v>
      </c>
      <c r="AJ656" s="1">
        <f>SUMXMY2(Z656:AI656, Occurrence!B$3:K$3)</f>
        <v>2</v>
      </c>
      <c r="AK656" s="1">
        <f t="shared" si="132"/>
        <v>8</v>
      </c>
    </row>
    <row r="657" spans="1:37">
      <c r="A657" s="1">
        <v>656</v>
      </c>
      <c r="B657" s="1">
        <v>4252655</v>
      </c>
      <c r="C657" s="6" t="s">
        <v>45</v>
      </c>
      <c r="D657" s="1">
        <v>0.25</v>
      </c>
      <c r="E657" s="1">
        <v>0.75</v>
      </c>
      <c r="F657" s="1">
        <v>0.3</v>
      </c>
      <c r="G657" s="1">
        <v>0.7</v>
      </c>
      <c r="H657" s="1">
        <v>1</v>
      </c>
      <c r="I657" s="1">
        <v>0.9</v>
      </c>
      <c r="J657" s="1">
        <v>0.25</v>
      </c>
      <c r="K657" s="1">
        <v>0.5</v>
      </c>
      <c r="L657" s="1">
        <v>0.1</v>
      </c>
      <c r="M657" s="1">
        <v>0.56000000000000005</v>
      </c>
      <c r="N657" s="1">
        <f>(Occurrence!B$3-D657)^2</f>
        <v>6.25E-2</v>
      </c>
      <c r="O657" s="1">
        <f>(Occurrence!C$3-E657)^2</f>
        <v>0.5625</v>
      </c>
      <c r="P657" s="1">
        <f>(Occurrence!D$3-F657)^2</f>
        <v>0.48999999999999994</v>
      </c>
      <c r="Q657" s="1">
        <f>(Occurrence!E$3-G657)^2</f>
        <v>9.0000000000000024E-2</v>
      </c>
      <c r="R657" s="1">
        <f>(Occurrence!F$3-H657)^2</f>
        <v>1</v>
      </c>
      <c r="S657" s="1">
        <f>(Occurrence!G$3-I657)^2</f>
        <v>0.81</v>
      </c>
      <c r="T657" s="1">
        <f>(Occurrence!H$3-J657)^2</f>
        <v>0.5625</v>
      </c>
      <c r="U657" s="1">
        <f>(Occurrence!I$3-K657)^2</f>
        <v>0.25</v>
      </c>
      <c r="V657" s="1">
        <f>(Occurrence!J$3-L657)^2</f>
        <v>1.0000000000000002E-2</v>
      </c>
      <c r="W657" s="1">
        <f>(Occurrence!K$3-M657)^2</f>
        <v>0.19359999999999997</v>
      </c>
      <c r="X657" s="1">
        <f t="shared" si="121"/>
        <v>4.0310999999999995</v>
      </c>
      <c r="Z657" s="1">
        <f t="shared" si="122"/>
        <v>0</v>
      </c>
      <c r="AA657" s="1">
        <f t="shared" si="123"/>
        <v>1</v>
      </c>
      <c r="AB657" s="1">
        <f t="shared" si="124"/>
        <v>0</v>
      </c>
      <c r="AC657" s="1">
        <f t="shared" si="125"/>
        <v>1</v>
      </c>
      <c r="AD657" s="1">
        <f t="shared" si="126"/>
        <v>1</v>
      </c>
      <c r="AE657" s="1">
        <f t="shared" si="127"/>
        <v>1</v>
      </c>
      <c r="AF657" s="1">
        <f t="shared" si="128"/>
        <v>0</v>
      </c>
      <c r="AG657" s="1">
        <f t="shared" si="129"/>
        <v>1</v>
      </c>
      <c r="AH657" s="1">
        <f t="shared" si="130"/>
        <v>0</v>
      </c>
      <c r="AI657" s="1">
        <f t="shared" si="131"/>
        <v>1</v>
      </c>
      <c r="AJ657" s="1">
        <f>SUMXMY2(Z657:AI657, Occurrence!B$3:K$3)</f>
        <v>5</v>
      </c>
      <c r="AK657" s="1">
        <f t="shared" si="132"/>
        <v>5</v>
      </c>
    </row>
    <row r="658" spans="1:37">
      <c r="A658" s="1">
        <v>657</v>
      </c>
      <c r="B658" s="1">
        <v>4252656</v>
      </c>
      <c r="C658" s="6" t="s">
        <v>45</v>
      </c>
      <c r="D658" s="1">
        <v>0.01</v>
      </c>
      <c r="E658" s="1">
        <v>0.05</v>
      </c>
      <c r="F658" s="1">
        <v>0.05</v>
      </c>
      <c r="G658" s="1">
        <v>0.7</v>
      </c>
      <c r="H658" s="1">
        <v>0.4</v>
      </c>
      <c r="I658" s="1">
        <v>1</v>
      </c>
      <c r="J658" s="1">
        <v>0.5</v>
      </c>
      <c r="K658" s="1">
        <v>0.69</v>
      </c>
      <c r="L658" s="1">
        <v>1</v>
      </c>
      <c r="M658" s="1">
        <v>0.69</v>
      </c>
      <c r="N658" s="1">
        <f>(Occurrence!B$3-D658)^2</f>
        <v>1E-4</v>
      </c>
      <c r="O658" s="1">
        <f>(Occurrence!C$3-E658)^2</f>
        <v>2.5000000000000005E-3</v>
      </c>
      <c r="P658" s="1">
        <f>(Occurrence!D$3-F658)^2</f>
        <v>0.90249999999999997</v>
      </c>
      <c r="Q658" s="1">
        <f>(Occurrence!E$3-G658)^2</f>
        <v>9.0000000000000024E-2</v>
      </c>
      <c r="R658" s="1">
        <f>(Occurrence!F$3-H658)^2</f>
        <v>0.16000000000000003</v>
      </c>
      <c r="S658" s="1">
        <f>(Occurrence!G$3-I658)^2</f>
        <v>1</v>
      </c>
      <c r="T658" s="1">
        <f>(Occurrence!H$3-J658)^2</f>
        <v>0.25</v>
      </c>
      <c r="U658" s="1">
        <f>(Occurrence!I$3-K658)^2</f>
        <v>9.6100000000000033E-2</v>
      </c>
      <c r="V658" s="1">
        <f>(Occurrence!J$3-L658)^2</f>
        <v>1</v>
      </c>
      <c r="W658" s="1">
        <f>(Occurrence!K$3-M658)^2</f>
        <v>9.6100000000000033E-2</v>
      </c>
      <c r="X658" s="1">
        <f t="shared" si="121"/>
        <v>3.5972999999999997</v>
      </c>
      <c r="Z658" s="1">
        <f t="shared" si="122"/>
        <v>0</v>
      </c>
      <c r="AA658" s="1">
        <f t="shared" si="123"/>
        <v>0</v>
      </c>
      <c r="AB658" s="1">
        <f t="shared" si="124"/>
        <v>0</v>
      </c>
      <c r="AC658" s="1">
        <f t="shared" si="125"/>
        <v>1</v>
      </c>
      <c r="AD658" s="1">
        <f t="shared" si="126"/>
        <v>0</v>
      </c>
      <c r="AE658" s="1">
        <f t="shared" si="127"/>
        <v>1</v>
      </c>
      <c r="AF658" s="1">
        <f t="shared" si="128"/>
        <v>1</v>
      </c>
      <c r="AG658" s="1">
        <f t="shared" si="129"/>
        <v>1</v>
      </c>
      <c r="AH658" s="1">
        <f t="shared" si="130"/>
        <v>1</v>
      </c>
      <c r="AI658" s="1">
        <f t="shared" si="131"/>
        <v>1</v>
      </c>
      <c r="AJ658" s="1">
        <f>SUMXMY2(Z658:AI658, Occurrence!B$3:K$3)</f>
        <v>3</v>
      </c>
      <c r="AK658" s="1">
        <f t="shared" si="132"/>
        <v>7</v>
      </c>
    </row>
    <row r="659" spans="1:37">
      <c r="A659" s="1">
        <v>658</v>
      </c>
      <c r="B659" s="1">
        <v>4252657</v>
      </c>
      <c r="C659" s="6" t="s">
        <v>45</v>
      </c>
      <c r="D659" s="1">
        <v>0.06</v>
      </c>
      <c r="E659" s="1">
        <v>0.83</v>
      </c>
      <c r="F659" s="1">
        <v>0.25</v>
      </c>
      <c r="G659" s="1">
        <v>0.28999999999999998</v>
      </c>
      <c r="H659" s="1">
        <v>0.44</v>
      </c>
      <c r="I659" s="1">
        <v>0.67</v>
      </c>
      <c r="J659" s="1">
        <v>0.98</v>
      </c>
      <c r="K659" s="1">
        <v>0.12</v>
      </c>
      <c r="L659" s="1">
        <v>0.22</v>
      </c>
      <c r="M659" s="1">
        <v>0.43</v>
      </c>
      <c r="N659" s="1">
        <f>(Occurrence!B$3-D659)^2</f>
        <v>3.5999999999999999E-3</v>
      </c>
      <c r="O659" s="1">
        <f>(Occurrence!C$3-E659)^2</f>
        <v>0.68889999999999996</v>
      </c>
      <c r="P659" s="1">
        <f>(Occurrence!D$3-F659)^2</f>
        <v>0.5625</v>
      </c>
      <c r="Q659" s="1">
        <f>(Occurrence!E$3-G659)^2</f>
        <v>0.50409999999999999</v>
      </c>
      <c r="R659" s="1">
        <f>(Occurrence!F$3-H659)^2</f>
        <v>0.19359999999999999</v>
      </c>
      <c r="S659" s="1">
        <f>(Occurrence!G$3-I659)^2</f>
        <v>0.44890000000000008</v>
      </c>
      <c r="T659" s="1">
        <f>(Occurrence!H$3-J659)^2</f>
        <v>4.0000000000000072E-4</v>
      </c>
      <c r="U659" s="1">
        <f>(Occurrence!I$3-K659)^2</f>
        <v>0.77439999999999998</v>
      </c>
      <c r="V659" s="1">
        <f>(Occurrence!J$3-L659)^2</f>
        <v>4.8399999999999999E-2</v>
      </c>
      <c r="W659" s="1">
        <f>(Occurrence!K$3-M659)^2</f>
        <v>0.32490000000000008</v>
      </c>
      <c r="X659" s="1">
        <f t="shared" si="121"/>
        <v>3.5497000000000001</v>
      </c>
      <c r="Z659" s="1">
        <f t="shared" si="122"/>
        <v>0</v>
      </c>
      <c r="AA659" s="1">
        <f t="shared" si="123"/>
        <v>1</v>
      </c>
      <c r="AB659" s="1">
        <f t="shared" si="124"/>
        <v>0</v>
      </c>
      <c r="AC659" s="1">
        <f t="shared" si="125"/>
        <v>0</v>
      </c>
      <c r="AD659" s="1">
        <f t="shared" si="126"/>
        <v>0</v>
      </c>
      <c r="AE659" s="1">
        <f t="shared" si="127"/>
        <v>1</v>
      </c>
      <c r="AF659" s="1">
        <f t="shared" si="128"/>
        <v>1</v>
      </c>
      <c r="AG659" s="1">
        <f t="shared" si="129"/>
        <v>0</v>
      </c>
      <c r="AH659" s="1">
        <f t="shared" si="130"/>
        <v>0</v>
      </c>
      <c r="AI659" s="1">
        <f t="shared" si="131"/>
        <v>0</v>
      </c>
      <c r="AJ659" s="1">
        <f>SUMXMY2(Z659:AI659, Occurrence!B$3:K$3)</f>
        <v>6</v>
      </c>
      <c r="AK659" s="1">
        <f t="shared" si="132"/>
        <v>4</v>
      </c>
    </row>
    <row r="660" spans="1:37">
      <c r="A660" s="1">
        <v>659</v>
      </c>
      <c r="B660" s="1">
        <v>4252658</v>
      </c>
      <c r="C660" s="6" t="s">
        <v>45</v>
      </c>
      <c r="D660" s="1">
        <v>0.46</v>
      </c>
      <c r="E660" s="1">
        <v>0.5</v>
      </c>
      <c r="F660" s="1">
        <v>0.43</v>
      </c>
      <c r="G660" s="1">
        <v>0.61</v>
      </c>
      <c r="H660" s="1">
        <v>0.82</v>
      </c>
      <c r="I660" s="1">
        <v>0.5</v>
      </c>
      <c r="J660" s="1">
        <v>0.45</v>
      </c>
      <c r="K660" s="1">
        <v>0.48</v>
      </c>
      <c r="L660" s="1">
        <v>0.32</v>
      </c>
      <c r="M660" s="1">
        <v>0.22</v>
      </c>
      <c r="N660" s="1">
        <f>(Occurrence!B$3-D660)^2</f>
        <v>0.21160000000000001</v>
      </c>
      <c r="O660" s="1">
        <f>(Occurrence!C$3-E660)^2</f>
        <v>0.25</v>
      </c>
      <c r="P660" s="1">
        <f>(Occurrence!D$3-F660)^2</f>
        <v>0.32490000000000008</v>
      </c>
      <c r="Q660" s="1">
        <f>(Occurrence!E$3-G660)^2</f>
        <v>0.15210000000000001</v>
      </c>
      <c r="R660" s="1">
        <f>(Occurrence!F$3-H660)^2</f>
        <v>0.67239999999999989</v>
      </c>
      <c r="S660" s="1">
        <f>(Occurrence!G$3-I660)^2</f>
        <v>0.25</v>
      </c>
      <c r="T660" s="1">
        <f>(Occurrence!H$3-J660)^2</f>
        <v>0.30250000000000005</v>
      </c>
      <c r="U660" s="1">
        <f>(Occurrence!I$3-K660)^2</f>
        <v>0.27040000000000003</v>
      </c>
      <c r="V660" s="1">
        <f>(Occurrence!J$3-L660)^2</f>
        <v>0.1024</v>
      </c>
      <c r="W660" s="1">
        <f>(Occurrence!K$3-M660)^2</f>
        <v>0.60840000000000005</v>
      </c>
      <c r="X660" s="1">
        <f t="shared" si="121"/>
        <v>3.1446999999999998</v>
      </c>
      <c r="Z660" s="1">
        <f t="shared" si="122"/>
        <v>0</v>
      </c>
      <c r="AA660" s="1">
        <f t="shared" si="123"/>
        <v>1</v>
      </c>
      <c r="AB660" s="1">
        <f t="shared" si="124"/>
        <v>0</v>
      </c>
      <c r="AC660" s="1">
        <f t="shared" si="125"/>
        <v>1</v>
      </c>
      <c r="AD660" s="1">
        <f t="shared" si="126"/>
        <v>1</v>
      </c>
      <c r="AE660" s="1">
        <f t="shared" si="127"/>
        <v>1</v>
      </c>
      <c r="AF660" s="1">
        <f t="shared" si="128"/>
        <v>0</v>
      </c>
      <c r="AG660" s="1">
        <f t="shared" si="129"/>
        <v>0</v>
      </c>
      <c r="AH660" s="1">
        <f t="shared" si="130"/>
        <v>0</v>
      </c>
      <c r="AI660" s="1">
        <f t="shared" si="131"/>
        <v>0</v>
      </c>
      <c r="AJ660" s="1">
        <f>SUMXMY2(Z660:AI660, Occurrence!B$3:K$3)</f>
        <v>7</v>
      </c>
      <c r="AK660" s="1">
        <f t="shared" si="132"/>
        <v>3</v>
      </c>
    </row>
    <row r="661" spans="1:37">
      <c r="A661" s="1">
        <v>660</v>
      </c>
      <c r="B661" s="1">
        <v>4252659</v>
      </c>
      <c r="C661" s="6" t="s">
        <v>45</v>
      </c>
      <c r="D661" s="1">
        <v>0.56000000000000005</v>
      </c>
      <c r="E661" s="1">
        <v>0.63</v>
      </c>
      <c r="F661" s="1">
        <v>0.23</v>
      </c>
      <c r="G661" s="1">
        <v>0.67</v>
      </c>
      <c r="H661" s="1">
        <v>0.13</v>
      </c>
      <c r="I661" s="1">
        <v>0.12</v>
      </c>
      <c r="J661" s="1">
        <v>0.33</v>
      </c>
      <c r="K661" s="1">
        <v>0.43</v>
      </c>
      <c r="L661" s="1">
        <v>0.32</v>
      </c>
      <c r="M661" s="1">
        <v>0.22</v>
      </c>
      <c r="N661" s="1">
        <f>(Occurrence!B$3-D661)^2</f>
        <v>0.31360000000000005</v>
      </c>
      <c r="O661" s="1">
        <f>(Occurrence!C$3-E661)^2</f>
        <v>0.39690000000000003</v>
      </c>
      <c r="P661" s="1">
        <f>(Occurrence!D$3-F661)^2</f>
        <v>0.59289999999999998</v>
      </c>
      <c r="Q661" s="1">
        <f>(Occurrence!E$3-G661)^2</f>
        <v>0.10889999999999997</v>
      </c>
      <c r="R661" s="1">
        <f>(Occurrence!F$3-H661)^2</f>
        <v>1.6900000000000002E-2</v>
      </c>
      <c r="S661" s="1">
        <f>(Occurrence!G$3-I661)^2</f>
        <v>1.44E-2</v>
      </c>
      <c r="T661" s="1">
        <f>(Occurrence!H$3-J661)^2</f>
        <v>0.44889999999999991</v>
      </c>
      <c r="U661" s="1">
        <f>(Occurrence!I$3-K661)^2</f>
        <v>0.32490000000000008</v>
      </c>
      <c r="V661" s="1">
        <f>(Occurrence!J$3-L661)^2</f>
        <v>0.1024</v>
      </c>
      <c r="W661" s="1">
        <f>(Occurrence!K$3-M661)^2</f>
        <v>0.60840000000000005</v>
      </c>
      <c r="X661" s="1">
        <f t="shared" si="121"/>
        <v>2.9281999999999999</v>
      </c>
      <c r="Z661" s="1">
        <f t="shared" si="122"/>
        <v>1</v>
      </c>
      <c r="AA661" s="1">
        <f t="shared" si="123"/>
        <v>1</v>
      </c>
      <c r="AB661" s="1">
        <f t="shared" si="124"/>
        <v>0</v>
      </c>
      <c r="AC661" s="1">
        <f t="shared" si="125"/>
        <v>1</v>
      </c>
      <c r="AD661" s="1">
        <f t="shared" si="126"/>
        <v>0</v>
      </c>
      <c r="AE661" s="1">
        <f t="shared" si="127"/>
        <v>0</v>
      </c>
      <c r="AF661" s="1">
        <f t="shared" si="128"/>
        <v>0</v>
      </c>
      <c r="AG661" s="1">
        <f t="shared" si="129"/>
        <v>0</v>
      </c>
      <c r="AH661" s="1">
        <f t="shared" si="130"/>
        <v>0</v>
      </c>
      <c r="AI661" s="1">
        <f t="shared" si="131"/>
        <v>0</v>
      </c>
      <c r="AJ661" s="1">
        <f>SUMXMY2(Z661:AI661, Occurrence!B$3:K$3)</f>
        <v>6</v>
      </c>
      <c r="AK661" s="1">
        <f t="shared" si="132"/>
        <v>4</v>
      </c>
    </row>
    <row r="662" spans="1:37">
      <c r="A662" s="1">
        <v>661</v>
      </c>
      <c r="B662" s="1">
        <v>4252660</v>
      </c>
      <c r="C662" s="6" t="s">
        <v>45</v>
      </c>
      <c r="D662" s="1">
        <v>0.4</v>
      </c>
      <c r="E662" s="1">
        <v>0.6</v>
      </c>
      <c r="F662" s="1">
        <v>0.2</v>
      </c>
      <c r="G662" s="1">
        <v>0.6</v>
      </c>
      <c r="H662" s="1">
        <v>0.1</v>
      </c>
      <c r="I662" s="1">
        <v>0.55000000000000004</v>
      </c>
      <c r="J662" s="1">
        <v>0.4</v>
      </c>
      <c r="K662" s="1">
        <v>0.3</v>
      </c>
      <c r="L662" s="1">
        <v>0.45</v>
      </c>
      <c r="M662" s="1">
        <v>0.65</v>
      </c>
      <c r="N662" s="1">
        <f>(Occurrence!B$3-D662)^2</f>
        <v>0.16000000000000003</v>
      </c>
      <c r="O662" s="1">
        <f>(Occurrence!C$3-E662)^2</f>
        <v>0.36</v>
      </c>
      <c r="P662" s="1">
        <f>(Occurrence!D$3-F662)^2</f>
        <v>0.64000000000000012</v>
      </c>
      <c r="Q662" s="1">
        <f>(Occurrence!E$3-G662)^2</f>
        <v>0.16000000000000003</v>
      </c>
      <c r="R662" s="1">
        <f>(Occurrence!F$3-H662)^2</f>
        <v>1.0000000000000002E-2</v>
      </c>
      <c r="S662" s="1">
        <f>(Occurrence!G$3-I662)^2</f>
        <v>0.30250000000000005</v>
      </c>
      <c r="T662" s="1">
        <f>(Occurrence!H$3-J662)^2</f>
        <v>0.36</v>
      </c>
      <c r="U662" s="1">
        <f>(Occurrence!I$3-K662)^2</f>
        <v>0.48999999999999994</v>
      </c>
      <c r="V662" s="1">
        <f>(Occurrence!J$3-L662)^2</f>
        <v>0.20250000000000001</v>
      </c>
      <c r="W662" s="1">
        <f>(Occurrence!K$3-M662)^2</f>
        <v>0.12249999999999998</v>
      </c>
      <c r="X662" s="1">
        <f t="shared" si="121"/>
        <v>2.8075000000000001</v>
      </c>
      <c r="Z662" s="1">
        <f t="shared" si="122"/>
        <v>0</v>
      </c>
      <c r="AA662" s="1">
        <f t="shared" si="123"/>
        <v>1</v>
      </c>
      <c r="AB662" s="1">
        <f t="shared" si="124"/>
        <v>0</v>
      </c>
      <c r="AC662" s="1">
        <f t="shared" si="125"/>
        <v>1</v>
      </c>
      <c r="AD662" s="1">
        <f t="shared" si="126"/>
        <v>0</v>
      </c>
      <c r="AE662" s="1">
        <f t="shared" si="127"/>
        <v>1</v>
      </c>
      <c r="AF662" s="1">
        <f t="shared" si="128"/>
        <v>0</v>
      </c>
      <c r="AG662" s="1">
        <f t="shared" si="129"/>
        <v>0</v>
      </c>
      <c r="AH662" s="1">
        <f t="shared" si="130"/>
        <v>0</v>
      </c>
      <c r="AI662" s="1">
        <f t="shared" si="131"/>
        <v>1</v>
      </c>
      <c r="AJ662" s="1">
        <f>SUMXMY2(Z662:AI662, Occurrence!B$3:K$3)</f>
        <v>5</v>
      </c>
      <c r="AK662" s="1">
        <f t="shared" si="132"/>
        <v>5</v>
      </c>
    </row>
    <row r="663" spans="1:37">
      <c r="A663" s="1">
        <v>662</v>
      </c>
      <c r="B663" s="1">
        <v>4252661</v>
      </c>
      <c r="C663" s="6" t="s">
        <v>45</v>
      </c>
      <c r="D663" s="1">
        <v>0.5</v>
      </c>
      <c r="E663" s="1">
        <v>0.1</v>
      </c>
      <c r="F663" s="1">
        <v>0.5</v>
      </c>
      <c r="G663" s="1">
        <v>0.9</v>
      </c>
      <c r="H663" s="1">
        <v>0.9</v>
      </c>
      <c r="I663" s="1">
        <v>0.75</v>
      </c>
      <c r="J663" s="1">
        <v>0.3</v>
      </c>
      <c r="K663" s="1">
        <v>0.4</v>
      </c>
      <c r="L663" s="1">
        <v>0.2</v>
      </c>
      <c r="M663" s="1">
        <v>0.3</v>
      </c>
      <c r="N663" s="1">
        <f>(Occurrence!B$3-D663)^2</f>
        <v>0.25</v>
      </c>
      <c r="O663" s="1">
        <f>(Occurrence!C$3-E663)^2</f>
        <v>1.0000000000000002E-2</v>
      </c>
      <c r="P663" s="1">
        <f>(Occurrence!D$3-F663)^2</f>
        <v>0.25</v>
      </c>
      <c r="Q663" s="1">
        <f>(Occurrence!E$3-G663)^2</f>
        <v>9.999999999999995E-3</v>
      </c>
      <c r="R663" s="1">
        <f>(Occurrence!F$3-H663)^2</f>
        <v>0.81</v>
      </c>
      <c r="S663" s="1">
        <f>(Occurrence!G$3-I663)^2</f>
        <v>0.5625</v>
      </c>
      <c r="T663" s="1">
        <f>(Occurrence!H$3-J663)^2</f>
        <v>0.48999999999999994</v>
      </c>
      <c r="U663" s="1">
        <f>(Occurrence!I$3-K663)^2</f>
        <v>0.36</v>
      </c>
      <c r="V663" s="1">
        <f>(Occurrence!J$3-L663)^2</f>
        <v>4.0000000000000008E-2</v>
      </c>
      <c r="W663" s="1">
        <f>(Occurrence!K$3-M663)^2</f>
        <v>0.48999999999999994</v>
      </c>
      <c r="X663" s="1">
        <f t="shared" si="121"/>
        <v>3.2724999999999995</v>
      </c>
      <c r="Z663" s="1">
        <f t="shared" si="122"/>
        <v>1</v>
      </c>
      <c r="AA663" s="1">
        <f t="shared" si="123"/>
        <v>0</v>
      </c>
      <c r="AB663" s="1">
        <f t="shared" si="124"/>
        <v>1</v>
      </c>
      <c r="AC663" s="1">
        <f t="shared" si="125"/>
        <v>1</v>
      </c>
      <c r="AD663" s="1">
        <f t="shared" si="126"/>
        <v>1</v>
      </c>
      <c r="AE663" s="1">
        <f t="shared" si="127"/>
        <v>1</v>
      </c>
      <c r="AF663" s="1">
        <f t="shared" si="128"/>
        <v>0</v>
      </c>
      <c r="AG663" s="1">
        <f t="shared" si="129"/>
        <v>0</v>
      </c>
      <c r="AH663" s="1">
        <f t="shared" si="130"/>
        <v>0</v>
      </c>
      <c r="AI663" s="1">
        <f t="shared" si="131"/>
        <v>0</v>
      </c>
      <c r="AJ663" s="1">
        <f>SUMXMY2(Z663:AI663, Occurrence!B$3:K$3)</f>
        <v>6</v>
      </c>
      <c r="AK663" s="1">
        <f t="shared" si="132"/>
        <v>4</v>
      </c>
    </row>
    <row r="664" spans="1:37">
      <c r="A664" s="1">
        <v>663</v>
      </c>
      <c r="B664" s="1">
        <v>4252662</v>
      </c>
      <c r="C664" s="6" t="s">
        <v>45</v>
      </c>
      <c r="D664" s="1">
        <v>0.45</v>
      </c>
      <c r="E664" s="1">
        <v>0.9</v>
      </c>
      <c r="F664" s="1">
        <v>0.25</v>
      </c>
      <c r="G664" s="1">
        <v>0.75</v>
      </c>
      <c r="H664" s="1">
        <v>0.75</v>
      </c>
      <c r="I664" s="1">
        <v>0.5</v>
      </c>
      <c r="J664" s="1">
        <v>1</v>
      </c>
      <c r="K664" s="1">
        <v>1</v>
      </c>
      <c r="L664" s="1">
        <v>0.33</v>
      </c>
      <c r="M664" s="1">
        <v>1</v>
      </c>
      <c r="N664" s="1">
        <f>(Occurrence!B$3-D664)^2</f>
        <v>0.20250000000000001</v>
      </c>
      <c r="O664" s="1">
        <f>(Occurrence!C$3-E664)^2</f>
        <v>0.81</v>
      </c>
      <c r="P664" s="1">
        <f>(Occurrence!D$3-F664)^2</f>
        <v>0.5625</v>
      </c>
      <c r="Q664" s="1">
        <f>(Occurrence!E$3-G664)^2</f>
        <v>6.25E-2</v>
      </c>
      <c r="R664" s="1">
        <f>(Occurrence!F$3-H664)^2</f>
        <v>0.5625</v>
      </c>
      <c r="S664" s="1">
        <f>(Occurrence!G$3-I664)^2</f>
        <v>0.25</v>
      </c>
      <c r="T664" s="1">
        <f>(Occurrence!H$3-J664)^2</f>
        <v>0</v>
      </c>
      <c r="U664" s="1">
        <f>(Occurrence!I$3-K664)^2</f>
        <v>0</v>
      </c>
      <c r="V664" s="1">
        <f>(Occurrence!J$3-L664)^2</f>
        <v>0.10890000000000001</v>
      </c>
      <c r="W664" s="1">
        <f>(Occurrence!K$3-M664)^2</f>
        <v>0</v>
      </c>
      <c r="X664" s="1">
        <f t="shared" si="121"/>
        <v>2.5589000000000004</v>
      </c>
      <c r="Z664" s="1">
        <f t="shared" si="122"/>
        <v>0</v>
      </c>
      <c r="AA664" s="1">
        <f t="shared" si="123"/>
        <v>1</v>
      </c>
      <c r="AB664" s="1">
        <f t="shared" si="124"/>
        <v>0</v>
      </c>
      <c r="AC664" s="1">
        <f t="shared" si="125"/>
        <v>1</v>
      </c>
      <c r="AD664" s="1">
        <f t="shared" si="126"/>
        <v>1</v>
      </c>
      <c r="AE664" s="1">
        <f t="shared" si="127"/>
        <v>1</v>
      </c>
      <c r="AF664" s="1">
        <f t="shared" si="128"/>
        <v>1</v>
      </c>
      <c r="AG664" s="1">
        <f t="shared" si="129"/>
        <v>1</v>
      </c>
      <c r="AH664" s="1">
        <f t="shared" si="130"/>
        <v>0</v>
      </c>
      <c r="AI664" s="1">
        <f t="shared" si="131"/>
        <v>1</v>
      </c>
      <c r="AJ664" s="1">
        <f>SUMXMY2(Z664:AI664, Occurrence!B$3:K$3)</f>
        <v>4</v>
      </c>
      <c r="AK664" s="1">
        <f t="shared" si="132"/>
        <v>6</v>
      </c>
    </row>
    <row r="665" spans="1:37">
      <c r="A665" s="1">
        <v>664</v>
      </c>
      <c r="B665" s="1">
        <v>4252663</v>
      </c>
      <c r="C665" s="6" t="s">
        <v>45</v>
      </c>
      <c r="D665" s="1">
        <v>0.05</v>
      </c>
      <c r="E665" s="1">
        <v>0.2</v>
      </c>
      <c r="F665" s="1">
        <v>0.6</v>
      </c>
      <c r="G665" s="1">
        <v>0.75</v>
      </c>
      <c r="H665" s="1">
        <v>0.95</v>
      </c>
      <c r="I665" s="1">
        <v>0.5</v>
      </c>
      <c r="J665" s="1">
        <v>0.99</v>
      </c>
      <c r="K665" s="1">
        <v>0.99</v>
      </c>
      <c r="L665" s="1">
        <v>0.25</v>
      </c>
      <c r="M665" s="1">
        <v>0.75</v>
      </c>
      <c r="N665" s="1">
        <f>(Occurrence!B$3-D665)^2</f>
        <v>2.5000000000000005E-3</v>
      </c>
      <c r="O665" s="1">
        <f>(Occurrence!C$3-E665)^2</f>
        <v>4.0000000000000008E-2</v>
      </c>
      <c r="P665" s="1">
        <f>(Occurrence!D$3-F665)^2</f>
        <v>0.16000000000000003</v>
      </c>
      <c r="Q665" s="1">
        <f>(Occurrence!E$3-G665)^2</f>
        <v>6.25E-2</v>
      </c>
      <c r="R665" s="1">
        <f>(Occurrence!F$3-H665)^2</f>
        <v>0.90249999999999997</v>
      </c>
      <c r="S665" s="1">
        <f>(Occurrence!G$3-I665)^2</f>
        <v>0.25</v>
      </c>
      <c r="T665" s="1">
        <f>(Occurrence!H$3-J665)^2</f>
        <v>1.0000000000000018E-4</v>
      </c>
      <c r="U665" s="1">
        <f>(Occurrence!I$3-K665)^2</f>
        <v>1.0000000000000018E-4</v>
      </c>
      <c r="V665" s="1">
        <f>(Occurrence!J$3-L665)^2</f>
        <v>6.25E-2</v>
      </c>
      <c r="W665" s="1">
        <f>(Occurrence!K$3-M665)^2</f>
        <v>6.25E-2</v>
      </c>
      <c r="X665" s="1">
        <f t="shared" si="121"/>
        <v>1.5427</v>
      </c>
      <c r="Z665" s="1">
        <f t="shared" si="122"/>
        <v>0</v>
      </c>
      <c r="AA665" s="1">
        <f t="shared" si="123"/>
        <v>0</v>
      </c>
      <c r="AB665" s="1">
        <f t="shared" si="124"/>
        <v>1</v>
      </c>
      <c r="AC665" s="1">
        <f t="shared" si="125"/>
        <v>1</v>
      </c>
      <c r="AD665" s="1">
        <f t="shared" si="126"/>
        <v>1</v>
      </c>
      <c r="AE665" s="1">
        <f t="shared" si="127"/>
        <v>1</v>
      </c>
      <c r="AF665" s="1">
        <f t="shared" si="128"/>
        <v>1</v>
      </c>
      <c r="AG665" s="1">
        <f t="shared" si="129"/>
        <v>1</v>
      </c>
      <c r="AH665" s="1">
        <f t="shared" si="130"/>
        <v>0</v>
      </c>
      <c r="AI665" s="1">
        <f t="shared" si="131"/>
        <v>1</v>
      </c>
      <c r="AJ665" s="1">
        <f>SUMXMY2(Z665:AI665, Occurrence!B$3:K$3)</f>
        <v>2</v>
      </c>
      <c r="AK665" s="1">
        <f t="shared" si="132"/>
        <v>8</v>
      </c>
    </row>
    <row r="666" spans="1:37">
      <c r="A666" s="1">
        <v>665</v>
      </c>
      <c r="B666" s="1">
        <v>4252664</v>
      </c>
      <c r="C666" s="6" t="s">
        <v>45</v>
      </c>
      <c r="D666" s="1">
        <v>0.42299999999999999</v>
      </c>
      <c r="E666" s="1">
        <v>0.65400000000000003</v>
      </c>
      <c r="F666" s="1">
        <v>0.35780000000000001</v>
      </c>
      <c r="G666" s="1">
        <v>2.1499999999999998E-2</v>
      </c>
      <c r="H666" s="1">
        <v>0.26779999999999998</v>
      </c>
      <c r="I666" s="1">
        <v>0.74229999999999996</v>
      </c>
      <c r="J666" s="1">
        <v>5.4600000000000003E-2</v>
      </c>
      <c r="K666" s="1">
        <v>0.47889999999999999</v>
      </c>
      <c r="L666" s="1">
        <v>0.3569</v>
      </c>
      <c r="M666" s="1">
        <v>0.45619999999999999</v>
      </c>
      <c r="N666" s="1">
        <f>(Occurrence!B$3-D666)^2</f>
        <v>0.17892899999999998</v>
      </c>
      <c r="O666" s="1">
        <f>(Occurrence!C$3-E666)^2</f>
        <v>0.42771600000000004</v>
      </c>
      <c r="P666" s="1">
        <f>(Occurrence!D$3-F666)^2</f>
        <v>0.41242084000000001</v>
      </c>
      <c r="Q666" s="1">
        <f>(Occurrence!E$3-G666)^2</f>
        <v>0.95746225000000007</v>
      </c>
      <c r="R666" s="1">
        <f>(Occurrence!F$3-H666)^2</f>
        <v>7.171683999999999E-2</v>
      </c>
      <c r="S666" s="1">
        <f>(Occurrence!G$3-I666)^2</f>
        <v>0.55100928999999998</v>
      </c>
      <c r="T666" s="1">
        <f>(Occurrence!H$3-J666)^2</f>
        <v>0.89378116000000007</v>
      </c>
      <c r="U666" s="1">
        <f>(Occurrence!I$3-K666)^2</f>
        <v>0.27154520999999998</v>
      </c>
      <c r="V666" s="1">
        <f>(Occurrence!J$3-L666)^2</f>
        <v>0.12737761</v>
      </c>
      <c r="W666" s="1">
        <f>(Occurrence!K$3-M666)^2</f>
        <v>0.29571844000000008</v>
      </c>
      <c r="X666" s="1">
        <f t="shared" si="121"/>
        <v>4.1876766400000003</v>
      </c>
      <c r="Z666" s="1">
        <f t="shared" si="122"/>
        <v>0</v>
      </c>
      <c r="AA666" s="1">
        <f t="shared" si="123"/>
        <v>1</v>
      </c>
      <c r="AB666" s="1">
        <f t="shared" si="124"/>
        <v>0</v>
      </c>
      <c r="AC666" s="1">
        <f t="shared" si="125"/>
        <v>0</v>
      </c>
      <c r="AD666" s="1">
        <f t="shared" si="126"/>
        <v>0</v>
      </c>
      <c r="AE666" s="1">
        <f t="shared" si="127"/>
        <v>1</v>
      </c>
      <c r="AF666" s="1">
        <f t="shared" si="128"/>
        <v>0</v>
      </c>
      <c r="AG666" s="1">
        <f t="shared" si="129"/>
        <v>0</v>
      </c>
      <c r="AH666" s="1">
        <f t="shared" si="130"/>
        <v>0</v>
      </c>
      <c r="AI666" s="1">
        <f t="shared" si="131"/>
        <v>0</v>
      </c>
      <c r="AJ666" s="1">
        <f>SUMXMY2(Z666:AI666, Occurrence!B$3:K$3)</f>
        <v>7</v>
      </c>
      <c r="AK666" s="1">
        <f t="shared" si="132"/>
        <v>3</v>
      </c>
    </row>
    <row r="667" spans="1:37">
      <c r="A667" s="1">
        <v>666</v>
      </c>
      <c r="B667" s="1">
        <v>4252665</v>
      </c>
      <c r="C667" s="6" t="s">
        <v>45</v>
      </c>
      <c r="D667" s="1">
        <v>0.5</v>
      </c>
      <c r="E667" s="1">
        <v>0.6</v>
      </c>
      <c r="F667" s="1">
        <v>0.8</v>
      </c>
      <c r="G667" s="1">
        <v>0.2</v>
      </c>
      <c r="H667" s="1">
        <v>0.5</v>
      </c>
      <c r="I667" s="1">
        <v>0.9</v>
      </c>
      <c r="J667" s="1">
        <v>0.4</v>
      </c>
      <c r="K667" s="1">
        <v>0.9</v>
      </c>
      <c r="L667" s="1">
        <v>0.8</v>
      </c>
      <c r="M667" s="1">
        <v>0.3</v>
      </c>
      <c r="N667" s="1">
        <f>(Occurrence!B$3-D667)^2</f>
        <v>0.25</v>
      </c>
      <c r="O667" s="1">
        <f>(Occurrence!C$3-E667)^2</f>
        <v>0.36</v>
      </c>
      <c r="P667" s="1">
        <f>(Occurrence!D$3-F667)^2</f>
        <v>3.999999999999998E-2</v>
      </c>
      <c r="Q667" s="1">
        <f>(Occurrence!E$3-G667)^2</f>
        <v>0.64000000000000012</v>
      </c>
      <c r="R667" s="1">
        <f>(Occurrence!F$3-H667)^2</f>
        <v>0.25</v>
      </c>
      <c r="S667" s="1">
        <f>(Occurrence!G$3-I667)^2</f>
        <v>0.81</v>
      </c>
      <c r="T667" s="1">
        <f>(Occurrence!H$3-J667)^2</f>
        <v>0.36</v>
      </c>
      <c r="U667" s="1">
        <f>(Occurrence!I$3-K667)^2</f>
        <v>9.999999999999995E-3</v>
      </c>
      <c r="V667" s="1">
        <f>(Occurrence!J$3-L667)^2</f>
        <v>0.64000000000000012</v>
      </c>
      <c r="W667" s="1">
        <f>(Occurrence!K$3-M667)^2</f>
        <v>0.48999999999999994</v>
      </c>
      <c r="X667" s="1">
        <f t="shared" si="121"/>
        <v>3.8499999999999996</v>
      </c>
      <c r="Z667" s="1">
        <f t="shared" si="122"/>
        <v>1</v>
      </c>
      <c r="AA667" s="1">
        <f t="shared" si="123"/>
        <v>1</v>
      </c>
      <c r="AB667" s="1">
        <f t="shared" si="124"/>
        <v>1</v>
      </c>
      <c r="AC667" s="1">
        <f t="shared" si="125"/>
        <v>0</v>
      </c>
      <c r="AD667" s="1">
        <f t="shared" si="126"/>
        <v>1</v>
      </c>
      <c r="AE667" s="1">
        <f t="shared" si="127"/>
        <v>1</v>
      </c>
      <c r="AF667" s="1">
        <f t="shared" si="128"/>
        <v>0</v>
      </c>
      <c r="AG667" s="1">
        <f t="shared" si="129"/>
        <v>1</v>
      </c>
      <c r="AH667" s="1">
        <f t="shared" si="130"/>
        <v>1</v>
      </c>
      <c r="AI667" s="1">
        <f t="shared" si="131"/>
        <v>0</v>
      </c>
      <c r="AJ667" s="1">
        <f>SUMXMY2(Z667:AI667, Occurrence!B$3:K$3)</f>
        <v>8</v>
      </c>
      <c r="AK667" s="1">
        <f t="shared" si="132"/>
        <v>2</v>
      </c>
    </row>
    <row r="668" spans="1:37">
      <c r="A668" s="1">
        <v>667</v>
      </c>
      <c r="B668" s="1">
        <v>4252666</v>
      </c>
      <c r="C668" s="6" t="s">
        <v>45</v>
      </c>
      <c r="D668" s="1">
        <v>0.41199999999999998</v>
      </c>
      <c r="E668" s="1">
        <v>0.41199999999999998</v>
      </c>
      <c r="F668" s="1">
        <v>0.58799999999999997</v>
      </c>
      <c r="G668" s="1">
        <v>0.58299999999999996</v>
      </c>
      <c r="H668" s="1">
        <v>0.05</v>
      </c>
      <c r="I668" s="1">
        <v>0.14000000000000001</v>
      </c>
      <c r="J668" s="1">
        <v>0.7</v>
      </c>
      <c r="K668" s="1">
        <v>0.85</v>
      </c>
      <c r="L668" s="1">
        <v>0.05</v>
      </c>
      <c r="M668" s="1">
        <v>0.65</v>
      </c>
      <c r="N668" s="1">
        <f>(Occurrence!B$3-D668)^2</f>
        <v>0.16974399999999998</v>
      </c>
      <c r="O668" s="1">
        <f>(Occurrence!C$3-E668)^2</f>
        <v>0.16974399999999998</v>
      </c>
      <c r="P668" s="1">
        <f>(Occurrence!D$3-F668)^2</f>
        <v>0.16974400000000003</v>
      </c>
      <c r="Q668" s="1">
        <f>(Occurrence!E$3-G668)^2</f>
        <v>0.17388900000000004</v>
      </c>
      <c r="R668" s="1">
        <f>(Occurrence!F$3-H668)^2</f>
        <v>2.5000000000000005E-3</v>
      </c>
      <c r="S668" s="1">
        <f>(Occurrence!G$3-I668)^2</f>
        <v>1.9600000000000003E-2</v>
      </c>
      <c r="T668" s="1">
        <f>(Occurrence!H$3-J668)^2</f>
        <v>9.0000000000000024E-2</v>
      </c>
      <c r="U668" s="1">
        <f>(Occurrence!I$3-K668)^2</f>
        <v>2.2500000000000006E-2</v>
      </c>
      <c r="V668" s="1">
        <f>(Occurrence!J$3-L668)^2</f>
        <v>2.5000000000000005E-3</v>
      </c>
      <c r="W668" s="1">
        <f>(Occurrence!K$3-M668)^2</f>
        <v>0.12249999999999998</v>
      </c>
      <c r="X668" s="1">
        <f t="shared" si="121"/>
        <v>0.94272099999999981</v>
      </c>
      <c r="Z668" s="1">
        <f t="shared" si="122"/>
        <v>0</v>
      </c>
      <c r="AA668" s="1">
        <f t="shared" si="123"/>
        <v>0</v>
      </c>
      <c r="AB668" s="1">
        <f t="shared" si="124"/>
        <v>1</v>
      </c>
      <c r="AC668" s="1">
        <f t="shared" si="125"/>
        <v>1</v>
      </c>
      <c r="AD668" s="1">
        <f t="shared" si="126"/>
        <v>0</v>
      </c>
      <c r="AE668" s="1">
        <f t="shared" si="127"/>
        <v>0</v>
      </c>
      <c r="AF668" s="1">
        <f t="shared" si="128"/>
        <v>1</v>
      </c>
      <c r="AG668" s="1">
        <f t="shared" si="129"/>
        <v>1</v>
      </c>
      <c r="AH668" s="1">
        <f t="shared" si="130"/>
        <v>0</v>
      </c>
      <c r="AI668" s="1">
        <f t="shared" si="131"/>
        <v>1</v>
      </c>
      <c r="AJ668" s="1">
        <f>SUMXMY2(Z668:AI668, Occurrence!B$3:K$3)</f>
        <v>0</v>
      </c>
      <c r="AK668" s="1">
        <f t="shared" si="132"/>
        <v>10</v>
      </c>
    </row>
    <row r="669" spans="1:37">
      <c r="A669" s="1">
        <v>668</v>
      </c>
      <c r="B669" s="1">
        <v>4252667</v>
      </c>
      <c r="C669" s="6" t="s">
        <v>45</v>
      </c>
      <c r="D669" s="1">
        <v>0.433</v>
      </c>
      <c r="E669" s="1">
        <v>0.54600000000000004</v>
      </c>
      <c r="F669" s="1">
        <v>0.56699999999999995</v>
      </c>
      <c r="G669" s="1">
        <v>0.45400000000000001</v>
      </c>
      <c r="H669" s="1">
        <v>0.36199999999999999</v>
      </c>
      <c r="I669" s="1">
        <v>0.14000000000000001</v>
      </c>
      <c r="J669" s="1">
        <v>0.55000000000000004</v>
      </c>
      <c r="K669" s="1">
        <v>0.73</v>
      </c>
      <c r="L669" s="1">
        <v>0.05</v>
      </c>
      <c r="M669" s="1">
        <v>0.62</v>
      </c>
      <c r="N669" s="1">
        <f>(Occurrence!B$3-D669)^2</f>
        <v>0.18748899999999999</v>
      </c>
      <c r="O669" s="1">
        <f>(Occurrence!C$3-E669)^2</f>
        <v>0.29811600000000005</v>
      </c>
      <c r="P669" s="1">
        <f>(Occurrence!D$3-F669)^2</f>
        <v>0.18748900000000004</v>
      </c>
      <c r="Q669" s="1">
        <f>(Occurrence!E$3-G669)^2</f>
        <v>0.29811600000000005</v>
      </c>
      <c r="R669" s="1">
        <f>(Occurrence!F$3-H669)^2</f>
        <v>0.13104399999999999</v>
      </c>
      <c r="S669" s="1">
        <f>(Occurrence!G$3-I669)^2</f>
        <v>1.9600000000000003E-2</v>
      </c>
      <c r="T669" s="1">
        <f>(Occurrence!H$3-J669)^2</f>
        <v>0.20249999999999996</v>
      </c>
      <c r="U669" s="1">
        <f>(Occurrence!I$3-K669)^2</f>
        <v>7.2900000000000006E-2</v>
      </c>
      <c r="V669" s="1">
        <f>(Occurrence!J$3-L669)^2</f>
        <v>2.5000000000000005E-3</v>
      </c>
      <c r="W669" s="1">
        <f>(Occurrence!K$3-M669)^2</f>
        <v>0.1444</v>
      </c>
      <c r="X669" s="1">
        <f t="shared" si="121"/>
        <v>1.544154</v>
      </c>
      <c r="Z669" s="1">
        <f t="shared" si="122"/>
        <v>0</v>
      </c>
      <c r="AA669" s="1">
        <f t="shared" si="123"/>
        <v>1</v>
      </c>
      <c r="AB669" s="1">
        <f t="shared" si="124"/>
        <v>1</v>
      </c>
      <c r="AC669" s="1">
        <f t="shared" si="125"/>
        <v>0</v>
      </c>
      <c r="AD669" s="1">
        <f t="shared" si="126"/>
        <v>0</v>
      </c>
      <c r="AE669" s="1">
        <f t="shared" si="127"/>
        <v>0</v>
      </c>
      <c r="AF669" s="1">
        <f t="shared" si="128"/>
        <v>1</v>
      </c>
      <c r="AG669" s="1">
        <f t="shared" si="129"/>
        <v>1</v>
      </c>
      <c r="AH669" s="1">
        <f t="shared" si="130"/>
        <v>0</v>
      </c>
      <c r="AI669" s="1">
        <f t="shared" si="131"/>
        <v>1</v>
      </c>
      <c r="AJ669" s="1">
        <f>SUMXMY2(Z669:AI669, Occurrence!B$3:K$3)</f>
        <v>2</v>
      </c>
      <c r="AK669" s="1">
        <f t="shared" si="132"/>
        <v>8</v>
      </c>
    </row>
    <row r="670" spans="1:37">
      <c r="A670" s="1">
        <v>669</v>
      </c>
      <c r="B670" s="1">
        <v>4252668</v>
      </c>
      <c r="C670" s="6" t="s">
        <v>45</v>
      </c>
      <c r="D670" s="1">
        <v>0.04</v>
      </c>
      <c r="E670" s="1">
        <v>0.02</v>
      </c>
      <c r="F670" s="1">
        <v>7.0000000000000007E-2</v>
      </c>
      <c r="G670" s="1">
        <v>0.92400000000000004</v>
      </c>
      <c r="H670" s="1">
        <v>0.82499999999999996</v>
      </c>
      <c r="I670" s="1">
        <v>7.9000000000000001E-2</v>
      </c>
      <c r="J670" s="1">
        <v>0.16400000000000001</v>
      </c>
      <c r="K670" s="1">
        <v>8.5199999999999998E-2</v>
      </c>
      <c r="L670" s="1">
        <v>0.121</v>
      </c>
      <c r="M670" s="1">
        <v>0.41199999999999998</v>
      </c>
      <c r="N670" s="1">
        <f>(Occurrence!B$3-D670)^2</f>
        <v>1.6000000000000001E-3</v>
      </c>
      <c r="O670" s="1">
        <f>(Occurrence!C$3-E670)^2</f>
        <v>4.0000000000000002E-4</v>
      </c>
      <c r="P670" s="1">
        <f>(Occurrence!D$3-F670)^2</f>
        <v>0.86489999999999989</v>
      </c>
      <c r="Q670" s="1">
        <f>(Occurrence!E$3-G670)^2</f>
        <v>5.7759999999999938E-3</v>
      </c>
      <c r="R670" s="1">
        <f>(Occurrence!F$3-H670)^2</f>
        <v>0.68062499999999992</v>
      </c>
      <c r="S670" s="1">
        <f>(Occurrence!G$3-I670)^2</f>
        <v>6.241E-3</v>
      </c>
      <c r="T670" s="1">
        <f>(Occurrence!H$3-J670)^2</f>
        <v>0.69889599999999996</v>
      </c>
      <c r="U670" s="1">
        <f>(Occurrence!I$3-K670)^2</f>
        <v>0.83685904000000011</v>
      </c>
      <c r="V670" s="1">
        <f>(Occurrence!J$3-L670)^2</f>
        <v>1.4641E-2</v>
      </c>
      <c r="W670" s="1">
        <f>(Occurrence!K$3-M670)^2</f>
        <v>0.34574400000000011</v>
      </c>
      <c r="X670" s="1">
        <f t="shared" si="121"/>
        <v>3.4556820400000006</v>
      </c>
      <c r="Z670" s="1">
        <f t="shared" si="122"/>
        <v>0</v>
      </c>
      <c r="AA670" s="1">
        <f t="shared" si="123"/>
        <v>0</v>
      </c>
      <c r="AB670" s="1">
        <f t="shared" si="124"/>
        <v>0</v>
      </c>
      <c r="AC670" s="1">
        <f t="shared" si="125"/>
        <v>1</v>
      </c>
      <c r="AD670" s="1">
        <f t="shared" si="126"/>
        <v>1</v>
      </c>
      <c r="AE670" s="1">
        <f t="shared" si="127"/>
        <v>0</v>
      </c>
      <c r="AF670" s="1">
        <f t="shared" si="128"/>
        <v>0</v>
      </c>
      <c r="AG670" s="1">
        <f t="shared" si="129"/>
        <v>0</v>
      </c>
      <c r="AH670" s="1">
        <f t="shared" si="130"/>
        <v>0</v>
      </c>
      <c r="AI670" s="1">
        <f t="shared" si="131"/>
        <v>0</v>
      </c>
      <c r="AJ670" s="1">
        <f>SUMXMY2(Z670:AI670, Occurrence!B$3:K$3)</f>
        <v>5</v>
      </c>
      <c r="AK670" s="1">
        <f t="shared" si="132"/>
        <v>5</v>
      </c>
    </row>
    <row r="671" spans="1:37">
      <c r="A671" s="1">
        <v>670</v>
      </c>
      <c r="B671" s="1">
        <v>4252669</v>
      </c>
      <c r="C671" s="6" t="s">
        <v>45</v>
      </c>
      <c r="D671" s="1">
        <v>0</v>
      </c>
      <c r="E671" s="1">
        <v>0</v>
      </c>
      <c r="F671" s="1">
        <v>0.9</v>
      </c>
      <c r="G671" s="1">
        <v>1</v>
      </c>
      <c r="H671" s="1">
        <v>0.5</v>
      </c>
      <c r="I671" s="1">
        <v>0.5</v>
      </c>
      <c r="J671" s="1">
        <v>0.99</v>
      </c>
      <c r="K671" s="1">
        <v>0.95</v>
      </c>
      <c r="L671" s="1">
        <v>0.2</v>
      </c>
      <c r="M671" s="1">
        <v>0.99</v>
      </c>
      <c r="N671" s="1">
        <f>(Occurrence!B$3-D671)^2</f>
        <v>0</v>
      </c>
      <c r="O671" s="1">
        <f>(Occurrence!C$3-E671)^2</f>
        <v>0</v>
      </c>
      <c r="P671" s="1">
        <f>(Occurrence!D$3-F671)^2</f>
        <v>9.999999999999995E-3</v>
      </c>
      <c r="Q671" s="1">
        <f>(Occurrence!E$3-G671)^2</f>
        <v>0</v>
      </c>
      <c r="R671" s="1">
        <f>(Occurrence!F$3-H671)^2</f>
        <v>0.25</v>
      </c>
      <c r="S671" s="1">
        <f>(Occurrence!G$3-I671)^2</f>
        <v>0.25</v>
      </c>
      <c r="T671" s="1">
        <f>(Occurrence!H$3-J671)^2</f>
        <v>1.0000000000000018E-4</v>
      </c>
      <c r="U671" s="1">
        <f>(Occurrence!I$3-K671)^2</f>
        <v>2.5000000000000044E-3</v>
      </c>
      <c r="V671" s="1">
        <f>(Occurrence!J$3-L671)^2</f>
        <v>4.0000000000000008E-2</v>
      </c>
      <c r="W671" s="1">
        <f>(Occurrence!K$3-M671)^2</f>
        <v>1.0000000000000018E-4</v>
      </c>
      <c r="X671" s="1">
        <f t="shared" si="121"/>
        <v>0.55270000000000008</v>
      </c>
      <c r="Z671" s="1">
        <f t="shared" si="122"/>
        <v>0</v>
      </c>
      <c r="AA671" s="1">
        <f t="shared" si="123"/>
        <v>0</v>
      </c>
      <c r="AB671" s="1">
        <f t="shared" si="124"/>
        <v>1</v>
      </c>
      <c r="AC671" s="1">
        <f t="shared" si="125"/>
        <v>1</v>
      </c>
      <c r="AD671" s="1">
        <f t="shared" si="126"/>
        <v>1</v>
      </c>
      <c r="AE671" s="1">
        <f t="shared" si="127"/>
        <v>1</v>
      </c>
      <c r="AF671" s="1">
        <f t="shared" si="128"/>
        <v>1</v>
      </c>
      <c r="AG671" s="1">
        <f t="shared" si="129"/>
        <v>1</v>
      </c>
      <c r="AH671" s="1">
        <f t="shared" si="130"/>
        <v>0</v>
      </c>
      <c r="AI671" s="1">
        <f t="shared" si="131"/>
        <v>1</v>
      </c>
      <c r="AJ671" s="1">
        <f>SUMXMY2(Z671:AI671, Occurrence!B$3:K$3)</f>
        <v>2</v>
      </c>
      <c r="AK671" s="1">
        <f t="shared" si="132"/>
        <v>8</v>
      </c>
    </row>
    <row r="672" spans="1:37">
      <c r="A672" s="1">
        <v>671</v>
      </c>
      <c r="B672" s="1">
        <v>4252670</v>
      </c>
      <c r="C672" s="6" t="s">
        <v>45</v>
      </c>
      <c r="D672" s="1">
        <v>0</v>
      </c>
      <c r="E672" s="1">
        <v>0.78800000000000003</v>
      </c>
      <c r="F672" s="1">
        <v>0</v>
      </c>
      <c r="G672" s="1">
        <v>0.21199999999999999</v>
      </c>
      <c r="H672" s="1">
        <v>0.15</v>
      </c>
      <c r="I672" s="1">
        <v>0.5</v>
      </c>
      <c r="J672" s="1">
        <v>0.99</v>
      </c>
      <c r="K672" s="1">
        <v>0.95</v>
      </c>
      <c r="L672" s="1">
        <v>0.2</v>
      </c>
      <c r="M672" s="1">
        <v>0.7</v>
      </c>
      <c r="N672" s="1">
        <f>(Occurrence!B$3-D672)^2</f>
        <v>0</v>
      </c>
      <c r="O672" s="1">
        <f>(Occurrence!C$3-E672)^2</f>
        <v>0.62094400000000005</v>
      </c>
      <c r="P672" s="1">
        <f>(Occurrence!D$3-F672)^2</f>
        <v>1</v>
      </c>
      <c r="Q672" s="1">
        <f>(Occurrence!E$3-G672)^2</f>
        <v>0.62094400000000005</v>
      </c>
      <c r="R672" s="1">
        <f>(Occurrence!F$3-H672)^2</f>
        <v>2.2499999999999999E-2</v>
      </c>
      <c r="S672" s="1">
        <f>(Occurrence!G$3-I672)^2</f>
        <v>0.25</v>
      </c>
      <c r="T672" s="1">
        <f>(Occurrence!H$3-J672)^2</f>
        <v>1.0000000000000018E-4</v>
      </c>
      <c r="U672" s="1">
        <f>(Occurrence!I$3-K672)^2</f>
        <v>2.5000000000000044E-3</v>
      </c>
      <c r="V672" s="1">
        <f>(Occurrence!J$3-L672)^2</f>
        <v>4.0000000000000008E-2</v>
      </c>
      <c r="W672" s="1">
        <f>(Occurrence!K$3-M672)^2</f>
        <v>9.0000000000000024E-2</v>
      </c>
      <c r="X672" s="1">
        <f t="shared" si="121"/>
        <v>2.6469880000000003</v>
      </c>
      <c r="Z672" s="1">
        <f t="shared" si="122"/>
        <v>0</v>
      </c>
      <c r="AA672" s="1">
        <f t="shared" si="123"/>
        <v>1</v>
      </c>
      <c r="AB672" s="1">
        <f t="shared" si="124"/>
        <v>0</v>
      </c>
      <c r="AC672" s="1">
        <f t="shared" si="125"/>
        <v>0</v>
      </c>
      <c r="AD672" s="1">
        <f t="shared" si="126"/>
        <v>0</v>
      </c>
      <c r="AE672" s="1">
        <f t="shared" si="127"/>
        <v>1</v>
      </c>
      <c r="AF672" s="1">
        <f t="shared" si="128"/>
        <v>1</v>
      </c>
      <c r="AG672" s="1">
        <f t="shared" si="129"/>
        <v>1</v>
      </c>
      <c r="AH672" s="1">
        <f t="shared" si="130"/>
        <v>0</v>
      </c>
      <c r="AI672" s="1">
        <f t="shared" si="131"/>
        <v>1</v>
      </c>
      <c r="AJ672" s="1">
        <f>SUMXMY2(Z672:AI672, Occurrence!B$3:K$3)</f>
        <v>4</v>
      </c>
      <c r="AK672" s="1">
        <f t="shared" si="132"/>
        <v>6</v>
      </c>
    </row>
    <row r="673" spans="1:37">
      <c r="A673" s="1">
        <v>672</v>
      </c>
      <c r="B673" s="1">
        <v>4252671</v>
      </c>
      <c r="C673" s="6" t="s">
        <v>45</v>
      </c>
      <c r="D673" s="1">
        <v>0.15</v>
      </c>
      <c r="E673" s="1">
        <v>0.7</v>
      </c>
      <c r="F673" s="1">
        <v>0.13</v>
      </c>
      <c r="G673" s="1">
        <v>0.21</v>
      </c>
      <c r="H673" s="1">
        <v>0.15</v>
      </c>
      <c r="I673" s="1">
        <v>0.65</v>
      </c>
      <c r="J673" s="1">
        <v>0.98</v>
      </c>
      <c r="K673" s="1">
        <v>0.95</v>
      </c>
      <c r="L673" s="1">
        <v>0.25</v>
      </c>
      <c r="M673" s="1">
        <v>0.9</v>
      </c>
      <c r="N673" s="1">
        <f>(Occurrence!B$3-D673)^2</f>
        <v>2.2499999999999999E-2</v>
      </c>
      <c r="O673" s="1">
        <f>(Occurrence!C$3-E673)^2</f>
        <v>0.48999999999999994</v>
      </c>
      <c r="P673" s="1">
        <f>(Occurrence!D$3-F673)^2</f>
        <v>0.75690000000000002</v>
      </c>
      <c r="Q673" s="1">
        <f>(Occurrence!E$3-G673)^2</f>
        <v>0.6241000000000001</v>
      </c>
      <c r="R673" s="1">
        <f>(Occurrence!F$3-H673)^2</f>
        <v>2.2499999999999999E-2</v>
      </c>
      <c r="S673" s="1">
        <f>(Occurrence!G$3-I673)^2</f>
        <v>0.42250000000000004</v>
      </c>
      <c r="T673" s="1">
        <f>(Occurrence!H$3-J673)^2</f>
        <v>4.0000000000000072E-4</v>
      </c>
      <c r="U673" s="1">
        <f>(Occurrence!I$3-K673)^2</f>
        <v>2.5000000000000044E-3</v>
      </c>
      <c r="V673" s="1">
        <f>(Occurrence!J$3-L673)^2</f>
        <v>6.25E-2</v>
      </c>
      <c r="W673" s="1">
        <f>(Occurrence!K$3-M673)^2</f>
        <v>9.999999999999995E-3</v>
      </c>
      <c r="X673" s="1">
        <f t="shared" si="121"/>
        <v>2.4138999999999999</v>
      </c>
      <c r="Z673" s="1">
        <f t="shared" si="122"/>
        <v>0</v>
      </c>
      <c r="AA673" s="1">
        <f t="shared" si="123"/>
        <v>1</v>
      </c>
      <c r="AB673" s="1">
        <f t="shared" si="124"/>
        <v>0</v>
      </c>
      <c r="AC673" s="1">
        <f t="shared" si="125"/>
        <v>0</v>
      </c>
      <c r="AD673" s="1">
        <f t="shared" si="126"/>
        <v>0</v>
      </c>
      <c r="AE673" s="1">
        <f t="shared" si="127"/>
        <v>1</v>
      </c>
      <c r="AF673" s="1">
        <f t="shared" si="128"/>
        <v>1</v>
      </c>
      <c r="AG673" s="1">
        <f t="shared" si="129"/>
        <v>1</v>
      </c>
      <c r="AH673" s="1">
        <f t="shared" si="130"/>
        <v>0</v>
      </c>
      <c r="AI673" s="1">
        <f t="shared" si="131"/>
        <v>1</v>
      </c>
      <c r="AJ673" s="1">
        <f>SUMXMY2(Z673:AI673, Occurrence!B$3:K$3)</f>
        <v>4</v>
      </c>
      <c r="AK673" s="1">
        <f t="shared" si="132"/>
        <v>6</v>
      </c>
    </row>
    <row r="674" spans="1:37">
      <c r="A674" s="1">
        <v>673</v>
      </c>
      <c r="B674" s="1">
        <v>4252672</v>
      </c>
      <c r="C674" s="6" t="s">
        <v>45</v>
      </c>
      <c r="D674" s="1">
        <v>0.15</v>
      </c>
      <c r="E674" s="1">
        <v>0.5</v>
      </c>
      <c r="F674" s="1">
        <v>0.15</v>
      </c>
      <c r="G674" s="1">
        <v>0.5</v>
      </c>
      <c r="H674" s="1">
        <v>0.9</v>
      </c>
      <c r="I674" s="1">
        <v>0.5</v>
      </c>
      <c r="J674" s="1">
        <v>0.95</v>
      </c>
      <c r="K674" s="1">
        <v>0.8</v>
      </c>
      <c r="L674" s="1">
        <v>0.15</v>
      </c>
      <c r="M674" s="1">
        <v>0.65</v>
      </c>
      <c r="N674" s="1">
        <f>(Occurrence!B$3-D674)^2</f>
        <v>2.2499999999999999E-2</v>
      </c>
      <c r="O674" s="1">
        <f>(Occurrence!C$3-E674)^2</f>
        <v>0.25</v>
      </c>
      <c r="P674" s="1">
        <f>(Occurrence!D$3-F674)^2</f>
        <v>0.72249999999999992</v>
      </c>
      <c r="Q674" s="1">
        <f>(Occurrence!E$3-G674)^2</f>
        <v>0.25</v>
      </c>
      <c r="R674" s="1">
        <f>(Occurrence!F$3-H674)^2</f>
        <v>0.81</v>
      </c>
      <c r="S674" s="1">
        <f>(Occurrence!G$3-I674)^2</f>
        <v>0.25</v>
      </c>
      <c r="T674" s="1">
        <f>(Occurrence!H$3-J674)^2</f>
        <v>2.5000000000000044E-3</v>
      </c>
      <c r="U674" s="1">
        <f>(Occurrence!I$3-K674)^2</f>
        <v>3.999999999999998E-2</v>
      </c>
      <c r="V674" s="1">
        <f>(Occurrence!J$3-L674)^2</f>
        <v>2.2499999999999999E-2</v>
      </c>
      <c r="W674" s="1">
        <f>(Occurrence!K$3-M674)^2</f>
        <v>0.12249999999999998</v>
      </c>
      <c r="X674" s="1">
        <f t="shared" si="121"/>
        <v>2.4924999999999997</v>
      </c>
      <c r="Z674" s="1">
        <f t="shared" si="122"/>
        <v>0</v>
      </c>
      <c r="AA674" s="1">
        <f t="shared" si="123"/>
        <v>1</v>
      </c>
      <c r="AB674" s="1">
        <f t="shared" si="124"/>
        <v>0</v>
      </c>
      <c r="AC674" s="1">
        <f t="shared" si="125"/>
        <v>1</v>
      </c>
      <c r="AD674" s="1">
        <f t="shared" si="126"/>
        <v>1</v>
      </c>
      <c r="AE674" s="1">
        <f t="shared" si="127"/>
        <v>1</v>
      </c>
      <c r="AF674" s="1">
        <f t="shared" si="128"/>
        <v>1</v>
      </c>
      <c r="AG674" s="1">
        <f t="shared" si="129"/>
        <v>1</v>
      </c>
      <c r="AH674" s="1">
        <f t="shared" si="130"/>
        <v>0</v>
      </c>
      <c r="AI674" s="1">
        <f t="shared" si="131"/>
        <v>1</v>
      </c>
      <c r="AJ674" s="1">
        <f>SUMXMY2(Z674:AI674, Occurrence!B$3:K$3)</f>
        <v>4</v>
      </c>
      <c r="AK674" s="1">
        <f t="shared" si="132"/>
        <v>6</v>
      </c>
    </row>
    <row r="675" spans="1:37">
      <c r="A675" s="1">
        <v>674</v>
      </c>
      <c r="B675" s="1">
        <v>4252673</v>
      </c>
      <c r="C675" s="6" t="s">
        <v>45</v>
      </c>
      <c r="D675" s="1">
        <v>7.0000000000000007E-2</v>
      </c>
      <c r="E675" s="1">
        <v>0.26</v>
      </c>
      <c r="F675" s="1">
        <v>0.65</v>
      </c>
      <c r="G675" s="1">
        <v>0.93</v>
      </c>
      <c r="H675" s="1">
        <v>0.42</v>
      </c>
      <c r="I675" s="1">
        <v>0.75</v>
      </c>
      <c r="J675" s="1">
        <v>0.32400000000000001</v>
      </c>
      <c r="K675" s="1">
        <v>0.65400000000000003</v>
      </c>
      <c r="L675" s="1">
        <v>0.54800000000000004</v>
      </c>
      <c r="M675" s="1">
        <v>0.214</v>
      </c>
      <c r="N675" s="1">
        <f>(Occurrence!B$3-D675)^2</f>
        <v>4.9000000000000007E-3</v>
      </c>
      <c r="O675" s="1">
        <f>(Occurrence!C$3-E675)^2</f>
        <v>6.7600000000000007E-2</v>
      </c>
      <c r="P675" s="1">
        <f>(Occurrence!D$3-F675)^2</f>
        <v>0.12249999999999998</v>
      </c>
      <c r="Q675" s="1">
        <f>(Occurrence!E$3-G675)^2</f>
        <v>4.8999999999999929E-3</v>
      </c>
      <c r="R675" s="1">
        <f>(Occurrence!F$3-H675)^2</f>
        <v>0.17639999999999997</v>
      </c>
      <c r="S675" s="1">
        <f>(Occurrence!G$3-I675)^2</f>
        <v>0.5625</v>
      </c>
      <c r="T675" s="1">
        <f>(Occurrence!H$3-J675)^2</f>
        <v>0.45697599999999994</v>
      </c>
      <c r="U675" s="1">
        <f>(Occurrence!I$3-K675)^2</f>
        <v>0.11971599999999999</v>
      </c>
      <c r="V675" s="1">
        <f>(Occurrence!J$3-L675)^2</f>
        <v>0.30030400000000007</v>
      </c>
      <c r="W675" s="1">
        <f>(Occurrence!K$3-M675)^2</f>
        <v>0.61779600000000001</v>
      </c>
      <c r="X675" s="1">
        <f t="shared" si="121"/>
        <v>2.433592</v>
      </c>
      <c r="Z675" s="1">
        <f t="shared" si="122"/>
        <v>0</v>
      </c>
      <c r="AA675" s="1">
        <f t="shared" si="123"/>
        <v>0</v>
      </c>
      <c r="AB675" s="1">
        <f t="shared" si="124"/>
        <v>1</v>
      </c>
      <c r="AC675" s="1">
        <f t="shared" si="125"/>
        <v>1</v>
      </c>
      <c r="AD675" s="1">
        <f t="shared" si="126"/>
        <v>0</v>
      </c>
      <c r="AE675" s="1">
        <f t="shared" si="127"/>
        <v>1</v>
      </c>
      <c r="AF675" s="1">
        <f t="shared" si="128"/>
        <v>0</v>
      </c>
      <c r="AG675" s="1">
        <f t="shared" si="129"/>
        <v>1</v>
      </c>
      <c r="AH675" s="1">
        <f t="shared" si="130"/>
        <v>1</v>
      </c>
      <c r="AI675" s="1">
        <f t="shared" si="131"/>
        <v>0</v>
      </c>
      <c r="AJ675" s="1">
        <f>SUMXMY2(Z675:AI675, Occurrence!B$3:K$3)</f>
        <v>4</v>
      </c>
      <c r="AK675" s="1">
        <f t="shared" si="132"/>
        <v>6</v>
      </c>
    </row>
    <row r="676" spans="1:37">
      <c r="A676" s="1">
        <v>675</v>
      </c>
      <c r="B676" s="1">
        <v>4252674</v>
      </c>
      <c r="C676" s="6" t="s">
        <v>45</v>
      </c>
      <c r="D676" s="1">
        <v>0.27260000000000001</v>
      </c>
      <c r="E676" s="1">
        <v>0.3518</v>
      </c>
      <c r="F676" s="1">
        <v>0.50019999999999998</v>
      </c>
      <c r="G676" s="1">
        <v>0.60289999999999999</v>
      </c>
      <c r="H676" s="1">
        <v>0.65</v>
      </c>
      <c r="I676" s="1">
        <v>0.65</v>
      </c>
      <c r="J676" s="1">
        <v>0.5</v>
      </c>
      <c r="K676" s="1">
        <v>0.56699999999999995</v>
      </c>
      <c r="L676" s="1">
        <v>0.67800000000000005</v>
      </c>
      <c r="M676" s="1">
        <v>0.98599999999999999</v>
      </c>
      <c r="N676" s="1">
        <f>(Occurrence!B$3-D676)^2</f>
        <v>7.4310760000000003E-2</v>
      </c>
      <c r="O676" s="1">
        <f>(Occurrence!C$3-E676)^2</f>
        <v>0.12376324</v>
      </c>
      <c r="P676" s="1">
        <f>(Occurrence!D$3-F676)^2</f>
        <v>0.24980004000000003</v>
      </c>
      <c r="Q676" s="1">
        <f>(Occurrence!E$3-G676)^2</f>
        <v>0.15768841</v>
      </c>
      <c r="R676" s="1">
        <f>(Occurrence!F$3-H676)^2</f>
        <v>0.42250000000000004</v>
      </c>
      <c r="S676" s="1">
        <f>(Occurrence!G$3-I676)^2</f>
        <v>0.42250000000000004</v>
      </c>
      <c r="T676" s="1">
        <f>(Occurrence!H$3-J676)^2</f>
        <v>0.25</v>
      </c>
      <c r="U676" s="1">
        <f>(Occurrence!I$3-K676)^2</f>
        <v>0.18748900000000004</v>
      </c>
      <c r="V676" s="1">
        <f>(Occurrence!J$3-L676)^2</f>
        <v>0.45968400000000004</v>
      </c>
      <c r="W676" s="1">
        <f>(Occurrence!K$3-M676)^2</f>
        <v>1.9600000000000035E-4</v>
      </c>
      <c r="X676" s="1">
        <f t="shared" si="121"/>
        <v>2.3479314500000004</v>
      </c>
      <c r="Z676" s="1">
        <f t="shared" si="122"/>
        <v>0</v>
      </c>
      <c r="AA676" s="1">
        <f t="shared" si="123"/>
        <v>0</v>
      </c>
      <c r="AB676" s="1">
        <f t="shared" si="124"/>
        <v>1</v>
      </c>
      <c r="AC676" s="1">
        <f t="shared" si="125"/>
        <v>1</v>
      </c>
      <c r="AD676" s="1">
        <f t="shared" si="126"/>
        <v>1</v>
      </c>
      <c r="AE676" s="1">
        <f t="shared" si="127"/>
        <v>1</v>
      </c>
      <c r="AF676" s="1">
        <f t="shared" si="128"/>
        <v>1</v>
      </c>
      <c r="AG676" s="1">
        <f t="shared" si="129"/>
        <v>1</v>
      </c>
      <c r="AH676" s="1">
        <f t="shared" si="130"/>
        <v>1</v>
      </c>
      <c r="AI676" s="1">
        <f t="shared" si="131"/>
        <v>1</v>
      </c>
      <c r="AJ676" s="1">
        <f>SUMXMY2(Z676:AI676, Occurrence!B$3:K$3)</f>
        <v>3</v>
      </c>
      <c r="AK676" s="1">
        <f t="shared" si="132"/>
        <v>7</v>
      </c>
    </row>
    <row r="677" spans="1:37">
      <c r="A677" s="1">
        <v>676</v>
      </c>
      <c r="B677" s="1">
        <v>4252675</v>
      </c>
      <c r="C677" s="6" t="s">
        <v>45</v>
      </c>
      <c r="D677" s="1">
        <v>0.45</v>
      </c>
      <c r="E677" s="1">
        <v>0.34</v>
      </c>
      <c r="F677" s="1">
        <v>0.62</v>
      </c>
      <c r="G677" s="1">
        <v>0.72</v>
      </c>
      <c r="H677" s="1">
        <v>0.52</v>
      </c>
      <c r="I677" s="1">
        <v>0.41</v>
      </c>
      <c r="J677" s="1">
        <v>0.92</v>
      </c>
      <c r="K677" s="1">
        <v>0.34</v>
      </c>
      <c r="L677" s="1">
        <v>0.72</v>
      </c>
      <c r="M677" s="1">
        <v>0.16</v>
      </c>
      <c r="N677" s="1">
        <f>(Occurrence!B$3-D677)^2</f>
        <v>0.20250000000000001</v>
      </c>
      <c r="O677" s="1">
        <f>(Occurrence!C$3-E677)^2</f>
        <v>0.11560000000000002</v>
      </c>
      <c r="P677" s="1">
        <f>(Occurrence!D$3-F677)^2</f>
        <v>0.1444</v>
      </c>
      <c r="Q677" s="1">
        <f>(Occurrence!E$3-G677)^2</f>
        <v>7.8400000000000011E-2</v>
      </c>
      <c r="R677" s="1">
        <f>(Occurrence!F$3-H677)^2</f>
        <v>0.27040000000000003</v>
      </c>
      <c r="S677" s="1">
        <f>(Occurrence!G$3-I677)^2</f>
        <v>0.16809999999999997</v>
      </c>
      <c r="T677" s="1">
        <f>(Occurrence!H$3-J677)^2</f>
        <v>6.3999999999999934E-3</v>
      </c>
      <c r="U677" s="1">
        <f>(Occurrence!I$3-K677)^2</f>
        <v>0.43559999999999988</v>
      </c>
      <c r="V677" s="1">
        <f>(Occurrence!J$3-L677)^2</f>
        <v>0.51839999999999997</v>
      </c>
      <c r="W677" s="1">
        <f>(Occurrence!K$3-M677)^2</f>
        <v>0.70559999999999989</v>
      </c>
      <c r="X677" s="1">
        <f t="shared" si="121"/>
        <v>2.6453999999999995</v>
      </c>
      <c r="Z677" s="1">
        <f t="shared" si="122"/>
        <v>0</v>
      </c>
      <c r="AA677" s="1">
        <f t="shared" si="123"/>
        <v>0</v>
      </c>
      <c r="AB677" s="1">
        <f t="shared" si="124"/>
        <v>1</v>
      </c>
      <c r="AC677" s="1">
        <f t="shared" si="125"/>
        <v>1</v>
      </c>
      <c r="AD677" s="1">
        <f t="shared" si="126"/>
        <v>1</v>
      </c>
      <c r="AE677" s="1">
        <f t="shared" si="127"/>
        <v>0</v>
      </c>
      <c r="AF677" s="1">
        <f t="shared" si="128"/>
        <v>1</v>
      </c>
      <c r="AG677" s="1">
        <f t="shared" si="129"/>
        <v>0</v>
      </c>
      <c r="AH677" s="1">
        <f t="shared" si="130"/>
        <v>1</v>
      </c>
      <c r="AI677" s="1">
        <f t="shared" si="131"/>
        <v>0</v>
      </c>
      <c r="AJ677" s="1">
        <f>SUMXMY2(Z677:AI677, Occurrence!B$3:K$3)</f>
        <v>4</v>
      </c>
      <c r="AK677" s="1">
        <f t="shared" si="132"/>
        <v>6</v>
      </c>
    </row>
    <row r="678" spans="1:37">
      <c r="A678" s="1">
        <v>677</v>
      </c>
      <c r="B678" s="1">
        <v>4252676</v>
      </c>
      <c r="C678" s="6" t="s">
        <v>45</v>
      </c>
      <c r="D678" s="1">
        <v>0.44929999999999998</v>
      </c>
      <c r="E678" s="1">
        <v>0.51229999999999998</v>
      </c>
      <c r="F678" s="1">
        <v>0.2465</v>
      </c>
      <c r="G678" s="1">
        <v>0.1835</v>
      </c>
      <c r="H678" s="1">
        <v>0.45669999999999999</v>
      </c>
      <c r="I678" s="1">
        <v>0.67649999999999999</v>
      </c>
      <c r="J678" s="1">
        <v>0.78900000000000003</v>
      </c>
      <c r="K678" s="1">
        <v>0.34560000000000002</v>
      </c>
      <c r="L678" s="1">
        <v>0.76800000000000002</v>
      </c>
      <c r="M678" s="1">
        <v>0.56889999999999996</v>
      </c>
      <c r="N678" s="1">
        <f>(Occurrence!B$3-D678)^2</f>
        <v>0.20187048999999999</v>
      </c>
      <c r="O678" s="1">
        <f>(Occurrence!C$3-E678)^2</f>
        <v>0.26245129</v>
      </c>
      <c r="P678" s="1">
        <f>(Occurrence!D$3-F678)^2</f>
        <v>0.56776225000000013</v>
      </c>
      <c r="Q678" s="1">
        <f>(Occurrence!E$3-G678)^2</f>
        <v>0.66667224999999997</v>
      </c>
      <c r="R678" s="1">
        <f>(Occurrence!F$3-H678)^2</f>
        <v>0.20857488999999999</v>
      </c>
      <c r="S678" s="1">
        <f>(Occurrence!G$3-I678)^2</f>
        <v>0.45765224999999998</v>
      </c>
      <c r="T678" s="1">
        <f>(Occurrence!H$3-J678)^2</f>
        <v>4.4520999999999984E-2</v>
      </c>
      <c r="U678" s="1">
        <f>(Occurrence!I$3-K678)^2</f>
        <v>0.42823935999999996</v>
      </c>
      <c r="V678" s="1">
        <f>(Occurrence!J$3-L678)^2</f>
        <v>0.58982400000000001</v>
      </c>
      <c r="W678" s="1">
        <f>(Occurrence!K$3-M678)^2</f>
        <v>0.18584721000000004</v>
      </c>
      <c r="X678" s="1">
        <f t="shared" si="121"/>
        <v>3.6134149899999999</v>
      </c>
      <c r="Z678" s="1">
        <f t="shared" si="122"/>
        <v>0</v>
      </c>
      <c r="AA678" s="1">
        <f t="shared" si="123"/>
        <v>1</v>
      </c>
      <c r="AB678" s="1">
        <f t="shared" si="124"/>
        <v>0</v>
      </c>
      <c r="AC678" s="1">
        <f t="shared" si="125"/>
        <v>0</v>
      </c>
      <c r="AD678" s="1">
        <f t="shared" si="126"/>
        <v>0</v>
      </c>
      <c r="AE678" s="1">
        <f t="shared" si="127"/>
        <v>1</v>
      </c>
      <c r="AF678" s="1">
        <f t="shared" si="128"/>
        <v>1</v>
      </c>
      <c r="AG678" s="1">
        <f t="shared" si="129"/>
        <v>0</v>
      </c>
      <c r="AH678" s="1">
        <f t="shared" si="130"/>
        <v>1</v>
      </c>
      <c r="AI678" s="1">
        <f t="shared" si="131"/>
        <v>1</v>
      </c>
      <c r="AJ678" s="1">
        <f>SUMXMY2(Z678:AI678, Occurrence!B$3:K$3)</f>
        <v>6</v>
      </c>
      <c r="AK678" s="1">
        <f t="shared" si="132"/>
        <v>4</v>
      </c>
    </row>
    <row r="679" spans="1:37">
      <c r="A679" s="1">
        <v>678</v>
      </c>
      <c r="B679" s="1">
        <v>4252677</v>
      </c>
      <c r="C679" s="6" t="s">
        <v>45</v>
      </c>
      <c r="D679" s="1">
        <v>0.71940000000000004</v>
      </c>
      <c r="E679" s="1">
        <v>0.87350000000000005</v>
      </c>
      <c r="F679" s="1">
        <v>0.28060000000000002</v>
      </c>
      <c r="G679" s="1">
        <v>0.1265</v>
      </c>
      <c r="H679" s="1">
        <v>0.35210000000000002</v>
      </c>
      <c r="I679" s="1">
        <v>0.43519999999999998</v>
      </c>
      <c r="J679" s="1">
        <v>6.0999999999999999E-2</v>
      </c>
      <c r="K679" s="1">
        <v>2.01E-2</v>
      </c>
      <c r="L679" s="1">
        <v>0.52339999999999998</v>
      </c>
      <c r="M679" s="1">
        <v>0.29099999999999998</v>
      </c>
      <c r="N679" s="1">
        <f>(Occurrence!B$3-D679)^2</f>
        <v>0.51753636000000003</v>
      </c>
      <c r="O679" s="1">
        <f>(Occurrence!C$3-E679)^2</f>
        <v>0.7630022500000001</v>
      </c>
      <c r="P679" s="1">
        <f>(Occurrence!D$3-F679)^2</f>
        <v>0.51753636000000003</v>
      </c>
      <c r="Q679" s="1">
        <f>(Occurrence!E$3-G679)^2</f>
        <v>0.76300224999999988</v>
      </c>
      <c r="R679" s="1">
        <f>(Occurrence!F$3-H679)^2</f>
        <v>0.12397441000000002</v>
      </c>
      <c r="S679" s="1">
        <f>(Occurrence!G$3-I679)^2</f>
        <v>0.18939903999999999</v>
      </c>
      <c r="T679" s="1">
        <f>(Occurrence!H$3-J679)^2</f>
        <v>0.88172100000000009</v>
      </c>
      <c r="U679" s="1">
        <f>(Occurrence!I$3-K679)^2</f>
        <v>0.96020401</v>
      </c>
      <c r="V679" s="1">
        <f>(Occurrence!J$3-L679)^2</f>
        <v>0.27394755999999998</v>
      </c>
      <c r="W679" s="1">
        <f>(Occurrence!K$3-M679)^2</f>
        <v>0.50268100000000016</v>
      </c>
      <c r="X679" s="1">
        <f t="shared" si="121"/>
        <v>5.4930042400000003</v>
      </c>
      <c r="Z679" s="1">
        <f t="shared" si="122"/>
        <v>1</v>
      </c>
      <c r="AA679" s="1">
        <f t="shared" si="123"/>
        <v>1</v>
      </c>
      <c r="AB679" s="1">
        <f t="shared" si="124"/>
        <v>0</v>
      </c>
      <c r="AC679" s="1">
        <f t="shared" si="125"/>
        <v>0</v>
      </c>
      <c r="AD679" s="1">
        <f t="shared" si="126"/>
        <v>0</v>
      </c>
      <c r="AE679" s="1">
        <f t="shared" si="127"/>
        <v>0</v>
      </c>
      <c r="AF679" s="1">
        <f t="shared" si="128"/>
        <v>0</v>
      </c>
      <c r="AG679" s="1">
        <f t="shared" si="129"/>
        <v>0</v>
      </c>
      <c r="AH679" s="1">
        <f t="shared" si="130"/>
        <v>1</v>
      </c>
      <c r="AI679" s="1">
        <f t="shared" si="131"/>
        <v>0</v>
      </c>
      <c r="AJ679" s="1">
        <f>SUMXMY2(Z679:AI679, Occurrence!B$3:K$3)</f>
        <v>8</v>
      </c>
      <c r="AK679" s="1">
        <f t="shared" si="132"/>
        <v>2</v>
      </c>
    </row>
    <row r="680" spans="1:37">
      <c r="A680" s="1">
        <v>679</v>
      </c>
      <c r="B680" s="1">
        <v>4252678</v>
      </c>
      <c r="C680" s="6" t="s">
        <v>45</v>
      </c>
      <c r="D680" s="1">
        <v>0.45</v>
      </c>
      <c r="E680" s="1">
        <v>0.15</v>
      </c>
      <c r="F680" s="1">
        <v>0</v>
      </c>
      <c r="G680" s="1">
        <v>0.3</v>
      </c>
      <c r="H680" s="1">
        <v>0</v>
      </c>
      <c r="I680" s="1">
        <v>0.75</v>
      </c>
      <c r="J680" s="1">
        <v>0.25</v>
      </c>
      <c r="K680" s="1">
        <v>0.8</v>
      </c>
      <c r="L680" s="1">
        <v>0.54</v>
      </c>
      <c r="M680" s="1">
        <v>0.43</v>
      </c>
      <c r="N680" s="1">
        <f>(Occurrence!B$3-D680)^2</f>
        <v>0.20250000000000001</v>
      </c>
      <c r="O680" s="1">
        <f>(Occurrence!C$3-E680)^2</f>
        <v>2.2499999999999999E-2</v>
      </c>
      <c r="P680" s="1">
        <f>(Occurrence!D$3-F680)^2</f>
        <v>1</v>
      </c>
      <c r="Q680" s="1">
        <f>(Occurrence!E$3-G680)^2</f>
        <v>0.48999999999999994</v>
      </c>
      <c r="R680" s="1">
        <f>(Occurrence!F$3-H680)^2</f>
        <v>0</v>
      </c>
      <c r="S680" s="1">
        <f>(Occurrence!G$3-I680)^2</f>
        <v>0.5625</v>
      </c>
      <c r="T680" s="1">
        <f>(Occurrence!H$3-J680)^2</f>
        <v>0.5625</v>
      </c>
      <c r="U680" s="1">
        <f>(Occurrence!I$3-K680)^2</f>
        <v>3.999999999999998E-2</v>
      </c>
      <c r="V680" s="1">
        <f>(Occurrence!J$3-L680)^2</f>
        <v>0.29160000000000003</v>
      </c>
      <c r="W680" s="1">
        <f>(Occurrence!K$3-M680)^2</f>
        <v>0.32490000000000008</v>
      </c>
      <c r="X680" s="1">
        <f t="shared" si="121"/>
        <v>3.4964999999999997</v>
      </c>
      <c r="Z680" s="1">
        <f t="shared" si="122"/>
        <v>0</v>
      </c>
      <c r="AA680" s="1">
        <f t="shared" si="123"/>
        <v>0</v>
      </c>
      <c r="AB680" s="1">
        <f t="shared" si="124"/>
        <v>0</v>
      </c>
      <c r="AC680" s="1">
        <f t="shared" si="125"/>
        <v>0</v>
      </c>
      <c r="AD680" s="1">
        <f t="shared" si="126"/>
        <v>0</v>
      </c>
      <c r="AE680" s="1">
        <f t="shared" si="127"/>
        <v>1</v>
      </c>
      <c r="AF680" s="1">
        <f t="shared" si="128"/>
        <v>0</v>
      </c>
      <c r="AG680" s="1">
        <f t="shared" si="129"/>
        <v>1</v>
      </c>
      <c r="AH680" s="1">
        <f t="shared" si="130"/>
        <v>1</v>
      </c>
      <c r="AI680" s="1">
        <f t="shared" si="131"/>
        <v>0</v>
      </c>
      <c r="AJ680" s="1">
        <f>SUMXMY2(Z680:AI680, Occurrence!B$3:K$3)</f>
        <v>6</v>
      </c>
      <c r="AK680" s="1">
        <f t="shared" si="132"/>
        <v>4</v>
      </c>
    </row>
    <row r="681" spans="1:37">
      <c r="A681" s="1">
        <v>680</v>
      </c>
      <c r="B681" s="1">
        <v>4252679</v>
      </c>
      <c r="C681" s="6" t="s">
        <v>45</v>
      </c>
      <c r="D681" s="1">
        <v>0.45639999999999997</v>
      </c>
      <c r="E681" s="1">
        <v>0.45639999999999997</v>
      </c>
      <c r="F681" s="1">
        <v>0.23530000000000001</v>
      </c>
      <c r="G681" s="1">
        <v>0.52329999999999999</v>
      </c>
      <c r="H681" s="1">
        <v>0.44319999999999998</v>
      </c>
      <c r="I681" s="1">
        <v>0.54320000000000002</v>
      </c>
      <c r="J681" s="1">
        <v>0.65349999999999997</v>
      </c>
      <c r="K681" s="1">
        <v>0.65349999999999997</v>
      </c>
      <c r="L681" s="1">
        <v>0.65429999999999999</v>
      </c>
      <c r="M681" s="1">
        <v>0.6643</v>
      </c>
      <c r="N681" s="1">
        <f>(Occurrence!B$3-D681)^2</f>
        <v>0.20830095999999998</v>
      </c>
      <c r="O681" s="1">
        <f>(Occurrence!C$3-E681)^2</f>
        <v>0.20830095999999998</v>
      </c>
      <c r="P681" s="1">
        <f>(Occurrence!D$3-F681)^2</f>
        <v>0.58476608999999991</v>
      </c>
      <c r="Q681" s="1">
        <f>(Occurrence!E$3-G681)^2</f>
        <v>0.22724289</v>
      </c>
      <c r="R681" s="1">
        <f>(Occurrence!F$3-H681)^2</f>
        <v>0.19642623999999997</v>
      </c>
      <c r="S681" s="1">
        <f>(Occurrence!G$3-I681)^2</f>
        <v>0.29506624000000004</v>
      </c>
      <c r="T681" s="1">
        <f>(Occurrence!H$3-J681)^2</f>
        <v>0.12006225000000002</v>
      </c>
      <c r="U681" s="1">
        <f>(Occurrence!I$3-K681)^2</f>
        <v>0.12006225000000002</v>
      </c>
      <c r="V681" s="1">
        <f>(Occurrence!J$3-L681)^2</f>
        <v>0.42810849000000001</v>
      </c>
      <c r="W681" s="1">
        <f>(Occurrence!K$3-M681)^2</f>
        <v>0.11269448999999999</v>
      </c>
      <c r="X681" s="1">
        <f t="shared" si="121"/>
        <v>2.5010308599999997</v>
      </c>
      <c r="Z681" s="1">
        <f t="shared" si="122"/>
        <v>0</v>
      </c>
      <c r="AA681" s="1">
        <f t="shared" si="123"/>
        <v>0</v>
      </c>
      <c r="AB681" s="1">
        <f t="shared" si="124"/>
        <v>0</v>
      </c>
      <c r="AC681" s="1">
        <f t="shared" si="125"/>
        <v>1</v>
      </c>
      <c r="AD681" s="1">
        <f t="shared" si="126"/>
        <v>0</v>
      </c>
      <c r="AE681" s="1">
        <f t="shared" si="127"/>
        <v>1</v>
      </c>
      <c r="AF681" s="1">
        <f t="shared" si="128"/>
        <v>1</v>
      </c>
      <c r="AG681" s="1">
        <f t="shared" si="129"/>
        <v>1</v>
      </c>
      <c r="AH681" s="1">
        <f t="shared" si="130"/>
        <v>1</v>
      </c>
      <c r="AI681" s="1">
        <f t="shared" si="131"/>
        <v>1</v>
      </c>
      <c r="AJ681" s="1">
        <f>SUMXMY2(Z681:AI681, Occurrence!B$3:K$3)</f>
        <v>3</v>
      </c>
      <c r="AK681" s="1">
        <f t="shared" si="132"/>
        <v>7</v>
      </c>
    </row>
    <row r="682" spans="1:37">
      <c r="A682" s="1">
        <v>681</v>
      </c>
      <c r="B682" s="1">
        <v>4252680</v>
      </c>
      <c r="C682" s="6" t="s">
        <v>45</v>
      </c>
      <c r="D682" s="1">
        <v>0.5</v>
      </c>
      <c r="E682" s="1">
        <v>0.6</v>
      </c>
      <c r="F682" s="1">
        <v>0.2</v>
      </c>
      <c r="G682" s="1">
        <v>0.3</v>
      </c>
      <c r="H682" s="1">
        <v>0.6</v>
      </c>
      <c r="I682" s="1">
        <v>0.7</v>
      </c>
      <c r="J682" s="1">
        <v>0.2</v>
      </c>
      <c r="K682" s="1">
        <v>0.95</v>
      </c>
      <c r="L682" s="1">
        <v>0.82</v>
      </c>
      <c r="M682" s="1">
        <v>0.18</v>
      </c>
      <c r="N682" s="1">
        <f>(Occurrence!B$3-D682)^2</f>
        <v>0.25</v>
      </c>
      <c r="O682" s="1">
        <f>(Occurrence!C$3-E682)^2</f>
        <v>0.36</v>
      </c>
      <c r="P682" s="1">
        <f>(Occurrence!D$3-F682)^2</f>
        <v>0.64000000000000012</v>
      </c>
      <c r="Q682" s="1">
        <f>(Occurrence!E$3-G682)^2</f>
        <v>0.48999999999999994</v>
      </c>
      <c r="R682" s="1">
        <f>(Occurrence!F$3-H682)^2</f>
        <v>0.36</v>
      </c>
      <c r="S682" s="1">
        <f>(Occurrence!G$3-I682)^2</f>
        <v>0.48999999999999994</v>
      </c>
      <c r="T682" s="1">
        <f>(Occurrence!H$3-J682)^2</f>
        <v>0.64000000000000012</v>
      </c>
      <c r="U682" s="1">
        <f>(Occurrence!I$3-K682)^2</f>
        <v>2.5000000000000044E-3</v>
      </c>
      <c r="V682" s="1">
        <f>(Occurrence!J$3-L682)^2</f>
        <v>0.67239999999999989</v>
      </c>
      <c r="W682" s="1">
        <f>(Occurrence!K$3-M682)^2</f>
        <v>0.67240000000000011</v>
      </c>
      <c r="X682" s="1">
        <f t="shared" si="121"/>
        <v>4.5772999999999993</v>
      </c>
      <c r="Z682" s="1">
        <f t="shared" si="122"/>
        <v>1</v>
      </c>
      <c r="AA682" s="1">
        <f t="shared" si="123"/>
        <v>1</v>
      </c>
      <c r="AB682" s="1">
        <f t="shared" si="124"/>
        <v>0</v>
      </c>
      <c r="AC682" s="1">
        <f t="shared" si="125"/>
        <v>0</v>
      </c>
      <c r="AD682" s="1">
        <f t="shared" si="126"/>
        <v>1</v>
      </c>
      <c r="AE682" s="1">
        <f t="shared" si="127"/>
        <v>1</v>
      </c>
      <c r="AF682" s="1">
        <f t="shared" si="128"/>
        <v>0</v>
      </c>
      <c r="AG682" s="1">
        <f t="shared" si="129"/>
        <v>1</v>
      </c>
      <c r="AH682" s="1">
        <f t="shared" si="130"/>
        <v>1</v>
      </c>
      <c r="AI682" s="1">
        <f t="shared" si="131"/>
        <v>0</v>
      </c>
      <c r="AJ682" s="1">
        <f>SUMXMY2(Z682:AI682, Occurrence!B$3:K$3)</f>
        <v>9</v>
      </c>
      <c r="AK682" s="1">
        <f t="shared" si="132"/>
        <v>1</v>
      </c>
    </row>
    <row r="683" spans="1:37">
      <c r="A683" s="1">
        <v>682</v>
      </c>
      <c r="B683" s="1">
        <v>4252681</v>
      </c>
      <c r="C683" s="6" t="s">
        <v>45</v>
      </c>
      <c r="D683" s="1">
        <v>0.6</v>
      </c>
      <c r="E683" s="1">
        <v>0.03</v>
      </c>
      <c r="F683" s="1">
        <v>0.5</v>
      </c>
      <c r="G683" s="1">
        <v>0.97</v>
      </c>
      <c r="H683" s="1">
        <v>0.4</v>
      </c>
      <c r="I683" s="1">
        <v>0.9</v>
      </c>
      <c r="J683" s="1">
        <v>0.6</v>
      </c>
      <c r="K683" s="1">
        <v>0.08</v>
      </c>
      <c r="L683" s="1">
        <v>0.8</v>
      </c>
      <c r="M683" s="1">
        <v>0.32</v>
      </c>
      <c r="N683" s="1">
        <f>(Occurrence!B$3-D683)^2</f>
        <v>0.36</v>
      </c>
      <c r="O683" s="1">
        <f>(Occurrence!C$3-E683)^2</f>
        <v>8.9999999999999998E-4</v>
      </c>
      <c r="P683" s="1">
        <f>(Occurrence!D$3-F683)^2</f>
        <v>0.25</v>
      </c>
      <c r="Q683" s="1">
        <f>(Occurrence!E$3-G683)^2</f>
        <v>9.000000000000016E-4</v>
      </c>
      <c r="R683" s="1">
        <f>(Occurrence!F$3-H683)^2</f>
        <v>0.16000000000000003</v>
      </c>
      <c r="S683" s="1">
        <f>(Occurrence!G$3-I683)^2</f>
        <v>0.81</v>
      </c>
      <c r="T683" s="1">
        <f>(Occurrence!H$3-J683)^2</f>
        <v>0.16000000000000003</v>
      </c>
      <c r="U683" s="1">
        <f>(Occurrence!I$3-K683)^2</f>
        <v>0.84640000000000004</v>
      </c>
      <c r="V683" s="1">
        <f>(Occurrence!J$3-L683)^2</f>
        <v>0.64000000000000012</v>
      </c>
      <c r="W683" s="1">
        <f>(Occurrence!K$3-M683)^2</f>
        <v>0.46239999999999992</v>
      </c>
      <c r="X683" s="1">
        <f t="shared" si="121"/>
        <v>3.6905999999999999</v>
      </c>
      <c r="Z683" s="1">
        <f t="shared" si="122"/>
        <v>1</v>
      </c>
      <c r="AA683" s="1">
        <f t="shared" si="123"/>
        <v>0</v>
      </c>
      <c r="AB683" s="1">
        <f t="shared" si="124"/>
        <v>1</v>
      </c>
      <c r="AC683" s="1">
        <f t="shared" si="125"/>
        <v>1</v>
      </c>
      <c r="AD683" s="1">
        <f t="shared" si="126"/>
        <v>0</v>
      </c>
      <c r="AE683" s="1">
        <f t="shared" si="127"/>
        <v>1</v>
      </c>
      <c r="AF683" s="1">
        <f t="shared" si="128"/>
        <v>1</v>
      </c>
      <c r="AG683" s="1">
        <f t="shared" si="129"/>
        <v>0</v>
      </c>
      <c r="AH683" s="1">
        <f t="shared" si="130"/>
        <v>1</v>
      </c>
      <c r="AI683" s="1">
        <f t="shared" si="131"/>
        <v>0</v>
      </c>
      <c r="AJ683" s="1">
        <f>SUMXMY2(Z683:AI683, Occurrence!B$3:K$3)</f>
        <v>5</v>
      </c>
      <c r="AK683" s="1">
        <f t="shared" si="132"/>
        <v>5</v>
      </c>
    </row>
    <row r="684" spans="1:37">
      <c r="A684" s="1">
        <v>683</v>
      </c>
      <c r="B684" s="1">
        <v>4252682</v>
      </c>
      <c r="C684" s="6" t="s">
        <v>45</v>
      </c>
      <c r="D684" s="1">
        <v>0.25</v>
      </c>
      <c r="E684" s="1">
        <v>0.35</v>
      </c>
      <c r="F684" s="1">
        <v>0.25</v>
      </c>
      <c r="G684" s="1">
        <v>0.75</v>
      </c>
      <c r="H684" s="1">
        <v>0.9</v>
      </c>
      <c r="I684" s="1">
        <v>0.45</v>
      </c>
      <c r="J684" s="1">
        <v>0.99</v>
      </c>
      <c r="K684" s="1">
        <v>0.99</v>
      </c>
      <c r="L684" s="1">
        <v>0.99</v>
      </c>
      <c r="M684" s="1">
        <v>0.9</v>
      </c>
      <c r="N684" s="1">
        <f>(Occurrence!B$3-D684)^2</f>
        <v>6.25E-2</v>
      </c>
      <c r="O684" s="1">
        <f>(Occurrence!C$3-E684)^2</f>
        <v>0.12249999999999998</v>
      </c>
      <c r="P684" s="1">
        <f>(Occurrence!D$3-F684)^2</f>
        <v>0.5625</v>
      </c>
      <c r="Q684" s="1">
        <f>(Occurrence!E$3-G684)^2</f>
        <v>6.25E-2</v>
      </c>
      <c r="R684" s="1">
        <f>(Occurrence!F$3-H684)^2</f>
        <v>0.81</v>
      </c>
      <c r="S684" s="1">
        <f>(Occurrence!G$3-I684)^2</f>
        <v>0.20250000000000001</v>
      </c>
      <c r="T684" s="1">
        <f>(Occurrence!H$3-J684)^2</f>
        <v>1.0000000000000018E-4</v>
      </c>
      <c r="U684" s="1">
        <f>(Occurrence!I$3-K684)^2</f>
        <v>1.0000000000000018E-4</v>
      </c>
      <c r="V684" s="1">
        <f>(Occurrence!J$3-L684)^2</f>
        <v>0.98009999999999997</v>
      </c>
      <c r="W684" s="1">
        <f>(Occurrence!K$3-M684)^2</f>
        <v>9.999999999999995E-3</v>
      </c>
      <c r="X684" s="1">
        <f t="shared" si="121"/>
        <v>2.8128000000000002</v>
      </c>
      <c r="Z684" s="1">
        <f t="shared" si="122"/>
        <v>0</v>
      </c>
      <c r="AA684" s="1">
        <f t="shared" si="123"/>
        <v>0</v>
      </c>
      <c r="AB684" s="1">
        <f t="shared" si="124"/>
        <v>0</v>
      </c>
      <c r="AC684" s="1">
        <f t="shared" si="125"/>
        <v>1</v>
      </c>
      <c r="AD684" s="1">
        <f t="shared" si="126"/>
        <v>1</v>
      </c>
      <c r="AE684" s="1">
        <f t="shared" si="127"/>
        <v>0</v>
      </c>
      <c r="AF684" s="1">
        <f t="shared" si="128"/>
        <v>1</v>
      </c>
      <c r="AG684" s="1">
        <f t="shared" si="129"/>
        <v>1</v>
      </c>
      <c r="AH684" s="1">
        <f t="shared" si="130"/>
        <v>1</v>
      </c>
      <c r="AI684" s="1">
        <f t="shared" si="131"/>
        <v>1</v>
      </c>
      <c r="AJ684" s="1">
        <f>SUMXMY2(Z684:AI684, Occurrence!B$3:K$3)</f>
        <v>3</v>
      </c>
      <c r="AK684" s="1">
        <f t="shared" si="132"/>
        <v>7</v>
      </c>
    </row>
    <row r="685" spans="1:37">
      <c r="A685" s="1">
        <v>684</v>
      </c>
      <c r="B685" s="1">
        <v>4252683</v>
      </c>
      <c r="C685" s="6" t="s">
        <v>45</v>
      </c>
      <c r="D685" s="1">
        <v>0.72740000000000005</v>
      </c>
      <c r="E685" s="1">
        <v>0.6482</v>
      </c>
      <c r="F685" s="1">
        <v>0.50009999999999999</v>
      </c>
      <c r="G685" s="1">
        <v>0.6028</v>
      </c>
      <c r="H685" s="1">
        <v>0.77270000000000005</v>
      </c>
      <c r="I685" s="1">
        <v>0.125</v>
      </c>
      <c r="J685" s="1">
        <v>9.4999999999999998E-3</v>
      </c>
      <c r="K685" s="1">
        <v>0.95009999999999994</v>
      </c>
      <c r="L685" s="1">
        <v>0.8569</v>
      </c>
      <c r="M685" s="1">
        <v>0.24349999999999999</v>
      </c>
      <c r="N685" s="1">
        <f>(Occurrence!B$3-D685)^2</f>
        <v>0.52911076000000001</v>
      </c>
      <c r="O685" s="1">
        <f>(Occurrence!C$3-E685)^2</f>
        <v>0.42016323999999999</v>
      </c>
      <c r="P685" s="1">
        <f>(Occurrence!D$3-F685)^2</f>
        <v>0.24990001000000001</v>
      </c>
      <c r="Q685" s="1">
        <f>(Occurrence!E$3-G685)^2</f>
        <v>0.15776783999999999</v>
      </c>
      <c r="R685" s="1">
        <f>(Occurrence!F$3-H685)^2</f>
        <v>0.59706529000000008</v>
      </c>
      <c r="S685" s="1">
        <f>(Occurrence!G$3-I685)^2</f>
        <v>1.5625E-2</v>
      </c>
      <c r="T685" s="1">
        <f>(Occurrence!H$3-J685)^2</f>
        <v>0.98109025000000005</v>
      </c>
      <c r="U685" s="1">
        <f>(Occurrence!I$3-K685)^2</f>
        <v>2.4900100000000056E-3</v>
      </c>
      <c r="V685" s="1">
        <f>(Occurrence!J$3-L685)^2</f>
        <v>0.73427761000000003</v>
      </c>
      <c r="W685" s="1">
        <f>(Occurrence!K$3-M685)^2</f>
        <v>0.57229224999999995</v>
      </c>
      <c r="X685" s="1">
        <f t="shared" si="121"/>
        <v>4.2597822599999997</v>
      </c>
      <c r="Z685" s="1">
        <f t="shared" si="122"/>
        <v>1</v>
      </c>
      <c r="AA685" s="1">
        <f t="shared" si="123"/>
        <v>1</v>
      </c>
      <c r="AB685" s="1">
        <f t="shared" si="124"/>
        <v>1</v>
      </c>
      <c r="AC685" s="1">
        <f t="shared" si="125"/>
        <v>1</v>
      </c>
      <c r="AD685" s="1">
        <f t="shared" si="126"/>
        <v>1</v>
      </c>
      <c r="AE685" s="1">
        <f t="shared" si="127"/>
        <v>0</v>
      </c>
      <c r="AF685" s="1">
        <f t="shared" si="128"/>
        <v>0</v>
      </c>
      <c r="AG685" s="1">
        <f t="shared" si="129"/>
        <v>1</v>
      </c>
      <c r="AH685" s="1">
        <f t="shared" si="130"/>
        <v>1</v>
      </c>
      <c r="AI685" s="1">
        <f t="shared" si="131"/>
        <v>0</v>
      </c>
      <c r="AJ685" s="1">
        <f>SUMXMY2(Z685:AI685, Occurrence!B$3:K$3)</f>
        <v>6</v>
      </c>
      <c r="AK685" s="1">
        <f t="shared" si="132"/>
        <v>4</v>
      </c>
    </row>
    <row r="686" spans="1:37">
      <c r="A686" s="1">
        <v>685</v>
      </c>
      <c r="B686" s="1">
        <v>4252684</v>
      </c>
      <c r="C686" s="6" t="s">
        <v>46</v>
      </c>
      <c r="D686" s="1">
        <v>0.1</v>
      </c>
      <c r="E686" s="1">
        <v>0.1</v>
      </c>
      <c r="F686" s="1">
        <v>0.9</v>
      </c>
      <c r="G686" s="1">
        <v>0.8</v>
      </c>
      <c r="H686" s="1">
        <v>0.8</v>
      </c>
      <c r="I686" s="1">
        <v>0.6</v>
      </c>
      <c r="J686" s="1">
        <v>0.9</v>
      </c>
      <c r="K686" s="1">
        <v>0.9</v>
      </c>
      <c r="L686" s="1">
        <v>0.1</v>
      </c>
      <c r="M686" s="1">
        <v>0.9</v>
      </c>
      <c r="N686" s="1">
        <f>(Occurrence!B$3-D686)^2</f>
        <v>1.0000000000000002E-2</v>
      </c>
      <c r="O686" s="1">
        <f>(Occurrence!C$3-E686)^2</f>
        <v>1.0000000000000002E-2</v>
      </c>
      <c r="P686" s="1">
        <f>(Occurrence!D$3-F686)^2</f>
        <v>9.999999999999995E-3</v>
      </c>
      <c r="Q686" s="1">
        <f>(Occurrence!E$3-G686)^2</f>
        <v>3.999999999999998E-2</v>
      </c>
      <c r="R686" s="1">
        <f>(Occurrence!F$3-H686)^2</f>
        <v>0.64000000000000012</v>
      </c>
      <c r="S686" s="1">
        <f>(Occurrence!G$3-I686)^2</f>
        <v>0.36</v>
      </c>
      <c r="T686" s="1">
        <f>(Occurrence!H$3-J686)^2</f>
        <v>9.999999999999995E-3</v>
      </c>
      <c r="U686" s="1">
        <f>(Occurrence!I$3-K686)^2</f>
        <v>9.999999999999995E-3</v>
      </c>
      <c r="V686" s="1">
        <f>(Occurrence!J$3-L686)^2</f>
        <v>1.0000000000000002E-2</v>
      </c>
      <c r="W686" s="1">
        <f>(Occurrence!K$3-M686)^2</f>
        <v>9.999999999999995E-3</v>
      </c>
      <c r="X686" s="1">
        <f t="shared" si="121"/>
        <v>1.1100000000000001</v>
      </c>
      <c r="Z686" s="1">
        <f t="shared" si="122"/>
        <v>0</v>
      </c>
      <c r="AA686" s="1">
        <f t="shared" si="123"/>
        <v>0</v>
      </c>
      <c r="AB686" s="1">
        <f t="shared" si="124"/>
        <v>1</v>
      </c>
      <c r="AC686" s="1">
        <f t="shared" si="125"/>
        <v>1</v>
      </c>
      <c r="AD686" s="1">
        <f t="shared" si="126"/>
        <v>1</v>
      </c>
      <c r="AE686" s="1">
        <f t="shared" si="127"/>
        <v>1</v>
      </c>
      <c r="AF686" s="1">
        <f t="shared" si="128"/>
        <v>1</v>
      </c>
      <c r="AG686" s="1">
        <f t="shared" si="129"/>
        <v>1</v>
      </c>
      <c r="AH686" s="1">
        <f t="shared" si="130"/>
        <v>0</v>
      </c>
      <c r="AI686" s="1">
        <f t="shared" si="131"/>
        <v>1</v>
      </c>
      <c r="AJ686" s="1">
        <f>SUMXMY2(Z686:AI686, Occurrence!B$3:K$3)</f>
        <v>2</v>
      </c>
      <c r="AK686" s="1">
        <f t="shared" si="132"/>
        <v>8</v>
      </c>
    </row>
    <row r="687" spans="1:37">
      <c r="A687" s="1">
        <v>686</v>
      </c>
      <c r="B687" s="1">
        <v>4252685</v>
      </c>
      <c r="C687" s="6" t="s">
        <v>46</v>
      </c>
      <c r="D687" s="1">
        <v>0.34</v>
      </c>
      <c r="E687" s="1">
        <v>0.8</v>
      </c>
      <c r="F687" s="1">
        <v>0.66</v>
      </c>
      <c r="G687" s="1">
        <v>0.2</v>
      </c>
      <c r="H687" s="1">
        <v>0.01</v>
      </c>
      <c r="I687" s="1">
        <v>0.35</v>
      </c>
      <c r="J687" s="1">
        <v>0.64</v>
      </c>
      <c r="K687" s="1">
        <v>1</v>
      </c>
      <c r="L687" s="1">
        <v>0.18</v>
      </c>
      <c r="M687" s="1">
        <v>1</v>
      </c>
      <c r="N687" s="1">
        <f>(Occurrence!B$3-D687)^2</f>
        <v>0.11560000000000002</v>
      </c>
      <c r="O687" s="1">
        <f>(Occurrence!C$3-E687)^2</f>
        <v>0.64000000000000012</v>
      </c>
      <c r="P687" s="1">
        <f>(Occurrence!D$3-F687)^2</f>
        <v>0.11559999999999998</v>
      </c>
      <c r="Q687" s="1">
        <f>(Occurrence!E$3-G687)^2</f>
        <v>0.64000000000000012</v>
      </c>
      <c r="R687" s="1">
        <f>(Occurrence!F$3-H687)^2</f>
        <v>1E-4</v>
      </c>
      <c r="S687" s="1">
        <f>(Occurrence!G$3-I687)^2</f>
        <v>0.12249999999999998</v>
      </c>
      <c r="T687" s="1">
        <f>(Occurrence!H$3-J687)^2</f>
        <v>0.12959999999999999</v>
      </c>
      <c r="U687" s="1">
        <f>(Occurrence!I$3-K687)^2</f>
        <v>0</v>
      </c>
      <c r="V687" s="1">
        <f>(Occurrence!J$3-L687)^2</f>
        <v>3.2399999999999998E-2</v>
      </c>
      <c r="W687" s="1">
        <f>(Occurrence!K$3-M687)^2</f>
        <v>0</v>
      </c>
      <c r="X687" s="1">
        <f t="shared" si="121"/>
        <v>1.7958000000000003</v>
      </c>
      <c r="Z687" s="1">
        <f t="shared" si="122"/>
        <v>0</v>
      </c>
      <c r="AA687" s="1">
        <f t="shared" si="123"/>
        <v>1</v>
      </c>
      <c r="AB687" s="1">
        <f t="shared" si="124"/>
        <v>1</v>
      </c>
      <c r="AC687" s="1">
        <f t="shared" si="125"/>
        <v>0</v>
      </c>
      <c r="AD687" s="1">
        <f t="shared" si="126"/>
        <v>0</v>
      </c>
      <c r="AE687" s="1">
        <f t="shared" si="127"/>
        <v>0</v>
      </c>
      <c r="AF687" s="1">
        <f t="shared" si="128"/>
        <v>1</v>
      </c>
      <c r="AG687" s="1">
        <f t="shared" si="129"/>
        <v>1</v>
      </c>
      <c r="AH687" s="1">
        <f t="shared" si="130"/>
        <v>0</v>
      </c>
      <c r="AI687" s="1">
        <f t="shared" si="131"/>
        <v>1</v>
      </c>
      <c r="AJ687" s="1">
        <f>SUMXMY2(Z687:AI687, Occurrence!B$3:K$3)</f>
        <v>2</v>
      </c>
      <c r="AK687" s="1">
        <f t="shared" si="132"/>
        <v>8</v>
      </c>
    </row>
    <row r="688" spans="1:37">
      <c r="A688" s="1">
        <v>687</v>
      </c>
      <c r="B688" s="1">
        <v>4252686</v>
      </c>
      <c r="C688" s="6" t="s">
        <v>46</v>
      </c>
      <c r="D688" s="1">
        <v>0</v>
      </c>
      <c r="E688" s="1">
        <v>0</v>
      </c>
      <c r="F688" s="1">
        <v>1</v>
      </c>
      <c r="G688" s="1">
        <v>1</v>
      </c>
      <c r="H688" s="1">
        <v>0</v>
      </c>
      <c r="I688" s="1">
        <v>1</v>
      </c>
      <c r="J688" s="1">
        <v>0.5</v>
      </c>
      <c r="K688" s="1">
        <v>0.6</v>
      </c>
      <c r="L688" s="1">
        <v>0.1</v>
      </c>
      <c r="M688" s="1">
        <v>0.25</v>
      </c>
      <c r="N688" s="1">
        <f>(Occurrence!B$3-D688)^2</f>
        <v>0</v>
      </c>
      <c r="O688" s="1">
        <f>(Occurrence!C$3-E688)^2</f>
        <v>0</v>
      </c>
      <c r="P688" s="1">
        <f>(Occurrence!D$3-F688)^2</f>
        <v>0</v>
      </c>
      <c r="Q688" s="1">
        <f>(Occurrence!E$3-G688)^2</f>
        <v>0</v>
      </c>
      <c r="R688" s="1">
        <f>(Occurrence!F$3-H688)^2</f>
        <v>0</v>
      </c>
      <c r="S688" s="1">
        <f>(Occurrence!G$3-I688)^2</f>
        <v>1</v>
      </c>
      <c r="T688" s="1">
        <f>(Occurrence!H$3-J688)^2</f>
        <v>0.25</v>
      </c>
      <c r="U688" s="1">
        <f>(Occurrence!I$3-K688)^2</f>
        <v>0.16000000000000003</v>
      </c>
      <c r="V688" s="1">
        <f>(Occurrence!J$3-L688)^2</f>
        <v>1.0000000000000002E-2</v>
      </c>
      <c r="W688" s="1">
        <f>(Occurrence!K$3-M688)^2</f>
        <v>0.5625</v>
      </c>
      <c r="X688" s="1">
        <f t="shared" si="121"/>
        <v>1.9825000000000002</v>
      </c>
      <c r="Z688" s="1">
        <f t="shared" si="122"/>
        <v>0</v>
      </c>
      <c r="AA688" s="1">
        <f t="shared" si="123"/>
        <v>0</v>
      </c>
      <c r="AB688" s="1">
        <f t="shared" si="124"/>
        <v>1</v>
      </c>
      <c r="AC688" s="1">
        <f t="shared" si="125"/>
        <v>1</v>
      </c>
      <c r="AD688" s="1">
        <f t="shared" si="126"/>
        <v>0</v>
      </c>
      <c r="AE688" s="1">
        <f t="shared" si="127"/>
        <v>1</v>
      </c>
      <c r="AF688" s="1">
        <f t="shared" si="128"/>
        <v>1</v>
      </c>
      <c r="AG688" s="1">
        <f t="shared" si="129"/>
        <v>1</v>
      </c>
      <c r="AH688" s="1">
        <f t="shared" si="130"/>
        <v>0</v>
      </c>
      <c r="AI688" s="1">
        <f t="shared" si="131"/>
        <v>0</v>
      </c>
      <c r="AJ688" s="1">
        <f>SUMXMY2(Z688:AI688, Occurrence!B$3:K$3)</f>
        <v>2</v>
      </c>
      <c r="AK688" s="1">
        <f t="shared" si="132"/>
        <v>8</v>
      </c>
    </row>
    <row r="689" spans="1:37">
      <c r="A689" s="1">
        <v>688</v>
      </c>
      <c r="B689" s="1">
        <v>4252687</v>
      </c>
      <c r="C689" s="6" t="s">
        <v>46</v>
      </c>
      <c r="D689" s="1">
        <v>0.501</v>
      </c>
      <c r="E689" s="1">
        <v>0.628</v>
      </c>
      <c r="F689" s="1">
        <v>0.93899999999999995</v>
      </c>
      <c r="G689" s="1">
        <v>0.3972</v>
      </c>
      <c r="H689" s="1">
        <v>1</v>
      </c>
      <c r="I689" s="1">
        <v>0.34</v>
      </c>
      <c r="J689" s="1">
        <v>1</v>
      </c>
      <c r="K689" s="1">
        <v>1</v>
      </c>
      <c r="L689" s="1">
        <v>0.18</v>
      </c>
      <c r="M689" s="1">
        <v>1</v>
      </c>
      <c r="N689" s="1">
        <f>(Occurrence!B$3-D689)^2</f>
        <v>0.25100099999999997</v>
      </c>
      <c r="O689" s="1">
        <f>(Occurrence!C$3-E689)^2</f>
        <v>0.39438400000000001</v>
      </c>
      <c r="P689" s="1">
        <f>(Occurrence!D$3-F689)^2</f>
        <v>3.7210000000000064E-3</v>
      </c>
      <c r="Q689" s="1">
        <f>(Occurrence!E$3-G689)^2</f>
        <v>0.36336784</v>
      </c>
      <c r="R689" s="1">
        <f>(Occurrence!F$3-H689)^2</f>
        <v>1</v>
      </c>
      <c r="S689" s="1">
        <f>(Occurrence!G$3-I689)^2</f>
        <v>0.11560000000000002</v>
      </c>
      <c r="T689" s="1">
        <f>(Occurrence!H$3-J689)^2</f>
        <v>0</v>
      </c>
      <c r="U689" s="1">
        <f>(Occurrence!I$3-K689)^2</f>
        <v>0</v>
      </c>
      <c r="V689" s="1">
        <f>(Occurrence!J$3-L689)^2</f>
        <v>3.2399999999999998E-2</v>
      </c>
      <c r="W689" s="1">
        <f>(Occurrence!K$3-M689)^2</f>
        <v>0</v>
      </c>
      <c r="X689" s="1">
        <f t="shared" si="121"/>
        <v>2.1604738400000003</v>
      </c>
      <c r="Z689" s="1">
        <f t="shared" si="122"/>
        <v>1</v>
      </c>
      <c r="AA689" s="1">
        <f t="shared" si="123"/>
        <v>1</v>
      </c>
      <c r="AB689" s="1">
        <f t="shared" si="124"/>
        <v>1</v>
      </c>
      <c r="AC689" s="1">
        <f t="shared" si="125"/>
        <v>0</v>
      </c>
      <c r="AD689" s="1">
        <f t="shared" si="126"/>
        <v>1</v>
      </c>
      <c r="AE689" s="1">
        <f t="shared" si="127"/>
        <v>0</v>
      </c>
      <c r="AF689" s="1">
        <f t="shared" si="128"/>
        <v>1</v>
      </c>
      <c r="AG689" s="1">
        <f t="shared" si="129"/>
        <v>1</v>
      </c>
      <c r="AH689" s="1">
        <f t="shared" si="130"/>
        <v>0</v>
      </c>
      <c r="AI689" s="1">
        <f t="shared" si="131"/>
        <v>1</v>
      </c>
      <c r="AJ689" s="1">
        <f>SUMXMY2(Z689:AI689, Occurrence!B$3:K$3)</f>
        <v>4</v>
      </c>
      <c r="AK689" s="1">
        <f t="shared" si="132"/>
        <v>6</v>
      </c>
    </row>
    <row r="690" spans="1:37">
      <c r="A690" s="1">
        <v>689</v>
      </c>
      <c r="B690" s="1">
        <v>4252688</v>
      </c>
      <c r="C690" s="6" t="s">
        <v>46</v>
      </c>
      <c r="D690" s="1">
        <v>0.51</v>
      </c>
      <c r="E690" s="1">
        <v>0.6028</v>
      </c>
      <c r="F690" s="1">
        <v>0.49</v>
      </c>
      <c r="G690" s="1">
        <v>0.6</v>
      </c>
      <c r="H690" s="1">
        <v>1</v>
      </c>
      <c r="I690" s="1">
        <v>0.35</v>
      </c>
      <c r="J690" s="1">
        <v>0.82</v>
      </c>
      <c r="K690" s="1">
        <v>1</v>
      </c>
      <c r="L690" s="1">
        <v>0.18</v>
      </c>
      <c r="M690" s="1">
        <v>1</v>
      </c>
      <c r="N690" s="1">
        <f>(Occurrence!B$3-D690)^2</f>
        <v>0.2601</v>
      </c>
      <c r="O690" s="1">
        <f>(Occurrence!C$3-E690)^2</f>
        <v>0.36336784</v>
      </c>
      <c r="P690" s="1">
        <f>(Occurrence!D$3-F690)^2</f>
        <v>0.2601</v>
      </c>
      <c r="Q690" s="1">
        <f>(Occurrence!E$3-G690)^2</f>
        <v>0.16000000000000003</v>
      </c>
      <c r="R690" s="1">
        <f>(Occurrence!F$3-H690)^2</f>
        <v>1</v>
      </c>
      <c r="S690" s="1">
        <f>(Occurrence!G$3-I690)^2</f>
        <v>0.12249999999999998</v>
      </c>
      <c r="T690" s="1">
        <f>(Occurrence!H$3-J690)^2</f>
        <v>3.2400000000000019E-2</v>
      </c>
      <c r="U690" s="1">
        <f>(Occurrence!I$3-K690)^2</f>
        <v>0</v>
      </c>
      <c r="V690" s="1">
        <f>(Occurrence!J$3-L690)^2</f>
        <v>3.2399999999999998E-2</v>
      </c>
      <c r="W690" s="1">
        <f>(Occurrence!K$3-M690)^2</f>
        <v>0</v>
      </c>
      <c r="X690" s="1">
        <f t="shared" si="121"/>
        <v>2.2308678400000002</v>
      </c>
      <c r="Z690" s="1">
        <f t="shared" si="122"/>
        <v>1</v>
      </c>
      <c r="AA690" s="1">
        <f t="shared" si="123"/>
        <v>1</v>
      </c>
      <c r="AB690" s="1">
        <f t="shared" si="124"/>
        <v>0</v>
      </c>
      <c r="AC690" s="1">
        <f t="shared" si="125"/>
        <v>1</v>
      </c>
      <c r="AD690" s="1">
        <f t="shared" si="126"/>
        <v>1</v>
      </c>
      <c r="AE690" s="1">
        <f t="shared" si="127"/>
        <v>0</v>
      </c>
      <c r="AF690" s="1">
        <f t="shared" si="128"/>
        <v>1</v>
      </c>
      <c r="AG690" s="1">
        <f t="shared" si="129"/>
        <v>1</v>
      </c>
      <c r="AH690" s="1">
        <f t="shared" si="130"/>
        <v>0</v>
      </c>
      <c r="AI690" s="1">
        <f t="shared" si="131"/>
        <v>1</v>
      </c>
      <c r="AJ690" s="1">
        <f>SUMXMY2(Z690:AI690, Occurrence!B$3:K$3)</f>
        <v>4</v>
      </c>
      <c r="AK690" s="1">
        <f t="shared" si="132"/>
        <v>6</v>
      </c>
    </row>
    <row r="691" spans="1:37">
      <c r="A691" s="1">
        <v>690</v>
      </c>
      <c r="B691" s="1">
        <v>4252689</v>
      </c>
      <c r="C691" s="6" t="s">
        <v>46</v>
      </c>
      <c r="D691" s="1">
        <v>0.15</v>
      </c>
      <c r="E691" s="1">
        <v>0.4</v>
      </c>
      <c r="F691" s="1">
        <v>0.6</v>
      </c>
      <c r="G691" s="1">
        <v>0.85</v>
      </c>
      <c r="H691" s="1">
        <v>0.5</v>
      </c>
      <c r="I691" s="1">
        <v>0.6</v>
      </c>
      <c r="J691" s="1">
        <v>1</v>
      </c>
      <c r="K691" s="1">
        <v>0.8</v>
      </c>
      <c r="L691" s="1">
        <v>0.95</v>
      </c>
      <c r="M691" s="1">
        <v>0.5</v>
      </c>
      <c r="N691" s="1">
        <f>(Occurrence!B$3-D691)^2</f>
        <v>2.2499999999999999E-2</v>
      </c>
      <c r="O691" s="1">
        <f>(Occurrence!C$3-E691)^2</f>
        <v>0.16000000000000003</v>
      </c>
      <c r="P691" s="1">
        <f>(Occurrence!D$3-F691)^2</f>
        <v>0.16000000000000003</v>
      </c>
      <c r="Q691" s="1">
        <f>(Occurrence!E$3-G691)^2</f>
        <v>2.2500000000000006E-2</v>
      </c>
      <c r="R691" s="1">
        <f>(Occurrence!F$3-H691)^2</f>
        <v>0.25</v>
      </c>
      <c r="S691" s="1">
        <f>(Occurrence!G$3-I691)^2</f>
        <v>0.36</v>
      </c>
      <c r="T691" s="1">
        <f>(Occurrence!H$3-J691)^2</f>
        <v>0</v>
      </c>
      <c r="U691" s="1">
        <f>(Occurrence!I$3-K691)^2</f>
        <v>3.999999999999998E-2</v>
      </c>
      <c r="V691" s="1">
        <f>(Occurrence!J$3-L691)^2</f>
        <v>0.90249999999999997</v>
      </c>
      <c r="W691" s="1">
        <f>(Occurrence!K$3-M691)^2</f>
        <v>0.25</v>
      </c>
      <c r="X691" s="1">
        <f t="shared" si="121"/>
        <v>2.1675</v>
      </c>
      <c r="Z691" s="1">
        <f t="shared" si="122"/>
        <v>0</v>
      </c>
      <c r="AA691" s="1">
        <f t="shared" si="123"/>
        <v>0</v>
      </c>
      <c r="AB691" s="1">
        <f t="shared" si="124"/>
        <v>1</v>
      </c>
      <c r="AC691" s="1">
        <f t="shared" si="125"/>
        <v>1</v>
      </c>
      <c r="AD691" s="1">
        <f t="shared" si="126"/>
        <v>1</v>
      </c>
      <c r="AE691" s="1">
        <f t="shared" si="127"/>
        <v>1</v>
      </c>
      <c r="AF691" s="1">
        <f t="shared" si="128"/>
        <v>1</v>
      </c>
      <c r="AG691" s="1">
        <f t="shared" si="129"/>
        <v>1</v>
      </c>
      <c r="AH691" s="1">
        <f t="shared" si="130"/>
        <v>1</v>
      </c>
      <c r="AI691" s="1">
        <f t="shared" si="131"/>
        <v>1</v>
      </c>
      <c r="AJ691" s="1">
        <f>SUMXMY2(Z691:AI691, Occurrence!B$3:K$3)</f>
        <v>3</v>
      </c>
      <c r="AK691" s="1">
        <f t="shared" si="132"/>
        <v>7</v>
      </c>
    </row>
    <row r="692" spans="1:37">
      <c r="A692" s="1">
        <v>691</v>
      </c>
      <c r="B692" s="1">
        <v>4252690</v>
      </c>
      <c r="C692" s="6" t="s">
        <v>46</v>
      </c>
      <c r="D692" s="1">
        <v>0</v>
      </c>
      <c r="E692" s="1">
        <v>0</v>
      </c>
      <c r="F692" s="1">
        <v>0</v>
      </c>
      <c r="G692" s="1">
        <v>1</v>
      </c>
      <c r="H692" s="1">
        <v>0</v>
      </c>
      <c r="I692" s="1">
        <v>0.7</v>
      </c>
      <c r="J692" s="1">
        <v>1</v>
      </c>
      <c r="K692" s="1">
        <v>1</v>
      </c>
      <c r="L692" s="1">
        <v>1</v>
      </c>
      <c r="M692" s="1">
        <v>1</v>
      </c>
      <c r="N692" s="1">
        <f>(Occurrence!B$3-D692)^2</f>
        <v>0</v>
      </c>
      <c r="O692" s="1">
        <f>(Occurrence!C$3-E692)^2</f>
        <v>0</v>
      </c>
      <c r="P692" s="1">
        <f>(Occurrence!D$3-F692)^2</f>
        <v>1</v>
      </c>
      <c r="Q692" s="1">
        <f>(Occurrence!E$3-G692)^2</f>
        <v>0</v>
      </c>
      <c r="R692" s="1">
        <f>(Occurrence!F$3-H692)^2</f>
        <v>0</v>
      </c>
      <c r="S692" s="1">
        <f>(Occurrence!G$3-I692)^2</f>
        <v>0.48999999999999994</v>
      </c>
      <c r="T692" s="1">
        <f>(Occurrence!H$3-J692)^2</f>
        <v>0</v>
      </c>
      <c r="U692" s="1">
        <f>(Occurrence!I$3-K692)^2</f>
        <v>0</v>
      </c>
      <c r="V692" s="1">
        <f>(Occurrence!J$3-L692)^2</f>
        <v>1</v>
      </c>
      <c r="W692" s="1">
        <f>(Occurrence!K$3-M692)^2</f>
        <v>0</v>
      </c>
      <c r="X692" s="1">
        <f t="shared" si="121"/>
        <v>2.4900000000000002</v>
      </c>
      <c r="Z692" s="1">
        <f t="shared" si="122"/>
        <v>0</v>
      </c>
      <c r="AA692" s="1">
        <f t="shared" si="123"/>
        <v>0</v>
      </c>
      <c r="AB692" s="1">
        <f t="shared" si="124"/>
        <v>0</v>
      </c>
      <c r="AC692" s="1">
        <f t="shared" si="125"/>
        <v>1</v>
      </c>
      <c r="AD692" s="1">
        <f t="shared" si="126"/>
        <v>0</v>
      </c>
      <c r="AE692" s="1">
        <f t="shared" si="127"/>
        <v>1</v>
      </c>
      <c r="AF692" s="1">
        <f t="shared" si="128"/>
        <v>1</v>
      </c>
      <c r="AG692" s="1">
        <f t="shared" si="129"/>
        <v>1</v>
      </c>
      <c r="AH692" s="1">
        <f t="shared" si="130"/>
        <v>1</v>
      </c>
      <c r="AI692" s="1">
        <f t="shared" si="131"/>
        <v>1</v>
      </c>
      <c r="AJ692" s="1">
        <f>SUMXMY2(Z692:AI692, Occurrence!B$3:K$3)</f>
        <v>3</v>
      </c>
      <c r="AK692" s="1">
        <f t="shared" si="132"/>
        <v>7</v>
      </c>
    </row>
    <row r="693" spans="1:37">
      <c r="A693" s="1">
        <v>692</v>
      </c>
      <c r="B693" s="1">
        <v>4252691</v>
      </c>
      <c r="C693" s="6" t="s">
        <v>46</v>
      </c>
      <c r="D693" s="1">
        <v>0.01</v>
      </c>
      <c r="E693" s="1">
        <v>0.05</v>
      </c>
      <c r="F693" s="1">
        <v>0.5</v>
      </c>
      <c r="G693" s="1">
        <v>0.95</v>
      </c>
      <c r="H693" s="1">
        <v>0.51</v>
      </c>
      <c r="I693" s="1">
        <v>0.25</v>
      </c>
      <c r="J693" s="1">
        <v>0.5</v>
      </c>
      <c r="K693" s="1">
        <v>0.01</v>
      </c>
      <c r="L693" s="1">
        <v>0.1</v>
      </c>
      <c r="M693" s="1">
        <v>0.2</v>
      </c>
      <c r="N693" s="1">
        <f>(Occurrence!B$3-D693)^2</f>
        <v>1E-4</v>
      </c>
      <c r="O693" s="1">
        <f>(Occurrence!C$3-E693)^2</f>
        <v>2.5000000000000005E-3</v>
      </c>
      <c r="P693" s="1">
        <f>(Occurrence!D$3-F693)^2</f>
        <v>0.25</v>
      </c>
      <c r="Q693" s="1">
        <f>(Occurrence!E$3-G693)^2</f>
        <v>2.5000000000000044E-3</v>
      </c>
      <c r="R693" s="1">
        <f>(Occurrence!F$3-H693)^2</f>
        <v>0.2601</v>
      </c>
      <c r="S693" s="1">
        <f>(Occurrence!G$3-I693)^2</f>
        <v>6.25E-2</v>
      </c>
      <c r="T693" s="1">
        <f>(Occurrence!H$3-J693)^2</f>
        <v>0.25</v>
      </c>
      <c r="U693" s="1">
        <f>(Occurrence!I$3-K693)^2</f>
        <v>0.98009999999999997</v>
      </c>
      <c r="V693" s="1">
        <f>(Occurrence!J$3-L693)^2</f>
        <v>1.0000000000000002E-2</v>
      </c>
      <c r="W693" s="1">
        <f>(Occurrence!K$3-M693)^2</f>
        <v>0.64000000000000012</v>
      </c>
      <c r="X693" s="1">
        <f t="shared" si="121"/>
        <v>2.4577999999999998</v>
      </c>
      <c r="Z693" s="1">
        <f t="shared" si="122"/>
        <v>0</v>
      </c>
      <c r="AA693" s="1">
        <f t="shared" si="123"/>
        <v>0</v>
      </c>
      <c r="AB693" s="1">
        <f t="shared" si="124"/>
        <v>1</v>
      </c>
      <c r="AC693" s="1">
        <f t="shared" si="125"/>
        <v>1</v>
      </c>
      <c r="AD693" s="1">
        <f t="shared" si="126"/>
        <v>1</v>
      </c>
      <c r="AE693" s="1">
        <f t="shared" si="127"/>
        <v>0</v>
      </c>
      <c r="AF693" s="1">
        <f t="shared" si="128"/>
        <v>1</v>
      </c>
      <c r="AG693" s="1">
        <f t="shared" si="129"/>
        <v>0</v>
      </c>
      <c r="AH693" s="1">
        <f t="shared" si="130"/>
        <v>0</v>
      </c>
      <c r="AI693" s="1">
        <f t="shared" si="131"/>
        <v>0</v>
      </c>
      <c r="AJ693" s="1">
        <f>SUMXMY2(Z693:AI693, Occurrence!B$3:K$3)</f>
        <v>3</v>
      </c>
      <c r="AK693" s="1">
        <f t="shared" si="132"/>
        <v>7</v>
      </c>
    </row>
    <row r="694" spans="1:37">
      <c r="A694" s="1">
        <v>693</v>
      </c>
      <c r="B694" s="1">
        <v>4252692</v>
      </c>
      <c r="C694" s="6" t="s">
        <v>46</v>
      </c>
      <c r="D694" s="1">
        <v>0.2</v>
      </c>
      <c r="E694" s="1">
        <v>0.3</v>
      </c>
      <c r="F694" s="1">
        <v>0.6</v>
      </c>
      <c r="G694" s="1">
        <v>0.6</v>
      </c>
      <c r="H694" s="1">
        <v>0.6</v>
      </c>
      <c r="I694" s="1">
        <v>0.8</v>
      </c>
      <c r="J694" s="1">
        <v>0.2</v>
      </c>
      <c r="K694" s="1">
        <v>0.7</v>
      </c>
      <c r="L694" s="1">
        <v>0.3</v>
      </c>
      <c r="M694" s="1">
        <v>0.5</v>
      </c>
      <c r="N694" s="1">
        <f>(Occurrence!B$3-D694)^2</f>
        <v>4.0000000000000008E-2</v>
      </c>
      <c r="O694" s="1">
        <f>(Occurrence!C$3-E694)^2</f>
        <v>0.09</v>
      </c>
      <c r="P694" s="1">
        <f>(Occurrence!D$3-F694)^2</f>
        <v>0.16000000000000003</v>
      </c>
      <c r="Q694" s="1">
        <f>(Occurrence!E$3-G694)^2</f>
        <v>0.16000000000000003</v>
      </c>
      <c r="R694" s="1">
        <f>(Occurrence!F$3-H694)^2</f>
        <v>0.36</v>
      </c>
      <c r="S694" s="1">
        <f>(Occurrence!G$3-I694)^2</f>
        <v>0.64000000000000012</v>
      </c>
      <c r="T694" s="1">
        <f>(Occurrence!H$3-J694)^2</f>
        <v>0.64000000000000012</v>
      </c>
      <c r="U694" s="1">
        <f>(Occurrence!I$3-K694)^2</f>
        <v>9.0000000000000024E-2</v>
      </c>
      <c r="V694" s="1">
        <f>(Occurrence!J$3-L694)^2</f>
        <v>0.09</v>
      </c>
      <c r="W694" s="1">
        <f>(Occurrence!K$3-M694)^2</f>
        <v>0.25</v>
      </c>
      <c r="X694" s="1">
        <f t="shared" si="121"/>
        <v>2.52</v>
      </c>
      <c r="Z694" s="1">
        <f t="shared" si="122"/>
        <v>0</v>
      </c>
      <c r="AA694" s="1">
        <f t="shared" si="123"/>
        <v>0</v>
      </c>
      <c r="AB694" s="1">
        <f t="shared" si="124"/>
        <v>1</v>
      </c>
      <c r="AC694" s="1">
        <f t="shared" si="125"/>
        <v>1</v>
      </c>
      <c r="AD694" s="1">
        <f t="shared" si="126"/>
        <v>1</v>
      </c>
      <c r="AE694" s="1">
        <f t="shared" si="127"/>
        <v>1</v>
      </c>
      <c r="AF694" s="1">
        <f t="shared" si="128"/>
        <v>0</v>
      </c>
      <c r="AG694" s="1">
        <f t="shared" si="129"/>
        <v>1</v>
      </c>
      <c r="AH694" s="1">
        <f t="shared" si="130"/>
        <v>0</v>
      </c>
      <c r="AI694" s="1">
        <f t="shared" si="131"/>
        <v>1</v>
      </c>
      <c r="AJ694" s="1">
        <f>SUMXMY2(Z694:AI694, Occurrence!B$3:K$3)</f>
        <v>3</v>
      </c>
      <c r="AK694" s="1">
        <f t="shared" si="132"/>
        <v>7</v>
      </c>
    </row>
    <row r="695" spans="1:37">
      <c r="A695" s="1">
        <v>694</v>
      </c>
      <c r="B695" s="1">
        <v>4252693</v>
      </c>
      <c r="C695" s="6" t="s">
        <v>46</v>
      </c>
      <c r="D695" s="1">
        <v>0.45</v>
      </c>
      <c r="E695" s="1">
        <v>0.52</v>
      </c>
      <c r="F695" s="1">
        <v>0.3</v>
      </c>
      <c r="G695" s="1">
        <v>0.22</v>
      </c>
      <c r="H695" s="1">
        <v>0.28999999999999998</v>
      </c>
      <c r="I695" s="1">
        <v>0.67</v>
      </c>
      <c r="J695" s="1">
        <v>0.93</v>
      </c>
      <c r="K695" s="1">
        <v>0.1</v>
      </c>
      <c r="L695" s="1">
        <v>0.23</v>
      </c>
      <c r="M695" s="1">
        <v>0.44</v>
      </c>
      <c r="N695" s="1">
        <f>(Occurrence!B$3-D695)^2</f>
        <v>0.20250000000000001</v>
      </c>
      <c r="O695" s="1">
        <f>(Occurrence!C$3-E695)^2</f>
        <v>0.27040000000000003</v>
      </c>
      <c r="P695" s="1">
        <f>(Occurrence!D$3-F695)^2</f>
        <v>0.48999999999999994</v>
      </c>
      <c r="Q695" s="1">
        <f>(Occurrence!E$3-G695)^2</f>
        <v>0.60840000000000005</v>
      </c>
      <c r="R695" s="1">
        <f>(Occurrence!F$3-H695)^2</f>
        <v>8.4099999999999994E-2</v>
      </c>
      <c r="S695" s="1">
        <f>(Occurrence!G$3-I695)^2</f>
        <v>0.44890000000000008</v>
      </c>
      <c r="T695" s="1">
        <f>(Occurrence!H$3-J695)^2</f>
        <v>4.8999999999999929E-3</v>
      </c>
      <c r="U695" s="1">
        <f>(Occurrence!I$3-K695)^2</f>
        <v>0.81</v>
      </c>
      <c r="V695" s="1">
        <f>(Occurrence!J$3-L695)^2</f>
        <v>5.2900000000000003E-2</v>
      </c>
      <c r="W695" s="1">
        <f>(Occurrence!K$3-M695)^2</f>
        <v>0.31360000000000005</v>
      </c>
      <c r="X695" s="1">
        <f t="shared" si="121"/>
        <v>3.2857000000000007</v>
      </c>
      <c r="Z695" s="1">
        <f t="shared" si="122"/>
        <v>0</v>
      </c>
      <c r="AA695" s="1">
        <f t="shared" si="123"/>
        <v>1</v>
      </c>
      <c r="AB695" s="1">
        <f t="shared" si="124"/>
        <v>0</v>
      </c>
      <c r="AC695" s="1">
        <f t="shared" si="125"/>
        <v>0</v>
      </c>
      <c r="AD695" s="1">
        <f t="shared" si="126"/>
        <v>0</v>
      </c>
      <c r="AE695" s="1">
        <f t="shared" si="127"/>
        <v>1</v>
      </c>
      <c r="AF695" s="1">
        <f t="shared" si="128"/>
        <v>1</v>
      </c>
      <c r="AG695" s="1">
        <f t="shared" si="129"/>
        <v>0</v>
      </c>
      <c r="AH695" s="1">
        <f t="shared" si="130"/>
        <v>0</v>
      </c>
      <c r="AI695" s="1">
        <f t="shared" si="131"/>
        <v>0</v>
      </c>
      <c r="AJ695" s="1">
        <f>SUMXMY2(Z695:AI695, Occurrence!B$3:K$3)</f>
        <v>6</v>
      </c>
      <c r="AK695" s="1">
        <f t="shared" si="132"/>
        <v>4</v>
      </c>
    </row>
    <row r="696" spans="1:37">
      <c r="A696" s="1">
        <v>695</v>
      </c>
      <c r="B696" s="1">
        <v>4252694</v>
      </c>
      <c r="C696" s="6" t="s">
        <v>46</v>
      </c>
      <c r="D696" s="1">
        <v>0.2</v>
      </c>
      <c r="E696" s="1">
        <v>0.3</v>
      </c>
      <c r="F696" s="1">
        <v>0.3</v>
      </c>
      <c r="G696" s="1">
        <v>0.7</v>
      </c>
      <c r="H696" s="1">
        <v>0.5</v>
      </c>
      <c r="I696" s="1">
        <v>0.65</v>
      </c>
      <c r="J696" s="1">
        <v>0.4</v>
      </c>
      <c r="K696" s="1">
        <v>0.25</v>
      </c>
      <c r="L696" s="1">
        <v>0.2</v>
      </c>
      <c r="M696" s="1">
        <v>0.7</v>
      </c>
      <c r="N696" s="1">
        <f>(Occurrence!B$3-D696)^2</f>
        <v>4.0000000000000008E-2</v>
      </c>
      <c r="O696" s="1">
        <f>(Occurrence!C$3-E696)^2</f>
        <v>0.09</v>
      </c>
      <c r="P696" s="1">
        <f>(Occurrence!D$3-F696)^2</f>
        <v>0.48999999999999994</v>
      </c>
      <c r="Q696" s="1">
        <f>(Occurrence!E$3-G696)^2</f>
        <v>9.0000000000000024E-2</v>
      </c>
      <c r="R696" s="1">
        <f>(Occurrence!F$3-H696)^2</f>
        <v>0.25</v>
      </c>
      <c r="S696" s="1">
        <f>(Occurrence!G$3-I696)^2</f>
        <v>0.42250000000000004</v>
      </c>
      <c r="T696" s="1">
        <f>(Occurrence!H$3-J696)^2</f>
        <v>0.36</v>
      </c>
      <c r="U696" s="1">
        <f>(Occurrence!I$3-K696)^2</f>
        <v>0.5625</v>
      </c>
      <c r="V696" s="1">
        <f>(Occurrence!J$3-L696)^2</f>
        <v>4.0000000000000008E-2</v>
      </c>
      <c r="W696" s="1">
        <f>(Occurrence!K$3-M696)^2</f>
        <v>9.0000000000000024E-2</v>
      </c>
      <c r="X696" s="1">
        <f t="shared" si="121"/>
        <v>2.4350000000000001</v>
      </c>
      <c r="Z696" s="1">
        <f t="shared" si="122"/>
        <v>0</v>
      </c>
      <c r="AA696" s="1">
        <f t="shared" si="123"/>
        <v>0</v>
      </c>
      <c r="AB696" s="1">
        <f t="shared" si="124"/>
        <v>0</v>
      </c>
      <c r="AC696" s="1">
        <f t="shared" si="125"/>
        <v>1</v>
      </c>
      <c r="AD696" s="1">
        <f t="shared" si="126"/>
        <v>1</v>
      </c>
      <c r="AE696" s="1">
        <f t="shared" si="127"/>
        <v>1</v>
      </c>
      <c r="AF696" s="1">
        <f t="shared" si="128"/>
        <v>0</v>
      </c>
      <c r="AG696" s="1">
        <f t="shared" si="129"/>
        <v>0</v>
      </c>
      <c r="AH696" s="1">
        <f t="shared" si="130"/>
        <v>0</v>
      </c>
      <c r="AI696" s="1">
        <f t="shared" si="131"/>
        <v>1</v>
      </c>
      <c r="AJ696" s="1">
        <f>SUMXMY2(Z696:AI696, Occurrence!B$3:K$3)</f>
        <v>5</v>
      </c>
      <c r="AK696" s="1">
        <f t="shared" si="132"/>
        <v>5</v>
      </c>
    </row>
    <row r="697" spans="1:37">
      <c r="A697" s="1">
        <v>696</v>
      </c>
      <c r="B697" s="1">
        <v>4252695</v>
      </c>
      <c r="C697" s="6" t="s">
        <v>46</v>
      </c>
      <c r="D697" s="1">
        <v>0</v>
      </c>
      <c r="E697" s="1">
        <v>7.0000000000000007E-2</v>
      </c>
      <c r="F697" s="1">
        <v>0.18</v>
      </c>
      <c r="G697" s="1">
        <v>0.93</v>
      </c>
      <c r="H697" s="1">
        <v>0.9</v>
      </c>
      <c r="I697" s="1">
        <v>0.09</v>
      </c>
      <c r="J697" s="1">
        <v>1</v>
      </c>
      <c r="K697" s="1">
        <v>0.95</v>
      </c>
      <c r="L697" s="1">
        <v>0.28000000000000003</v>
      </c>
      <c r="M697" s="1">
        <v>0.85</v>
      </c>
      <c r="N697" s="1">
        <f>(Occurrence!B$3-D697)^2</f>
        <v>0</v>
      </c>
      <c r="O697" s="1">
        <f>(Occurrence!C$3-E697)^2</f>
        <v>4.9000000000000007E-3</v>
      </c>
      <c r="P697" s="1">
        <f>(Occurrence!D$3-F697)^2</f>
        <v>0.67240000000000011</v>
      </c>
      <c r="Q697" s="1">
        <f>(Occurrence!E$3-G697)^2</f>
        <v>4.8999999999999929E-3</v>
      </c>
      <c r="R697" s="1">
        <f>(Occurrence!F$3-H697)^2</f>
        <v>0.81</v>
      </c>
      <c r="S697" s="1">
        <f>(Occurrence!G$3-I697)^2</f>
        <v>8.0999999999999996E-3</v>
      </c>
      <c r="T697" s="1">
        <f>(Occurrence!H$3-J697)^2</f>
        <v>0</v>
      </c>
      <c r="U697" s="1">
        <f>(Occurrence!I$3-K697)^2</f>
        <v>2.5000000000000044E-3</v>
      </c>
      <c r="V697" s="1">
        <f>(Occurrence!J$3-L697)^2</f>
        <v>7.8400000000000011E-2</v>
      </c>
      <c r="W697" s="1">
        <f>(Occurrence!K$3-M697)^2</f>
        <v>2.2500000000000006E-2</v>
      </c>
      <c r="X697" s="1">
        <f t="shared" si="121"/>
        <v>1.6037000000000001</v>
      </c>
      <c r="Z697" s="1">
        <f t="shared" si="122"/>
        <v>0</v>
      </c>
      <c r="AA697" s="1">
        <f t="shared" si="123"/>
        <v>0</v>
      </c>
      <c r="AB697" s="1">
        <f t="shared" si="124"/>
        <v>0</v>
      </c>
      <c r="AC697" s="1">
        <f t="shared" si="125"/>
        <v>1</v>
      </c>
      <c r="AD697" s="1">
        <f t="shared" si="126"/>
        <v>1</v>
      </c>
      <c r="AE697" s="1">
        <f t="shared" si="127"/>
        <v>0</v>
      </c>
      <c r="AF697" s="1">
        <f t="shared" si="128"/>
        <v>1</v>
      </c>
      <c r="AG697" s="1">
        <f t="shared" si="129"/>
        <v>1</v>
      </c>
      <c r="AH697" s="1">
        <f t="shared" si="130"/>
        <v>0</v>
      </c>
      <c r="AI697" s="1">
        <f t="shared" si="131"/>
        <v>1</v>
      </c>
      <c r="AJ697" s="1">
        <f>SUMXMY2(Z697:AI697, Occurrence!B$3:K$3)</f>
        <v>2</v>
      </c>
      <c r="AK697" s="1">
        <f t="shared" si="132"/>
        <v>8</v>
      </c>
    </row>
    <row r="698" spans="1:37">
      <c r="A698" s="1">
        <v>697</v>
      </c>
      <c r="B698" s="1">
        <v>4252696</v>
      </c>
      <c r="C698" s="6" t="s">
        <v>46</v>
      </c>
      <c r="D698" s="1">
        <v>0</v>
      </c>
      <c r="E698" s="1">
        <v>0</v>
      </c>
      <c r="F698" s="1">
        <v>0.2</v>
      </c>
      <c r="G698" s="1">
        <v>0.5</v>
      </c>
      <c r="H698" s="1">
        <v>0.01</v>
      </c>
      <c r="I698" s="1">
        <v>0.7</v>
      </c>
      <c r="J698" s="1">
        <v>1</v>
      </c>
      <c r="K698" s="1">
        <v>1</v>
      </c>
      <c r="L698" s="1">
        <v>0.25</v>
      </c>
      <c r="M698" s="1">
        <v>0.9</v>
      </c>
      <c r="N698" s="1">
        <f>(Occurrence!B$3-D698)^2</f>
        <v>0</v>
      </c>
      <c r="O698" s="1">
        <f>(Occurrence!C$3-E698)^2</f>
        <v>0</v>
      </c>
      <c r="P698" s="1">
        <f>(Occurrence!D$3-F698)^2</f>
        <v>0.64000000000000012</v>
      </c>
      <c r="Q698" s="1">
        <f>(Occurrence!E$3-G698)^2</f>
        <v>0.25</v>
      </c>
      <c r="R698" s="1">
        <f>(Occurrence!F$3-H698)^2</f>
        <v>1E-4</v>
      </c>
      <c r="S698" s="1">
        <f>(Occurrence!G$3-I698)^2</f>
        <v>0.48999999999999994</v>
      </c>
      <c r="T698" s="1">
        <f>(Occurrence!H$3-J698)^2</f>
        <v>0</v>
      </c>
      <c r="U698" s="1">
        <f>(Occurrence!I$3-K698)^2</f>
        <v>0</v>
      </c>
      <c r="V698" s="1">
        <f>(Occurrence!J$3-L698)^2</f>
        <v>6.25E-2</v>
      </c>
      <c r="W698" s="1">
        <f>(Occurrence!K$3-M698)^2</f>
        <v>9.999999999999995E-3</v>
      </c>
      <c r="X698" s="1">
        <f t="shared" si="121"/>
        <v>1.4526000000000001</v>
      </c>
      <c r="Z698" s="1">
        <f t="shared" si="122"/>
        <v>0</v>
      </c>
      <c r="AA698" s="1">
        <f t="shared" si="123"/>
        <v>0</v>
      </c>
      <c r="AB698" s="1">
        <f t="shared" si="124"/>
        <v>0</v>
      </c>
      <c r="AC698" s="1">
        <f t="shared" si="125"/>
        <v>1</v>
      </c>
      <c r="AD698" s="1">
        <f t="shared" si="126"/>
        <v>0</v>
      </c>
      <c r="AE698" s="1">
        <f t="shared" si="127"/>
        <v>1</v>
      </c>
      <c r="AF698" s="1">
        <f t="shared" si="128"/>
        <v>1</v>
      </c>
      <c r="AG698" s="1">
        <f t="shared" si="129"/>
        <v>1</v>
      </c>
      <c r="AH698" s="1">
        <f t="shared" si="130"/>
        <v>0</v>
      </c>
      <c r="AI698" s="1">
        <f t="shared" si="131"/>
        <v>1</v>
      </c>
      <c r="AJ698" s="1">
        <f>SUMXMY2(Z698:AI698, Occurrence!B$3:K$3)</f>
        <v>2</v>
      </c>
      <c r="AK698" s="1">
        <f t="shared" si="132"/>
        <v>8</v>
      </c>
    </row>
    <row r="699" spans="1:37">
      <c r="A699" s="1">
        <v>698</v>
      </c>
      <c r="B699" s="1">
        <v>4252697</v>
      </c>
      <c r="C699" s="6" t="s">
        <v>46</v>
      </c>
      <c r="D699" s="1">
        <v>0</v>
      </c>
      <c r="E699" s="1">
        <v>0</v>
      </c>
      <c r="F699" s="1">
        <v>1</v>
      </c>
      <c r="G699" s="1">
        <v>1</v>
      </c>
      <c r="H699" s="1">
        <v>0</v>
      </c>
      <c r="I699" s="1">
        <v>0.7</v>
      </c>
      <c r="J699" s="1">
        <v>1</v>
      </c>
      <c r="K699" s="1">
        <v>0</v>
      </c>
      <c r="L699" s="1">
        <v>0</v>
      </c>
      <c r="M699" s="1">
        <v>1</v>
      </c>
      <c r="N699" s="1">
        <f>(Occurrence!B$3-D699)^2</f>
        <v>0</v>
      </c>
      <c r="O699" s="1">
        <f>(Occurrence!C$3-E699)^2</f>
        <v>0</v>
      </c>
      <c r="P699" s="1">
        <f>(Occurrence!D$3-F699)^2</f>
        <v>0</v>
      </c>
      <c r="Q699" s="1">
        <f>(Occurrence!E$3-G699)^2</f>
        <v>0</v>
      </c>
      <c r="R699" s="1">
        <f>(Occurrence!F$3-H699)^2</f>
        <v>0</v>
      </c>
      <c r="S699" s="1">
        <f>(Occurrence!G$3-I699)^2</f>
        <v>0.48999999999999994</v>
      </c>
      <c r="T699" s="1">
        <f>(Occurrence!H$3-J699)^2</f>
        <v>0</v>
      </c>
      <c r="U699" s="1">
        <f>(Occurrence!I$3-K699)^2</f>
        <v>1</v>
      </c>
      <c r="V699" s="1">
        <f>(Occurrence!J$3-L699)^2</f>
        <v>0</v>
      </c>
      <c r="W699" s="1">
        <f>(Occurrence!K$3-M699)^2</f>
        <v>0</v>
      </c>
      <c r="X699" s="1">
        <f t="shared" si="121"/>
        <v>1.49</v>
      </c>
      <c r="Z699" s="1">
        <f t="shared" si="122"/>
        <v>0</v>
      </c>
      <c r="AA699" s="1">
        <f t="shared" si="123"/>
        <v>0</v>
      </c>
      <c r="AB699" s="1">
        <f t="shared" si="124"/>
        <v>1</v>
      </c>
      <c r="AC699" s="1">
        <f t="shared" si="125"/>
        <v>1</v>
      </c>
      <c r="AD699" s="1">
        <f t="shared" si="126"/>
        <v>0</v>
      </c>
      <c r="AE699" s="1">
        <f t="shared" si="127"/>
        <v>1</v>
      </c>
      <c r="AF699" s="1">
        <f t="shared" si="128"/>
        <v>1</v>
      </c>
      <c r="AG699" s="1">
        <f t="shared" si="129"/>
        <v>0</v>
      </c>
      <c r="AH699" s="1">
        <f t="shared" si="130"/>
        <v>0</v>
      </c>
      <c r="AI699" s="1">
        <f t="shared" si="131"/>
        <v>1</v>
      </c>
      <c r="AJ699" s="1">
        <f>SUMXMY2(Z699:AI699, Occurrence!B$3:K$3)</f>
        <v>2</v>
      </c>
      <c r="AK699" s="1">
        <f t="shared" si="132"/>
        <v>8</v>
      </c>
    </row>
    <row r="700" spans="1:37">
      <c r="A700" s="1">
        <v>699</v>
      </c>
      <c r="B700" s="1">
        <v>4252698</v>
      </c>
      <c r="C700" s="6" t="s">
        <v>46</v>
      </c>
      <c r="D700" s="1">
        <v>0.5</v>
      </c>
      <c r="E700" s="1">
        <v>0.6</v>
      </c>
      <c r="F700" s="1">
        <v>0.3</v>
      </c>
      <c r="G700" s="1">
        <v>0.4</v>
      </c>
      <c r="H700" s="1">
        <v>0.2</v>
      </c>
      <c r="I700" s="1">
        <v>0.4</v>
      </c>
      <c r="J700" s="1">
        <v>0.43</v>
      </c>
      <c r="K700" s="1">
        <v>0.26</v>
      </c>
      <c r="L700" s="1">
        <v>0.94</v>
      </c>
      <c r="M700" s="1">
        <v>0.68</v>
      </c>
      <c r="N700" s="1">
        <f>(Occurrence!B$3-D700)^2</f>
        <v>0.25</v>
      </c>
      <c r="O700" s="1">
        <f>(Occurrence!C$3-E700)^2</f>
        <v>0.36</v>
      </c>
      <c r="P700" s="1">
        <f>(Occurrence!D$3-F700)^2</f>
        <v>0.48999999999999994</v>
      </c>
      <c r="Q700" s="1">
        <f>(Occurrence!E$3-G700)^2</f>
        <v>0.36</v>
      </c>
      <c r="R700" s="1">
        <f>(Occurrence!F$3-H700)^2</f>
        <v>4.0000000000000008E-2</v>
      </c>
      <c r="S700" s="1">
        <f>(Occurrence!G$3-I700)^2</f>
        <v>0.16000000000000003</v>
      </c>
      <c r="T700" s="1">
        <f>(Occurrence!H$3-J700)^2</f>
        <v>0.32490000000000008</v>
      </c>
      <c r="U700" s="1">
        <f>(Occurrence!I$3-K700)^2</f>
        <v>0.54759999999999998</v>
      </c>
      <c r="V700" s="1">
        <f>(Occurrence!J$3-L700)^2</f>
        <v>0.88359999999999994</v>
      </c>
      <c r="W700" s="1">
        <f>(Occurrence!K$3-M700)^2</f>
        <v>0.10239999999999996</v>
      </c>
      <c r="X700" s="1">
        <f t="shared" si="121"/>
        <v>3.5185</v>
      </c>
      <c r="Z700" s="1">
        <f t="shared" si="122"/>
        <v>1</v>
      </c>
      <c r="AA700" s="1">
        <f t="shared" si="123"/>
        <v>1</v>
      </c>
      <c r="AB700" s="1">
        <f t="shared" si="124"/>
        <v>0</v>
      </c>
      <c r="AC700" s="1">
        <f t="shared" si="125"/>
        <v>0</v>
      </c>
      <c r="AD700" s="1">
        <f t="shared" si="126"/>
        <v>0</v>
      </c>
      <c r="AE700" s="1">
        <f t="shared" si="127"/>
        <v>0</v>
      </c>
      <c r="AF700" s="1">
        <f t="shared" si="128"/>
        <v>0</v>
      </c>
      <c r="AG700" s="1">
        <f t="shared" si="129"/>
        <v>0</v>
      </c>
      <c r="AH700" s="1">
        <f t="shared" si="130"/>
        <v>1</v>
      </c>
      <c r="AI700" s="1">
        <f t="shared" si="131"/>
        <v>1</v>
      </c>
      <c r="AJ700" s="1">
        <f>SUMXMY2(Z700:AI700, Occurrence!B$3:K$3)</f>
        <v>7</v>
      </c>
      <c r="AK700" s="1">
        <f t="shared" si="132"/>
        <v>3</v>
      </c>
    </row>
    <row r="701" spans="1:37">
      <c r="A701" s="1">
        <v>700</v>
      </c>
      <c r="B701" s="1">
        <v>4252699</v>
      </c>
      <c r="C701" s="6" t="s">
        <v>46</v>
      </c>
      <c r="D701" s="1">
        <v>0</v>
      </c>
      <c r="E701" s="1">
        <v>0</v>
      </c>
      <c r="F701" s="1">
        <v>1</v>
      </c>
      <c r="G701" s="1">
        <v>1</v>
      </c>
      <c r="H701" s="1">
        <v>0</v>
      </c>
      <c r="I701" s="1">
        <v>0</v>
      </c>
      <c r="J701" s="1">
        <v>1</v>
      </c>
      <c r="K701" s="1">
        <v>1</v>
      </c>
      <c r="L701" s="1">
        <v>0</v>
      </c>
      <c r="M701" s="1">
        <v>1</v>
      </c>
      <c r="N701" s="1">
        <f>(Occurrence!B$3-D701)^2</f>
        <v>0</v>
      </c>
      <c r="O701" s="1">
        <f>(Occurrence!C$3-E701)^2</f>
        <v>0</v>
      </c>
      <c r="P701" s="1">
        <f>(Occurrence!D$3-F701)^2</f>
        <v>0</v>
      </c>
      <c r="Q701" s="1">
        <f>(Occurrence!E$3-G701)^2</f>
        <v>0</v>
      </c>
      <c r="R701" s="1">
        <f>(Occurrence!F$3-H701)^2</f>
        <v>0</v>
      </c>
      <c r="S701" s="1">
        <f>(Occurrence!G$3-I701)^2</f>
        <v>0</v>
      </c>
      <c r="T701" s="1">
        <f>(Occurrence!H$3-J701)^2</f>
        <v>0</v>
      </c>
      <c r="U701" s="1">
        <f>(Occurrence!I$3-K701)^2</f>
        <v>0</v>
      </c>
      <c r="V701" s="1">
        <f>(Occurrence!J$3-L701)^2</f>
        <v>0</v>
      </c>
      <c r="W701" s="1">
        <f>(Occurrence!K$3-M701)^2</f>
        <v>0</v>
      </c>
      <c r="X701" s="1">
        <f t="shared" si="121"/>
        <v>0</v>
      </c>
      <c r="Z701" s="1">
        <f t="shared" si="122"/>
        <v>0</v>
      </c>
      <c r="AA701" s="1">
        <f t="shared" si="123"/>
        <v>0</v>
      </c>
      <c r="AB701" s="1">
        <f t="shared" si="124"/>
        <v>1</v>
      </c>
      <c r="AC701" s="1">
        <f t="shared" si="125"/>
        <v>1</v>
      </c>
      <c r="AD701" s="1">
        <f t="shared" si="126"/>
        <v>0</v>
      </c>
      <c r="AE701" s="1">
        <f t="shared" si="127"/>
        <v>0</v>
      </c>
      <c r="AF701" s="1">
        <f t="shared" si="128"/>
        <v>1</v>
      </c>
      <c r="AG701" s="1">
        <f t="shared" si="129"/>
        <v>1</v>
      </c>
      <c r="AH701" s="1">
        <f t="shared" si="130"/>
        <v>0</v>
      </c>
      <c r="AI701" s="1">
        <f t="shared" si="131"/>
        <v>1</v>
      </c>
      <c r="AJ701" s="1">
        <f>SUMXMY2(Z701:AI701, Occurrence!B$3:K$3)</f>
        <v>0</v>
      </c>
      <c r="AK701" s="1">
        <f t="shared" si="132"/>
        <v>10</v>
      </c>
    </row>
    <row r="702" spans="1:37">
      <c r="A702" s="1">
        <v>701</v>
      </c>
      <c r="B702" s="1">
        <v>4252700</v>
      </c>
      <c r="C702" s="6" t="s">
        <v>46</v>
      </c>
      <c r="D702" s="1">
        <v>0.28389999999999999</v>
      </c>
      <c r="E702" s="1">
        <v>0.47289999999999999</v>
      </c>
      <c r="F702" s="1">
        <v>0.18229999999999999</v>
      </c>
      <c r="G702" s="1">
        <v>0.10539999999999999</v>
      </c>
      <c r="H702" s="1">
        <v>2.81E-2</v>
      </c>
      <c r="I702" s="1">
        <v>0.95830000000000004</v>
      </c>
      <c r="J702" s="1">
        <v>0.85040000000000004</v>
      </c>
      <c r="K702" s="1">
        <v>0.37480000000000002</v>
      </c>
      <c r="L702" s="1">
        <v>0.73939999999999995</v>
      </c>
      <c r="M702" s="1">
        <v>0.27489999999999998</v>
      </c>
      <c r="N702" s="1">
        <f>(Occurrence!B$3-D702)^2</f>
        <v>8.0599209999999991E-2</v>
      </c>
      <c r="O702" s="1">
        <f>(Occurrence!C$3-E702)^2</f>
        <v>0.22363440999999998</v>
      </c>
      <c r="P702" s="1">
        <f>(Occurrence!D$3-F702)^2</f>
        <v>0.66863328999999994</v>
      </c>
      <c r="Q702" s="1">
        <f>(Occurrence!E$3-G702)^2</f>
        <v>0.80030916000000007</v>
      </c>
      <c r="R702" s="1">
        <f>(Occurrence!F$3-H702)^2</f>
        <v>7.8961000000000005E-4</v>
      </c>
      <c r="S702" s="1">
        <f>(Occurrence!G$3-I702)^2</f>
        <v>0.91833889000000013</v>
      </c>
      <c r="T702" s="1">
        <f>(Occurrence!H$3-J702)^2</f>
        <v>2.2380159999999986E-2</v>
      </c>
      <c r="U702" s="1">
        <f>(Occurrence!I$3-K702)^2</f>
        <v>0.39087503999999995</v>
      </c>
      <c r="V702" s="1">
        <f>(Occurrence!J$3-L702)^2</f>
        <v>0.5467123599999999</v>
      </c>
      <c r="W702" s="1">
        <f>(Occurrence!K$3-M702)^2</f>
        <v>0.52577001000000012</v>
      </c>
      <c r="X702" s="1">
        <f t="shared" si="121"/>
        <v>4.1780421400000005</v>
      </c>
      <c r="Z702" s="1">
        <f t="shared" si="122"/>
        <v>0</v>
      </c>
      <c r="AA702" s="1">
        <f t="shared" si="123"/>
        <v>0</v>
      </c>
      <c r="AB702" s="1">
        <f t="shared" si="124"/>
        <v>0</v>
      </c>
      <c r="AC702" s="1">
        <f t="shared" si="125"/>
        <v>0</v>
      </c>
      <c r="AD702" s="1">
        <f t="shared" si="126"/>
        <v>0</v>
      </c>
      <c r="AE702" s="1">
        <f t="shared" si="127"/>
        <v>1</v>
      </c>
      <c r="AF702" s="1">
        <f t="shared" si="128"/>
        <v>1</v>
      </c>
      <c r="AG702" s="1">
        <f t="shared" si="129"/>
        <v>0</v>
      </c>
      <c r="AH702" s="1">
        <f t="shared" si="130"/>
        <v>1</v>
      </c>
      <c r="AI702" s="1">
        <f t="shared" si="131"/>
        <v>0</v>
      </c>
      <c r="AJ702" s="1">
        <f>SUMXMY2(Z702:AI702, Occurrence!B$3:K$3)</f>
        <v>6</v>
      </c>
      <c r="AK702" s="1">
        <f t="shared" si="132"/>
        <v>4</v>
      </c>
    </row>
    <row r="703" spans="1:37">
      <c r="A703" s="1">
        <v>702</v>
      </c>
      <c r="B703" s="1">
        <v>4252701</v>
      </c>
      <c r="C703" s="6" t="s">
        <v>46</v>
      </c>
      <c r="D703" s="1">
        <v>0.56000000000000005</v>
      </c>
      <c r="E703" s="1">
        <v>0.249</v>
      </c>
      <c r="F703" s="1">
        <v>1.34E-2</v>
      </c>
      <c r="G703" s="1">
        <v>0.82450000000000001</v>
      </c>
      <c r="H703" s="1">
        <v>0.83640000000000003</v>
      </c>
      <c r="I703" s="1">
        <v>0.83450000000000002</v>
      </c>
      <c r="J703" s="1">
        <v>0.56379999999999997</v>
      </c>
      <c r="K703" s="1">
        <v>0.89070000000000005</v>
      </c>
      <c r="L703" s="1">
        <v>0.2389</v>
      </c>
      <c r="M703" s="1">
        <v>0.71830000000000005</v>
      </c>
      <c r="N703" s="1">
        <f>(Occurrence!B$3-D703)^2</f>
        <v>0.31360000000000005</v>
      </c>
      <c r="O703" s="1">
        <f>(Occurrence!C$3-E703)^2</f>
        <v>6.2001000000000001E-2</v>
      </c>
      <c r="P703" s="1">
        <f>(Occurrence!D$3-F703)^2</f>
        <v>0.97337956000000003</v>
      </c>
      <c r="Q703" s="1">
        <f>(Occurrence!E$3-G703)^2</f>
        <v>3.0800249999999998E-2</v>
      </c>
      <c r="R703" s="1">
        <f>(Occurrence!F$3-H703)^2</f>
        <v>0.69956496000000001</v>
      </c>
      <c r="S703" s="1">
        <f>(Occurrence!G$3-I703)^2</f>
        <v>0.69639024999999999</v>
      </c>
      <c r="T703" s="1">
        <f>(Occurrence!H$3-J703)^2</f>
        <v>0.19027044000000004</v>
      </c>
      <c r="U703" s="1">
        <f>(Occurrence!I$3-K703)^2</f>
        <v>1.194648999999999E-2</v>
      </c>
      <c r="V703" s="1">
        <f>(Occurrence!J$3-L703)^2</f>
        <v>5.7073209999999999E-2</v>
      </c>
      <c r="W703" s="1">
        <f>(Occurrence!K$3-M703)^2</f>
        <v>7.935488999999997E-2</v>
      </c>
      <c r="X703" s="1">
        <f t="shared" si="121"/>
        <v>3.11438105</v>
      </c>
      <c r="Z703" s="1">
        <f t="shared" si="122"/>
        <v>1</v>
      </c>
      <c r="AA703" s="1">
        <f t="shared" si="123"/>
        <v>0</v>
      </c>
      <c r="AB703" s="1">
        <f t="shared" si="124"/>
        <v>0</v>
      </c>
      <c r="AC703" s="1">
        <f t="shared" si="125"/>
        <v>1</v>
      </c>
      <c r="AD703" s="1">
        <f t="shared" si="126"/>
        <v>1</v>
      </c>
      <c r="AE703" s="1">
        <f t="shared" si="127"/>
        <v>1</v>
      </c>
      <c r="AF703" s="1">
        <f t="shared" si="128"/>
        <v>1</v>
      </c>
      <c r="AG703" s="1">
        <f t="shared" si="129"/>
        <v>1</v>
      </c>
      <c r="AH703" s="1">
        <f t="shared" si="130"/>
        <v>0</v>
      </c>
      <c r="AI703" s="1">
        <f t="shared" si="131"/>
        <v>1</v>
      </c>
      <c r="AJ703" s="1">
        <f>SUMXMY2(Z703:AI703, Occurrence!B$3:K$3)</f>
        <v>4</v>
      </c>
      <c r="AK703" s="1">
        <f t="shared" si="132"/>
        <v>6</v>
      </c>
    </row>
    <row r="704" spans="1:37">
      <c r="A704" s="1">
        <v>703</v>
      </c>
      <c r="B704" s="1">
        <v>4252702</v>
      </c>
      <c r="C704" s="6" t="s">
        <v>46</v>
      </c>
      <c r="D704" s="1">
        <v>0.53</v>
      </c>
      <c r="E704" s="1">
        <v>0.11</v>
      </c>
      <c r="F704" s="1">
        <v>0.54</v>
      </c>
      <c r="G704" s="1">
        <v>0.12</v>
      </c>
      <c r="H704" s="1">
        <v>0.2</v>
      </c>
      <c r="I704" s="1">
        <v>0.05</v>
      </c>
      <c r="J704" s="1">
        <v>0.04</v>
      </c>
      <c r="K704" s="1">
        <v>0.89</v>
      </c>
      <c r="L704" s="1">
        <v>0.9</v>
      </c>
      <c r="M704" s="1">
        <v>1</v>
      </c>
      <c r="N704" s="1">
        <f>(Occurrence!B$3-D704)^2</f>
        <v>0.28090000000000004</v>
      </c>
      <c r="O704" s="1">
        <f>(Occurrence!C$3-E704)^2</f>
        <v>1.21E-2</v>
      </c>
      <c r="P704" s="1">
        <f>(Occurrence!D$3-F704)^2</f>
        <v>0.21159999999999995</v>
      </c>
      <c r="Q704" s="1">
        <f>(Occurrence!E$3-G704)^2</f>
        <v>0.77439999999999998</v>
      </c>
      <c r="R704" s="1">
        <f>(Occurrence!F$3-H704)^2</f>
        <v>4.0000000000000008E-2</v>
      </c>
      <c r="S704" s="1">
        <f>(Occurrence!G$3-I704)^2</f>
        <v>2.5000000000000005E-3</v>
      </c>
      <c r="T704" s="1">
        <f>(Occurrence!H$3-J704)^2</f>
        <v>0.92159999999999997</v>
      </c>
      <c r="U704" s="1">
        <f>(Occurrence!I$3-K704)^2</f>
        <v>1.2099999999999998E-2</v>
      </c>
      <c r="V704" s="1">
        <f>(Occurrence!J$3-L704)^2</f>
        <v>0.81</v>
      </c>
      <c r="W704" s="1">
        <f>(Occurrence!K$3-M704)^2</f>
        <v>0</v>
      </c>
      <c r="X704" s="1">
        <f t="shared" si="121"/>
        <v>3.0651999999999999</v>
      </c>
      <c r="Z704" s="1">
        <f t="shared" si="122"/>
        <v>1</v>
      </c>
      <c r="AA704" s="1">
        <f t="shared" si="123"/>
        <v>0</v>
      </c>
      <c r="AB704" s="1">
        <f t="shared" si="124"/>
        <v>1</v>
      </c>
      <c r="AC704" s="1">
        <f t="shared" si="125"/>
        <v>0</v>
      </c>
      <c r="AD704" s="1">
        <f t="shared" si="126"/>
        <v>0</v>
      </c>
      <c r="AE704" s="1">
        <f t="shared" si="127"/>
        <v>0</v>
      </c>
      <c r="AF704" s="1">
        <f t="shared" si="128"/>
        <v>0</v>
      </c>
      <c r="AG704" s="1">
        <f t="shared" si="129"/>
        <v>1</v>
      </c>
      <c r="AH704" s="1">
        <f t="shared" si="130"/>
        <v>1</v>
      </c>
      <c r="AI704" s="1">
        <f t="shared" si="131"/>
        <v>1</v>
      </c>
      <c r="AJ704" s="1">
        <f>SUMXMY2(Z704:AI704, Occurrence!B$3:K$3)</f>
        <v>4</v>
      </c>
      <c r="AK704" s="1">
        <f t="shared" si="132"/>
        <v>6</v>
      </c>
    </row>
    <row r="705" spans="1:37">
      <c r="A705" s="1">
        <v>704</v>
      </c>
      <c r="B705" s="1">
        <v>4252703</v>
      </c>
      <c r="C705" s="6" t="s">
        <v>46</v>
      </c>
      <c r="D705" s="1">
        <v>0.38</v>
      </c>
      <c r="E705" s="1">
        <v>0.82</v>
      </c>
      <c r="F705" s="1">
        <v>0.47</v>
      </c>
      <c r="G705" s="1">
        <v>6.5000000000000002E-2</v>
      </c>
      <c r="H705" s="1">
        <v>3.5000000000000003E-2</v>
      </c>
      <c r="I705" s="1">
        <v>0.75</v>
      </c>
      <c r="J705" s="1">
        <v>0.4</v>
      </c>
      <c r="K705" s="1">
        <v>0.55000000000000004</v>
      </c>
      <c r="L705" s="1">
        <v>0.95</v>
      </c>
      <c r="M705" s="1">
        <v>0.25</v>
      </c>
      <c r="N705" s="1">
        <f>(Occurrence!B$3-D705)^2</f>
        <v>0.1444</v>
      </c>
      <c r="O705" s="1">
        <f>(Occurrence!C$3-E705)^2</f>
        <v>0.67239999999999989</v>
      </c>
      <c r="P705" s="1">
        <f>(Occurrence!D$3-F705)^2</f>
        <v>0.28090000000000004</v>
      </c>
      <c r="Q705" s="1">
        <f>(Occurrence!E$3-G705)^2</f>
        <v>0.87422500000000014</v>
      </c>
      <c r="R705" s="1">
        <f>(Occurrence!F$3-H705)^2</f>
        <v>1.2250000000000002E-3</v>
      </c>
      <c r="S705" s="1">
        <f>(Occurrence!G$3-I705)^2</f>
        <v>0.5625</v>
      </c>
      <c r="T705" s="1">
        <f>(Occurrence!H$3-J705)^2</f>
        <v>0.36</v>
      </c>
      <c r="U705" s="1">
        <f>(Occurrence!I$3-K705)^2</f>
        <v>0.20249999999999996</v>
      </c>
      <c r="V705" s="1">
        <f>(Occurrence!J$3-L705)^2</f>
        <v>0.90249999999999997</v>
      </c>
      <c r="W705" s="1">
        <f>(Occurrence!K$3-M705)^2</f>
        <v>0.5625</v>
      </c>
      <c r="X705" s="1">
        <f t="shared" si="121"/>
        <v>4.5631500000000003</v>
      </c>
      <c r="Z705" s="1">
        <f t="shared" si="122"/>
        <v>0</v>
      </c>
      <c r="AA705" s="1">
        <f t="shared" si="123"/>
        <v>1</v>
      </c>
      <c r="AB705" s="1">
        <f t="shared" si="124"/>
        <v>0</v>
      </c>
      <c r="AC705" s="1">
        <f t="shared" si="125"/>
        <v>0</v>
      </c>
      <c r="AD705" s="1">
        <f t="shared" si="126"/>
        <v>0</v>
      </c>
      <c r="AE705" s="1">
        <f t="shared" si="127"/>
        <v>1</v>
      </c>
      <c r="AF705" s="1">
        <f t="shared" si="128"/>
        <v>0</v>
      </c>
      <c r="AG705" s="1">
        <f t="shared" si="129"/>
        <v>1</v>
      </c>
      <c r="AH705" s="1">
        <f t="shared" si="130"/>
        <v>1</v>
      </c>
      <c r="AI705" s="1">
        <f t="shared" si="131"/>
        <v>0</v>
      </c>
      <c r="AJ705" s="1">
        <f>SUMXMY2(Z705:AI705, Occurrence!B$3:K$3)</f>
        <v>7</v>
      </c>
      <c r="AK705" s="1">
        <f t="shared" si="132"/>
        <v>3</v>
      </c>
    </row>
    <row r="706" spans="1:37">
      <c r="A706" s="1">
        <v>705</v>
      </c>
      <c r="B706" s="1">
        <v>4252704</v>
      </c>
      <c r="C706" s="6" t="s">
        <v>46</v>
      </c>
      <c r="D706" s="1">
        <v>0.62</v>
      </c>
      <c r="E706" s="1">
        <v>0.23</v>
      </c>
      <c r="F706" s="1">
        <v>0.38</v>
      </c>
      <c r="G706" s="1">
        <v>0.77</v>
      </c>
      <c r="H706" s="1">
        <v>0.55000000000000004</v>
      </c>
      <c r="I706" s="1">
        <v>0.68</v>
      </c>
      <c r="J706" s="1">
        <v>0.81</v>
      </c>
      <c r="K706" s="1">
        <v>0.35</v>
      </c>
      <c r="L706" s="1">
        <v>0.96</v>
      </c>
      <c r="M706" s="1">
        <v>0.45</v>
      </c>
      <c r="N706" s="1">
        <f>(Occurrence!B$3-D706)^2</f>
        <v>0.38440000000000002</v>
      </c>
      <c r="O706" s="1">
        <f>(Occurrence!C$3-E706)^2</f>
        <v>5.2900000000000003E-2</v>
      </c>
      <c r="P706" s="1">
        <f>(Occurrence!D$3-F706)^2</f>
        <v>0.38440000000000002</v>
      </c>
      <c r="Q706" s="1">
        <f>(Occurrence!E$3-G706)^2</f>
        <v>5.2899999999999989E-2</v>
      </c>
      <c r="R706" s="1">
        <f>(Occurrence!F$3-H706)^2</f>
        <v>0.30250000000000005</v>
      </c>
      <c r="S706" s="1">
        <f>(Occurrence!G$3-I706)^2</f>
        <v>0.46240000000000009</v>
      </c>
      <c r="T706" s="1">
        <f>(Occurrence!H$3-J706)^2</f>
        <v>3.6099999999999979E-2</v>
      </c>
      <c r="U706" s="1">
        <f>(Occurrence!I$3-K706)^2</f>
        <v>0.42250000000000004</v>
      </c>
      <c r="V706" s="1">
        <f>(Occurrence!J$3-L706)^2</f>
        <v>0.92159999999999997</v>
      </c>
      <c r="W706" s="1">
        <f>(Occurrence!K$3-M706)^2</f>
        <v>0.30250000000000005</v>
      </c>
      <c r="X706" s="1">
        <f t="shared" si="121"/>
        <v>3.3222000000000005</v>
      </c>
      <c r="Z706" s="1">
        <f t="shared" si="122"/>
        <v>1</v>
      </c>
      <c r="AA706" s="1">
        <f t="shared" si="123"/>
        <v>0</v>
      </c>
      <c r="AB706" s="1">
        <f t="shared" si="124"/>
        <v>0</v>
      </c>
      <c r="AC706" s="1">
        <f t="shared" si="125"/>
        <v>1</v>
      </c>
      <c r="AD706" s="1">
        <f t="shared" si="126"/>
        <v>1</v>
      </c>
      <c r="AE706" s="1">
        <f t="shared" si="127"/>
        <v>1</v>
      </c>
      <c r="AF706" s="1">
        <f t="shared" si="128"/>
        <v>1</v>
      </c>
      <c r="AG706" s="1">
        <f t="shared" si="129"/>
        <v>0</v>
      </c>
      <c r="AH706" s="1">
        <f t="shared" si="130"/>
        <v>1</v>
      </c>
      <c r="AI706" s="1">
        <f t="shared" si="131"/>
        <v>0</v>
      </c>
      <c r="AJ706" s="1">
        <f>SUMXMY2(Z706:AI706, Occurrence!B$3:K$3)</f>
        <v>7</v>
      </c>
      <c r="AK706" s="1">
        <f t="shared" si="132"/>
        <v>3</v>
      </c>
    </row>
    <row r="707" spans="1:37">
      <c r="A707" s="1">
        <v>706</v>
      </c>
      <c r="B707" s="1">
        <v>4252705</v>
      </c>
      <c r="C707" s="6" t="s">
        <v>46</v>
      </c>
      <c r="D707" s="1">
        <v>0.5</v>
      </c>
      <c r="E707" s="1">
        <v>0.6</v>
      </c>
      <c r="F707" s="1">
        <v>0.7</v>
      </c>
      <c r="G707" s="1">
        <v>0.2</v>
      </c>
      <c r="H707" s="1">
        <v>0.3</v>
      </c>
      <c r="I707" s="1">
        <v>0.7</v>
      </c>
      <c r="J707" s="1">
        <v>0.8</v>
      </c>
      <c r="K707" s="1">
        <v>0.9</v>
      </c>
      <c r="L707" s="1">
        <v>0.4</v>
      </c>
      <c r="M707" s="1">
        <v>0.3</v>
      </c>
      <c r="N707" s="1">
        <f>(Occurrence!B$3-D707)^2</f>
        <v>0.25</v>
      </c>
      <c r="O707" s="1">
        <f>(Occurrence!C$3-E707)^2</f>
        <v>0.36</v>
      </c>
      <c r="P707" s="1">
        <f>(Occurrence!D$3-F707)^2</f>
        <v>9.0000000000000024E-2</v>
      </c>
      <c r="Q707" s="1">
        <f>(Occurrence!E$3-G707)^2</f>
        <v>0.64000000000000012</v>
      </c>
      <c r="R707" s="1">
        <f>(Occurrence!F$3-H707)^2</f>
        <v>0.09</v>
      </c>
      <c r="S707" s="1">
        <f>(Occurrence!G$3-I707)^2</f>
        <v>0.48999999999999994</v>
      </c>
      <c r="T707" s="1">
        <f>(Occurrence!H$3-J707)^2</f>
        <v>3.999999999999998E-2</v>
      </c>
      <c r="U707" s="1">
        <f>(Occurrence!I$3-K707)^2</f>
        <v>9.999999999999995E-3</v>
      </c>
      <c r="V707" s="1">
        <f>(Occurrence!J$3-L707)^2</f>
        <v>0.16000000000000003</v>
      </c>
      <c r="W707" s="1">
        <f>(Occurrence!K$3-M707)^2</f>
        <v>0.48999999999999994</v>
      </c>
      <c r="X707" s="1">
        <f t="shared" ref="X707:X770" si="133">SUM(N707:W707)</f>
        <v>2.62</v>
      </c>
      <c r="Z707" s="1">
        <f t="shared" ref="Z707:Z770" si="134">ROUND(D707, 0)</f>
        <v>1</v>
      </c>
      <c r="AA707" s="1">
        <f t="shared" ref="AA707:AA770" si="135">ROUND(E707, 0)</f>
        <v>1</v>
      </c>
      <c r="AB707" s="1">
        <f t="shared" ref="AB707:AB770" si="136">ROUND(F707, 0)</f>
        <v>1</v>
      </c>
      <c r="AC707" s="1">
        <f t="shared" ref="AC707:AC770" si="137">ROUND(G707, 0)</f>
        <v>0</v>
      </c>
      <c r="AD707" s="1">
        <f t="shared" ref="AD707:AD770" si="138">ROUND(H707, 0)</f>
        <v>0</v>
      </c>
      <c r="AE707" s="1">
        <f t="shared" ref="AE707:AE770" si="139">ROUND(I707, 0)</f>
        <v>1</v>
      </c>
      <c r="AF707" s="1">
        <f t="shared" ref="AF707:AF770" si="140">ROUND(J707, 0)</f>
        <v>1</v>
      </c>
      <c r="AG707" s="1">
        <f t="shared" ref="AG707:AG770" si="141">ROUND(K707, 0)</f>
        <v>1</v>
      </c>
      <c r="AH707" s="1">
        <f t="shared" ref="AH707:AH770" si="142">ROUND(L707, 0)</f>
        <v>0</v>
      </c>
      <c r="AI707" s="1">
        <f t="shared" ref="AI707:AI770" si="143">ROUND(M707, 0)</f>
        <v>0</v>
      </c>
      <c r="AJ707" s="1">
        <f>SUMXMY2(Z707:AI707, Occurrence!B$3:K$3)</f>
        <v>5</v>
      </c>
      <c r="AK707" s="1">
        <f t="shared" ref="AK707:AK770" si="144">10-AJ707</f>
        <v>5</v>
      </c>
    </row>
    <row r="708" spans="1:37">
      <c r="A708" s="1">
        <v>707</v>
      </c>
      <c r="B708" s="1">
        <v>4252706</v>
      </c>
      <c r="C708" s="6" t="s">
        <v>46</v>
      </c>
      <c r="D708" s="1">
        <v>0.53239999999999998</v>
      </c>
      <c r="E708" s="1">
        <v>0.42159999999999997</v>
      </c>
      <c r="F708" s="1">
        <v>0.46760000000000002</v>
      </c>
      <c r="G708" s="1">
        <v>0.57840000000000003</v>
      </c>
      <c r="H708" s="1">
        <v>1</v>
      </c>
      <c r="I708" s="1">
        <v>0.23</v>
      </c>
      <c r="J708" s="1">
        <v>0.46</v>
      </c>
      <c r="K708" s="1">
        <v>1</v>
      </c>
      <c r="L708" s="1">
        <v>0.78</v>
      </c>
      <c r="M708" s="1">
        <v>1</v>
      </c>
      <c r="N708" s="1">
        <f>(Occurrence!B$3-D708)^2</f>
        <v>0.28344976</v>
      </c>
      <c r="O708" s="1">
        <f>(Occurrence!C$3-E708)^2</f>
        <v>0.17774655999999997</v>
      </c>
      <c r="P708" s="1">
        <f>(Occurrence!D$3-F708)^2</f>
        <v>0.28344976</v>
      </c>
      <c r="Q708" s="1">
        <f>(Occurrence!E$3-G708)^2</f>
        <v>0.17774655999999997</v>
      </c>
      <c r="R708" s="1">
        <f>(Occurrence!F$3-H708)^2</f>
        <v>1</v>
      </c>
      <c r="S708" s="1">
        <f>(Occurrence!G$3-I708)^2</f>
        <v>5.2900000000000003E-2</v>
      </c>
      <c r="T708" s="1">
        <f>(Occurrence!H$3-J708)^2</f>
        <v>0.29160000000000003</v>
      </c>
      <c r="U708" s="1">
        <f>(Occurrence!I$3-K708)^2</f>
        <v>0</v>
      </c>
      <c r="V708" s="1">
        <f>(Occurrence!J$3-L708)^2</f>
        <v>0.60840000000000005</v>
      </c>
      <c r="W708" s="1">
        <f>(Occurrence!K$3-M708)^2</f>
        <v>0</v>
      </c>
      <c r="X708" s="1">
        <f t="shared" si="133"/>
        <v>2.8752926400000001</v>
      </c>
      <c r="Z708" s="1">
        <f t="shared" si="134"/>
        <v>1</v>
      </c>
      <c r="AA708" s="1">
        <f t="shared" si="135"/>
        <v>0</v>
      </c>
      <c r="AB708" s="1">
        <f t="shared" si="136"/>
        <v>0</v>
      </c>
      <c r="AC708" s="1">
        <f t="shared" si="137"/>
        <v>1</v>
      </c>
      <c r="AD708" s="1">
        <f t="shared" si="138"/>
        <v>1</v>
      </c>
      <c r="AE708" s="1">
        <f t="shared" si="139"/>
        <v>0</v>
      </c>
      <c r="AF708" s="1">
        <f t="shared" si="140"/>
        <v>0</v>
      </c>
      <c r="AG708" s="1">
        <f t="shared" si="141"/>
        <v>1</v>
      </c>
      <c r="AH708" s="1">
        <f t="shared" si="142"/>
        <v>1</v>
      </c>
      <c r="AI708" s="1">
        <f t="shared" si="143"/>
        <v>1</v>
      </c>
      <c r="AJ708" s="1">
        <f>SUMXMY2(Z708:AI708, Occurrence!B$3:K$3)</f>
        <v>5</v>
      </c>
      <c r="AK708" s="1">
        <f t="shared" si="144"/>
        <v>5</v>
      </c>
    </row>
    <row r="709" spans="1:37">
      <c r="A709" s="1">
        <v>708</v>
      </c>
      <c r="B709" s="1">
        <v>4252707</v>
      </c>
      <c r="C709" s="6" t="s">
        <v>46</v>
      </c>
      <c r="D709" s="1">
        <v>0</v>
      </c>
      <c r="E709" s="1">
        <v>0</v>
      </c>
      <c r="F709" s="1">
        <v>1</v>
      </c>
      <c r="G709" s="1">
        <v>1</v>
      </c>
      <c r="H709" s="1">
        <v>0</v>
      </c>
      <c r="I709" s="1">
        <v>0</v>
      </c>
      <c r="J709" s="1">
        <v>1</v>
      </c>
      <c r="K709" s="1">
        <v>1</v>
      </c>
      <c r="L709" s="1">
        <v>0</v>
      </c>
      <c r="M709" s="1">
        <v>1</v>
      </c>
      <c r="N709" s="1">
        <f>(Occurrence!B$3-D709)^2</f>
        <v>0</v>
      </c>
      <c r="O709" s="1">
        <f>(Occurrence!C$3-E709)^2</f>
        <v>0</v>
      </c>
      <c r="P709" s="1">
        <f>(Occurrence!D$3-F709)^2</f>
        <v>0</v>
      </c>
      <c r="Q709" s="1">
        <f>(Occurrence!E$3-G709)^2</f>
        <v>0</v>
      </c>
      <c r="R709" s="1">
        <f>(Occurrence!F$3-H709)^2</f>
        <v>0</v>
      </c>
      <c r="S709" s="1">
        <f>(Occurrence!G$3-I709)^2</f>
        <v>0</v>
      </c>
      <c r="T709" s="1">
        <f>(Occurrence!H$3-J709)^2</f>
        <v>0</v>
      </c>
      <c r="U709" s="1">
        <f>(Occurrence!I$3-K709)^2</f>
        <v>0</v>
      </c>
      <c r="V709" s="1">
        <f>(Occurrence!J$3-L709)^2</f>
        <v>0</v>
      </c>
      <c r="W709" s="1">
        <f>(Occurrence!K$3-M709)^2</f>
        <v>0</v>
      </c>
      <c r="X709" s="1">
        <f t="shared" si="133"/>
        <v>0</v>
      </c>
      <c r="Z709" s="1">
        <f t="shared" si="134"/>
        <v>0</v>
      </c>
      <c r="AA709" s="1">
        <f t="shared" si="135"/>
        <v>0</v>
      </c>
      <c r="AB709" s="1">
        <f t="shared" si="136"/>
        <v>1</v>
      </c>
      <c r="AC709" s="1">
        <f t="shared" si="137"/>
        <v>1</v>
      </c>
      <c r="AD709" s="1">
        <f t="shared" si="138"/>
        <v>0</v>
      </c>
      <c r="AE709" s="1">
        <f t="shared" si="139"/>
        <v>0</v>
      </c>
      <c r="AF709" s="1">
        <f t="shared" si="140"/>
        <v>1</v>
      </c>
      <c r="AG709" s="1">
        <f t="shared" si="141"/>
        <v>1</v>
      </c>
      <c r="AH709" s="1">
        <f t="shared" si="142"/>
        <v>0</v>
      </c>
      <c r="AI709" s="1">
        <f t="shared" si="143"/>
        <v>1</v>
      </c>
      <c r="AJ709" s="1">
        <f>SUMXMY2(Z709:AI709, Occurrence!B$3:K$3)</f>
        <v>0</v>
      </c>
      <c r="AK709" s="1">
        <f t="shared" si="144"/>
        <v>10</v>
      </c>
    </row>
    <row r="710" spans="1:37">
      <c r="A710" s="1">
        <v>709</v>
      </c>
      <c r="B710" s="1">
        <v>4252708</v>
      </c>
      <c r="C710" s="6" t="s">
        <v>46</v>
      </c>
      <c r="D710" s="1">
        <v>0.35</v>
      </c>
      <c r="E710" s="1">
        <v>0.2</v>
      </c>
      <c r="F710" s="1">
        <v>0.65</v>
      </c>
      <c r="G710" s="1">
        <v>0.8</v>
      </c>
      <c r="H710" s="1">
        <v>1</v>
      </c>
      <c r="I710" s="1">
        <v>0.17</v>
      </c>
      <c r="J710" s="1">
        <v>0.47</v>
      </c>
      <c r="K710" s="1">
        <v>0.23</v>
      </c>
      <c r="L710" s="1">
        <v>0.17</v>
      </c>
      <c r="M710" s="1">
        <v>0.56000000000000005</v>
      </c>
      <c r="N710" s="1">
        <f>(Occurrence!B$3-D710)^2</f>
        <v>0.12249999999999998</v>
      </c>
      <c r="O710" s="1">
        <f>(Occurrence!C$3-E710)^2</f>
        <v>4.0000000000000008E-2</v>
      </c>
      <c r="P710" s="1">
        <f>(Occurrence!D$3-F710)^2</f>
        <v>0.12249999999999998</v>
      </c>
      <c r="Q710" s="1">
        <f>(Occurrence!E$3-G710)^2</f>
        <v>3.999999999999998E-2</v>
      </c>
      <c r="R710" s="1">
        <f>(Occurrence!F$3-H710)^2</f>
        <v>1</v>
      </c>
      <c r="S710" s="1">
        <f>(Occurrence!G$3-I710)^2</f>
        <v>2.8900000000000006E-2</v>
      </c>
      <c r="T710" s="1">
        <f>(Occurrence!H$3-J710)^2</f>
        <v>0.28090000000000004</v>
      </c>
      <c r="U710" s="1">
        <f>(Occurrence!I$3-K710)^2</f>
        <v>0.59289999999999998</v>
      </c>
      <c r="V710" s="1">
        <f>(Occurrence!J$3-L710)^2</f>
        <v>2.8900000000000006E-2</v>
      </c>
      <c r="W710" s="1">
        <f>(Occurrence!K$3-M710)^2</f>
        <v>0.19359999999999997</v>
      </c>
      <c r="X710" s="1">
        <f t="shared" si="133"/>
        <v>2.4501999999999997</v>
      </c>
      <c r="Z710" s="1">
        <f t="shared" si="134"/>
        <v>0</v>
      </c>
      <c r="AA710" s="1">
        <f t="shared" si="135"/>
        <v>0</v>
      </c>
      <c r="AB710" s="1">
        <f t="shared" si="136"/>
        <v>1</v>
      </c>
      <c r="AC710" s="1">
        <f t="shared" si="137"/>
        <v>1</v>
      </c>
      <c r="AD710" s="1">
        <f t="shared" si="138"/>
        <v>1</v>
      </c>
      <c r="AE710" s="1">
        <f t="shared" si="139"/>
        <v>0</v>
      </c>
      <c r="AF710" s="1">
        <f t="shared" si="140"/>
        <v>0</v>
      </c>
      <c r="AG710" s="1">
        <f t="shared" si="141"/>
        <v>0</v>
      </c>
      <c r="AH710" s="1">
        <f t="shared" si="142"/>
        <v>0</v>
      </c>
      <c r="AI710" s="1">
        <f t="shared" si="143"/>
        <v>1</v>
      </c>
      <c r="AJ710" s="1">
        <f>SUMXMY2(Z710:AI710, Occurrence!B$3:K$3)</f>
        <v>3</v>
      </c>
      <c r="AK710" s="1">
        <f t="shared" si="144"/>
        <v>7</v>
      </c>
    </row>
    <row r="711" spans="1:37">
      <c r="A711" s="1">
        <v>710</v>
      </c>
      <c r="B711" s="1">
        <v>4252709</v>
      </c>
      <c r="C711" s="6" t="s">
        <v>47</v>
      </c>
      <c r="D711" s="1">
        <v>0</v>
      </c>
      <c r="E711" s="1">
        <v>0.05</v>
      </c>
      <c r="F711" s="1">
        <v>0.75</v>
      </c>
      <c r="G711" s="1">
        <v>0.9</v>
      </c>
      <c r="H711" s="1">
        <v>0.3</v>
      </c>
      <c r="I711" s="1">
        <v>0.7</v>
      </c>
      <c r="J711" s="1">
        <v>1</v>
      </c>
      <c r="K711" s="1">
        <v>0.95</v>
      </c>
      <c r="L711" s="1">
        <v>0.1</v>
      </c>
      <c r="M711" s="1">
        <v>0.6</v>
      </c>
      <c r="N711" s="1">
        <f>(Occurrence!B$3-D711)^2</f>
        <v>0</v>
      </c>
      <c r="O711" s="1">
        <f>(Occurrence!C$3-E711)^2</f>
        <v>2.5000000000000005E-3</v>
      </c>
      <c r="P711" s="1">
        <f>(Occurrence!D$3-F711)^2</f>
        <v>6.25E-2</v>
      </c>
      <c r="Q711" s="1">
        <f>(Occurrence!E$3-G711)^2</f>
        <v>9.999999999999995E-3</v>
      </c>
      <c r="R711" s="1">
        <f>(Occurrence!F$3-H711)^2</f>
        <v>0.09</v>
      </c>
      <c r="S711" s="1">
        <f>(Occurrence!G$3-I711)^2</f>
        <v>0.48999999999999994</v>
      </c>
      <c r="T711" s="1">
        <f>(Occurrence!H$3-J711)^2</f>
        <v>0</v>
      </c>
      <c r="U711" s="1">
        <f>(Occurrence!I$3-K711)^2</f>
        <v>2.5000000000000044E-3</v>
      </c>
      <c r="V711" s="1">
        <f>(Occurrence!J$3-L711)^2</f>
        <v>1.0000000000000002E-2</v>
      </c>
      <c r="W711" s="1">
        <f>(Occurrence!K$3-M711)^2</f>
        <v>0.16000000000000003</v>
      </c>
      <c r="X711" s="1">
        <f t="shared" si="133"/>
        <v>0.82750000000000001</v>
      </c>
      <c r="Z711" s="1">
        <f t="shared" si="134"/>
        <v>0</v>
      </c>
      <c r="AA711" s="1">
        <f t="shared" si="135"/>
        <v>0</v>
      </c>
      <c r="AB711" s="1">
        <f t="shared" si="136"/>
        <v>1</v>
      </c>
      <c r="AC711" s="1">
        <f t="shared" si="137"/>
        <v>1</v>
      </c>
      <c r="AD711" s="1">
        <f t="shared" si="138"/>
        <v>0</v>
      </c>
      <c r="AE711" s="1">
        <f t="shared" si="139"/>
        <v>1</v>
      </c>
      <c r="AF711" s="1">
        <f t="shared" si="140"/>
        <v>1</v>
      </c>
      <c r="AG711" s="1">
        <f t="shared" si="141"/>
        <v>1</v>
      </c>
      <c r="AH711" s="1">
        <f t="shared" si="142"/>
        <v>0</v>
      </c>
      <c r="AI711" s="1">
        <f t="shared" si="143"/>
        <v>1</v>
      </c>
      <c r="AJ711" s="1">
        <f>SUMXMY2(Z711:AI711, Occurrence!B$3:K$3)</f>
        <v>1</v>
      </c>
      <c r="AK711" s="1">
        <f t="shared" si="144"/>
        <v>9</v>
      </c>
    </row>
    <row r="712" spans="1:37">
      <c r="A712" s="1">
        <v>711</v>
      </c>
      <c r="B712" s="1">
        <v>4252710</v>
      </c>
      <c r="C712" s="6" t="s">
        <v>47</v>
      </c>
      <c r="D712" s="1">
        <v>0</v>
      </c>
      <c r="E712" s="1">
        <v>0.05</v>
      </c>
      <c r="F712" s="1">
        <v>0</v>
      </c>
      <c r="G712" s="1">
        <v>0.95</v>
      </c>
      <c r="H712" s="1">
        <v>0.8</v>
      </c>
      <c r="I712" s="1">
        <v>0.7</v>
      </c>
      <c r="J712" s="1">
        <v>1</v>
      </c>
      <c r="K712" s="1">
        <v>0.5</v>
      </c>
      <c r="L712" s="1">
        <v>0.5</v>
      </c>
      <c r="M712" s="1">
        <v>0.5</v>
      </c>
      <c r="N712" s="1">
        <f>(Occurrence!B$3-D712)^2</f>
        <v>0</v>
      </c>
      <c r="O712" s="1">
        <f>(Occurrence!C$3-E712)^2</f>
        <v>2.5000000000000005E-3</v>
      </c>
      <c r="P712" s="1">
        <f>(Occurrence!D$3-F712)^2</f>
        <v>1</v>
      </c>
      <c r="Q712" s="1">
        <f>(Occurrence!E$3-G712)^2</f>
        <v>2.5000000000000044E-3</v>
      </c>
      <c r="R712" s="1">
        <f>(Occurrence!F$3-H712)^2</f>
        <v>0.64000000000000012</v>
      </c>
      <c r="S712" s="1">
        <f>(Occurrence!G$3-I712)^2</f>
        <v>0.48999999999999994</v>
      </c>
      <c r="T712" s="1">
        <f>(Occurrence!H$3-J712)^2</f>
        <v>0</v>
      </c>
      <c r="U712" s="1">
        <f>(Occurrence!I$3-K712)^2</f>
        <v>0.25</v>
      </c>
      <c r="V712" s="1">
        <f>(Occurrence!J$3-L712)^2</f>
        <v>0.25</v>
      </c>
      <c r="W712" s="1">
        <f>(Occurrence!K$3-M712)^2</f>
        <v>0.25</v>
      </c>
      <c r="X712" s="1">
        <f t="shared" si="133"/>
        <v>2.8849999999999998</v>
      </c>
      <c r="Z712" s="1">
        <f t="shared" si="134"/>
        <v>0</v>
      </c>
      <c r="AA712" s="1">
        <f t="shared" si="135"/>
        <v>0</v>
      </c>
      <c r="AB712" s="1">
        <f t="shared" si="136"/>
        <v>0</v>
      </c>
      <c r="AC712" s="1">
        <f t="shared" si="137"/>
        <v>1</v>
      </c>
      <c r="AD712" s="1">
        <f t="shared" si="138"/>
        <v>1</v>
      </c>
      <c r="AE712" s="1">
        <f t="shared" si="139"/>
        <v>1</v>
      </c>
      <c r="AF712" s="1">
        <f t="shared" si="140"/>
        <v>1</v>
      </c>
      <c r="AG712" s="1">
        <f t="shared" si="141"/>
        <v>1</v>
      </c>
      <c r="AH712" s="1">
        <f t="shared" si="142"/>
        <v>1</v>
      </c>
      <c r="AI712" s="1">
        <f t="shared" si="143"/>
        <v>1</v>
      </c>
      <c r="AJ712" s="1">
        <f>SUMXMY2(Z712:AI712, Occurrence!B$3:K$3)</f>
        <v>4</v>
      </c>
      <c r="AK712" s="1">
        <f t="shared" si="144"/>
        <v>6</v>
      </c>
    </row>
    <row r="713" spans="1:37">
      <c r="A713" s="1">
        <v>712</v>
      </c>
      <c r="B713" s="1">
        <v>4252711</v>
      </c>
      <c r="C713" s="6" t="s">
        <v>47</v>
      </c>
      <c r="D713" s="1">
        <v>0.9</v>
      </c>
      <c r="E713" s="1">
        <v>0.99</v>
      </c>
      <c r="F713" s="1">
        <v>0.1</v>
      </c>
      <c r="G713" s="1">
        <v>0.8</v>
      </c>
      <c r="H713" s="1">
        <v>0.01</v>
      </c>
      <c r="I713" s="1">
        <v>0.3</v>
      </c>
      <c r="J713" s="1">
        <v>0.95</v>
      </c>
      <c r="K713" s="1">
        <v>0.19</v>
      </c>
      <c r="L713" s="1">
        <v>0.5</v>
      </c>
      <c r="M713" s="1">
        <v>0.5</v>
      </c>
      <c r="N713" s="1">
        <f>(Occurrence!B$3-D713)^2</f>
        <v>0.81</v>
      </c>
      <c r="O713" s="1">
        <f>(Occurrence!C$3-E713)^2</f>
        <v>0.98009999999999997</v>
      </c>
      <c r="P713" s="1">
        <f>(Occurrence!D$3-F713)^2</f>
        <v>0.81</v>
      </c>
      <c r="Q713" s="1">
        <f>(Occurrence!E$3-G713)^2</f>
        <v>3.999999999999998E-2</v>
      </c>
      <c r="R713" s="1">
        <f>(Occurrence!F$3-H713)^2</f>
        <v>1E-4</v>
      </c>
      <c r="S713" s="1">
        <f>(Occurrence!G$3-I713)^2</f>
        <v>0.09</v>
      </c>
      <c r="T713" s="1">
        <f>(Occurrence!H$3-J713)^2</f>
        <v>2.5000000000000044E-3</v>
      </c>
      <c r="U713" s="1">
        <f>(Occurrence!I$3-K713)^2</f>
        <v>0.65610000000000013</v>
      </c>
      <c r="V713" s="1">
        <f>(Occurrence!J$3-L713)^2</f>
        <v>0.25</v>
      </c>
      <c r="W713" s="1">
        <f>(Occurrence!K$3-M713)^2</f>
        <v>0.25</v>
      </c>
      <c r="X713" s="1">
        <f t="shared" si="133"/>
        <v>3.8888000000000007</v>
      </c>
      <c r="Z713" s="1">
        <f t="shared" si="134"/>
        <v>1</v>
      </c>
      <c r="AA713" s="1">
        <f t="shared" si="135"/>
        <v>1</v>
      </c>
      <c r="AB713" s="1">
        <f t="shared" si="136"/>
        <v>0</v>
      </c>
      <c r="AC713" s="1">
        <f t="shared" si="137"/>
        <v>1</v>
      </c>
      <c r="AD713" s="1">
        <f t="shared" si="138"/>
        <v>0</v>
      </c>
      <c r="AE713" s="1">
        <f t="shared" si="139"/>
        <v>0</v>
      </c>
      <c r="AF713" s="1">
        <f t="shared" si="140"/>
        <v>1</v>
      </c>
      <c r="AG713" s="1">
        <f t="shared" si="141"/>
        <v>0</v>
      </c>
      <c r="AH713" s="1">
        <f t="shared" si="142"/>
        <v>1</v>
      </c>
      <c r="AI713" s="1">
        <f t="shared" si="143"/>
        <v>1</v>
      </c>
      <c r="AJ713" s="1">
        <f>SUMXMY2(Z713:AI713, Occurrence!B$3:K$3)</f>
        <v>5</v>
      </c>
      <c r="AK713" s="1">
        <f t="shared" si="144"/>
        <v>5</v>
      </c>
    </row>
    <row r="714" spans="1:37">
      <c r="A714" s="1">
        <v>713</v>
      </c>
      <c r="B714" s="1">
        <v>4252712</v>
      </c>
      <c r="C714" s="6" t="s">
        <v>47</v>
      </c>
      <c r="D714" s="1">
        <v>0</v>
      </c>
      <c r="E714" s="1">
        <v>0.05</v>
      </c>
      <c r="F714" s="1">
        <v>0.7</v>
      </c>
      <c r="G714" s="1">
        <v>0.9</v>
      </c>
      <c r="H714" s="1">
        <v>0.3</v>
      </c>
      <c r="I714" s="1">
        <v>0.7</v>
      </c>
      <c r="J714" s="1">
        <v>1</v>
      </c>
      <c r="K714" s="1">
        <v>0.9</v>
      </c>
      <c r="L714" s="1">
        <v>0.4</v>
      </c>
      <c r="M714" s="1">
        <v>0.6</v>
      </c>
      <c r="N714" s="1">
        <f>(Occurrence!B$3-D714)^2</f>
        <v>0</v>
      </c>
      <c r="O714" s="1">
        <f>(Occurrence!C$3-E714)^2</f>
        <v>2.5000000000000005E-3</v>
      </c>
      <c r="P714" s="1">
        <f>(Occurrence!D$3-F714)^2</f>
        <v>9.0000000000000024E-2</v>
      </c>
      <c r="Q714" s="1">
        <f>(Occurrence!E$3-G714)^2</f>
        <v>9.999999999999995E-3</v>
      </c>
      <c r="R714" s="1">
        <f>(Occurrence!F$3-H714)^2</f>
        <v>0.09</v>
      </c>
      <c r="S714" s="1">
        <f>(Occurrence!G$3-I714)^2</f>
        <v>0.48999999999999994</v>
      </c>
      <c r="T714" s="1">
        <f>(Occurrence!H$3-J714)^2</f>
        <v>0</v>
      </c>
      <c r="U714" s="1">
        <f>(Occurrence!I$3-K714)^2</f>
        <v>9.999999999999995E-3</v>
      </c>
      <c r="V714" s="1">
        <f>(Occurrence!J$3-L714)^2</f>
        <v>0.16000000000000003</v>
      </c>
      <c r="W714" s="1">
        <f>(Occurrence!K$3-M714)^2</f>
        <v>0.16000000000000003</v>
      </c>
      <c r="X714" s="1">
        <f t="shared" si="133"/>
        <v>1.0125</v>
      </c>
      <c r="Z714" s="1">
        <f t="shared" si="134"/>
        <v>0</v>
      </c>
      <c r="AA714" s="1">
        <f t="shared" si="135"/>
        <v>0</v>
      </c>
      <c r="AB714" s="1">
        <f t="shared" si="136"/>
        <v>1</v>
      </c>
      <c r="AC714" s="1">
        <f t="shared" si="137"/>
        <v>1</v>
      </c>
      <c r="AD714" s="1">
        <f t="shared" si="138"/>
        <v>0</v>
      </c>
      <c r="AE714" s="1">
        <f t="shared" si="139"/>
        <v>1</v>
      </c>
      <c r="AF714" s="1">
        <f t="shared" si="140"/>
        <v>1</v>
      </c>
      <c r="AG714" s="1">
        <f t="shared" si="141"/>
        <v>1</v>
      </c>
      <c r="AH714" s="1">
        <f t="shared" si="142"/>
        <v>0</v>
      </c>
      <c r="AI714" s="1">
        <f t="shared" si="143"/>
        <v>1</v>
      </c>
      <c r="AJ714" s="1">
        <f>SUMXMY2(Z714:AI714, Occurrence!B$3:K$3)</f>
        <v>1</v>
      </c>
      <c r="AK714" s="1">
        <f t="shared" si="144"/>
        <v>9</v>
      </c>
    </row>
    <row r="715" spans="1:37">
      <c r="A715" s="1">
        <v>714</v>
      </c>
      <c r="B715" s="1">
        <v>4252713</v>
      </c>
      <c r="C715" s="6" t="s">
        <v>47</v>
      </c>
      <c r="D715" s="1">
        <v>0.14000000000000001</v>
      </c>
      <c r="E715" s="1">
        <v>0.35699999999999998</v>
      </c>
      <c r="F715" s="1">
        <v>0.73</v>
      </c>
      <c r="G715" s="1">
        <v>0.51900000000000002</v>
      </c>
      <c r="H715" s="1">
        <v>0.47299999999999998</v>
      </c>
      <c r="I715" s="1">
        <v>0.61799999999999999</v>
      </c>
      <c r="J715" s="1">
        <v>0.312</v>
      </c>
      <c r="K715" s="1">
        <v>0.25600000000000001</v>
      </c>
      <c r="L715" s="1">
        <v>0.98699999999999999</v>
      </c>
      <c r="M715" s="1">
        <v>0.57299999999999995</v>
      </c>
      <c r="N715" s="1">
        <f>(Occurrence!B$3-D715)^2</f>
        <v>1.9600000000000003E-2</v>
      </c>
      <c r="O715" s="1">
        <f>(Occurrence!C$3-E715)^2</f>
        <v>0.12744899999999998</v>
      </c>
      <c r="P715" s="1">
        <f>(Occurrence!D$3-F715)^2</f>
        <v>7.2900000000000006E-2</v>
      </c>
      <c r="Q715" s="1">
        <f>(Occurrence!E$3-G715)^2</f>
        <v>0.23136099999999998</v>
      </c>
      <c r="R715" s="1">
        <f>(Occurrence!F$3-H715)^2</f>
        <v>0.22372899999999998</v>
      </c>
      <c r="S715" s="1">
        <f>(Occurrence!G$3-I715)^2</f>
        <v>0.38192399999999999</v>
      </c>
      <c r="T715" s="1">
        <f>(Occurrence!H$3-J715)^2</f>
        <v>0.47334399999999993</v>
      </c>
      <c r="U715" s="1">
        <f>(Occurrence!I$3-K715)^2</f>
        <v>0.55353600000000003</v>
      </c>
      <c r="V715" s="1">
        <f>(Occurrence!J$3-L715)^2</f>
        <v>0.97416899999999995</v>
      </c>
      <c r="W715" s="1">
        <f>(Occurrence!K$3-M715)^2</f>
        <v>0.18232900000000005</v>
      </c>
      <c r="X715" s="1">
        <f t="shared" si="133"/>
        <v>3.2403409999999999</v>
      </c>
      <c r="Z715" s="1">
        <f t="shared" si="134"/>
        <v>0</v>
      </c>
      <c r="AA715" s="1">
        <f t="shared" si="135"/>
        <v>0</v>
      </c>
      <c r="AB715" s="1">
        <f t="shared" si="136"/>
        <v>1</v>
      </c>
      <c r="AC715" s="1">
        <f t="shared" si="137"/>
        <v>1</v>
      </c>
      <c r="AD715" s="1">
        <f t="shared" si="138"/>
        <v>0</v>
      </c>
      <c r="AE715" s="1">
        <f t="shared" si="139"/>
        <v>1</v>
      </c>
      <c r="AF715" s="1">
        <f t="shared" si="140"/>
        <v>0</v>
      </c>
      <c r="AG715" s="1">
        <f t="shared" si="141"/>
        <v>0</v>
      </c>
      <c r="AH715" s="1">
        <f t="shared" si="142"/>
        <v>1</v>
      </c>
      <c r="AI715" s="1">
        <f t="shared" si="143"/>
        <v>1</v>
      </c>
      <c r="AJ715" s="1">
        <f>SUMXMY2(Z715:AI715, Occurrence!B$3:K$3)</f>
        <v>4</v>
      </c>
      <c r="AK715" s="1">
        <f t="shared" si="144"/>
        <v>6</v>
      </c>
    </row>
    <row r="716" spans="1:37">
      <c r="A716" s="1">
        <v>715</v>
      </c>
      <c r="B716" s="1">
        <v>4252714</v>
      </c>
      <c r="C716" s="6" t="s">
        <v>47</v>
      </c>
      <c r="D716" s="1">
        <v>0.25</v>
      </c>
      <c r="E716" s="1">
        <v>0.3</v>
      </c>
      <c r="F716" s="1">
        <v>0.27</v>
      </c>
      <c r="G716" s="1">
        <v>0.7</v>
      </c>
      <c r="H716" s="1">
        <v>0.48</v>
      </c>
      <c r="I716" s="1">
        <v>0.1</v>
      </c>
      <c r="J716" s="1">
        <v>0.98</v>
      </c>
      <c r="K716" s="1">
        <v>0.7</v>
      </c>
      <c r="L716" s="1">
        <v>0.9</v>
      </c>
      <c r="M716" s="1">
        <v>0.49</v>
      </c>
      <c r="N716" s="1">
        <f>(Occurrence!B$3-D716)^2</f>
        <v>6.25E-2</v>
      </c>
      <c r="O716" s="1">
        <f>(Occurrence!C$3-E716)^2</f>
        <v>0.09</v>
      </c>
      <c r="P716" s="1">
        <f>(Occurrence!D$3-F716)^2</f>
        <v>0.53289999999999993</v>
      </c>
      <c r="Q716" s="1">
        <f>(Occurrence!E$3-G716)^2</f>
        <v>9.0000000000000024E-2</v>
      </c>
      <c r="R716" s="1">
        <f>(Occurrence!F$3-H716)^2</f>
        <v>0.23039999999999999</v>
      </c>
      <c r="S716" s="1">
        <f>(Occurrence!G$3-I716)^2</f>
        <v>1.0000000000000002E-2</v>
      </c>
      <c r="T716" s="1">
        <f>(Occurrence!H$3-J716)^2</f>
        <v>4.0000000000000072E-4</v>
      </c>
      <c r="U716" s="1">
        <f>(Occurrence!I$3-K716)^2</f>
        <v>9.0000000000000024E-2</v>
      </c>
      <c r="V716" s="1">
        <f>(Occurrence!J$3-L716)^2</f>
        <v>0.81</v>
      </c>
      <c r="W716" s="1">
        <f>(Occurrence!K$3-M716)^2</f>
        <v>0.2601</v>
      </c>
      <c r="X716" s="1">
        <f t="shared" si="133"/>
        <v>2.1762999999999999</v>
      </c>
      <c r="Z716" s="1">
        <f t="shared" si="134"/>
        <v>0</v>
      </c>
      <c r="AA716" s="1">
        <f t="shared" si="135"/>
        <v>0</v>
      </c>
      <c r="AB716" s="1">
        <f t="shared" si="136"/>
        <v>0</v>
      </c>
      <c r="AC716" s="1">
        <f t="shared" si="137"/>
        <v>1</v>
      </c>
      <c r="AD716" s="1">
        <f t="shared" si="138"/>
        <v>0</v>
      </c>
      <c r="AE716" s="1">
        <f t="shared" si="139"/>
        <v>0</v>
      </c>
      <c r="AF716" s="1">
        <f t="shared" si="140"/>
        <v>1</v>
      </c>
      <c r="AG716" s="1">
        <f t="shared" si="141"/>
        <v>1</v>
      </c>
      <c r="AH716" s="1">
        <f t="shared" si="142"/>
        <v>1</v>
      </c>
      <c r="AI716" s="1">
        <f t="shared" si="143"/>
        <v>0</v>
      </c>
      <c r="AJ716" s="1">
        <f>SUMXMY2(Z716:AI716, Occurrence!B$3:K$3)</f>
        <v>3</v>
      </c>
      <c r="AK716" s="1">
        <f t="shared" si="144"/>
        <v>7</v>
      </c>
    </row>
    <row r="717" spans="1:37">
      <c r="A717" s="1">
        <v>716</v>
      </c>
      <c r="B717" s="1">
        <v>4252715</v>
      </c>
      <c r="C717" s="6" t="s">
        <v>47</v>
      </c>
      <c r="D717" s="1">
        <v>0.15</v>
      </c>
      <c r="E717" s="1">
        <v>0.5</v>
      </c>
      <c r="F717" s="1">
        <v>0.74</v>
      </c>
      <c r="G717" s="1">
        <v>0.51900000000000002</v>
      </c>
      <c r="H717" s="1">
        <v>0.47299999999999998</v>
      </c>
      <c r="I717" s="1">
        <v>0.624</v>
      </c>
      <c r="J717" s="1">
        <v>0.312</v>
      </c>
      <c r="K717" s="1">
        <v>0.34</v>
      </c>
      <c r="L717" s="1">
        <v>0.9</v>
      </c>
      <c r="M717" s="1">
        <v>0.5</v>
      </c>
      <c r="N717" s="1">
        <f>(Occurrence!B$3-D717)^2</f>
        <v>2.2499999999999999E-2</v>
      </c>
      <c r="O717" s="1">
        <f>(Occurrence!C$3-E717)^2</f>
        <v>0.25</v>
      </c>
      <c r="P717" s="1">
        <f>(Occurrence!D$3-F717)^2</f>
        <v>6.7600000000000007E-2</v>
      </c>
      <c r="Q717" s="1">
        <f>(Occurrence!E$3-G717)^2</f>
        <v>0.23136099999999998</v>
      </c>
      <c r="R717" s="1">
        <f>(Occurrence!F$3-H717)^2</f>
        <v>0.22372899999999998</v>
      </c>
      <c r="S717" s="1">
        <f>(Occurrence!G$3-I717)^2</f>
        <v>0.389376</v>
      </c>
      <c r="T717" s="1">
        <f>(Occurrence!H$3-J717)^2</f>
        <v>0.47334399999999993</v>
      </c>
      <c r="U717" s="1">
        <f>(Occurrence!I$3-K717)^2</f>
        <v>0.43559999999999988</v>
      </c>
      <c r="V717" s="1">
        <f>(Occurrence!J$3-L717)^2</f>
        <v>0.81</v>
      </c>
      <c r="W717" s="1">
        <f>(Occurrence!K$3-M717)^2</f>
        <v>0.25</v>
      </c>
      <c r="X717" s="1">
        <f t="shared" si="133"/>
        <v>3.1535099999999998</v>
      </c>
      <c r="Z717" s="1">
        <f t="shared" si="134"/>
        <v>0</v>
      </c>
      <c r="AA717" s="1">
        <f t="shared" si="135"/>
        <v>1</v>
      </c>
      <c r="AB717" s="1">
        <f t="shared" si="136"/>
        <v>1</v>
      </c>
      <c r="AC717" s="1">
        <f t="shared" si="137"/>
        <v>1</v>
      </c>
      <c r="AD717" s="1">
        <f t="shared" si="138"/>
        <v>0</v>
      </c>
      <c r="AE717" s="1">
        <f t="shared" si="139"/>
        <v>1</v>
      </c>
      <c r="AF717" s="1">
        <f t="shared" si="140"/>
        <v>0</v>
      </c>
      <c r="AG717" s="1">
        <f t="shared" si="141"/>
        <v>0</v>
      </c>
      <c r="AH717" s="1">
        <f t="shared" si="142"/>
        <v>1</v>
      </c>
      <c r="AI717" s="1">
        <f t="shared" si="143"/>
        <v>1</v>
      </c>
      <c r="AJ717" s="1">
        <f>SUMXMY2(Z717:AI717, Occurrence!B$3:K$3)</f>
        <v>5</v>
      </c>
      <c r="AK717" s="1">
        <f t="shared" si="144"/>
        <v>5</v>
      </c>
    </row>
    <row r="718" spans="1:37">
      <c r="A718" s="1">
        <v>717</v>
      </c>
      <c r="B718" s="1">
        <v>4252716</v>
      </c>
      <c r="C718" s="6" t="s">
        <v>47</v>
      </c>
      <c r="D718" s="1">
        <v>0.05</v>
      </c>
      <c r="E718" s="1">
        <v>0.2</v>
      </c>
      <c r="F718" s="1">
        <v>0.05</v>
      </c>
      <c r="G718" s="1">
        <v>0.02</v>
      </c>
      <c r="H718" s="1">
        <v>0.15</v>
      </c>
      <c r="I718" s="1">
        <v>0.5</v>
      </c>
      <c r="J718" s="1">
        <v>1</v>
      </c>
      <c r="K718" s="1">
        <v>0.7</v>
      </c>
      <c r="L718" s="1">
        <v>0.75</v>
      </c>
      <c r="M718" s="1">
        <v>0.65</v>
      </c>
      <c r="N718" s="1">
        <f>(Occurrence!B$3-D718)^2</f>
        <v>2.5000000000000005E-3</v>
      </c>
      <c r="O718" s="1">
        <f>(Occurrence!C$3-E718)^2</f>
        <v>4.0000000000000008E-2</v>
      </c>
      <c r="P718" s="1">
        <f>(Occurrence!D$3-F718)^2</f>
        <v>0.90249999999999997</v>
      </c>
      <c r="Q718" s="1">
        <f>(Occurrence!E$3-G718)^2</f>
        <v>0.96039999999999992</v>
      </c>
      <c r="R718" s="1">
        <f>(Occurrence!F$3-H718)^2</f>
        <v>2.2499999999999999E-2</v>
      </c>
      <c r="S718" s="1">
        <f>(Occurrence!G$3-I718)^2</f>
        <v>0.25</v>
      </c>
      <c r="T718" s="1">
        <f>(Occurrence!H$3-J718)^2</f>
        <v>0</v>
      </c>
      <c r="U718" s="1">
        <f>(Occurrence!I$3-K718)^2</f>
        <v>9.0000000000000024E-2</v>
      </c>
      <c r="V718" s="1">
        <f>(Occurrence!J$3-L718)^2</f>
        <v>0.5625</v>
      </c>
      <c r="W718" s="1">
        <f>(Occurrence!K$3-M718)^2</f>
        <v>0.12249999999999998</v>
      </c>
      <c r="X718" s="1">
        <f t="shared" si="133"/>
        <v>2.9528999999999996</v>
      </c>
      <c r="Z718" s="1">
        <f t="shared" si="134"/>
        <v>0</v>
      </c>
      <c r="AA718" s="1">
        <f t="shared" si="135"/>
        <v>0</v>
      </c>
      <c r="AB718" s="1">
        <f t="shared" si="136"/>
        <v>0</v>
      </c>
      <c r="AC718" s="1">
        <f t="shared" si="137"/>
        <v>0</v>
      </c>
      <c r="AD718" s="1">
        <f t="shared" si="138"/>
        <v>0</v>
      </c>
      <c r="AE718" s="1">
        <f t="shared" si="139"/>
        <v>1</v>
      </c>
      <c r="AF718" s="1">
        <f t="shared" si="140"/>
        <v>1</v>
      </c>
      <c r="AG718" s="1">
        <f t="shared" si="141"/>
        <v>1</v>
      </c>
      <c r="AH718" s="1">
        <f t="shared" si="142"/>
        <v>1</v>
      </c>
      <c r="AI718" s="1">
        <f t="shared" si="143"/>
        <v>1</v>
      </c>
      <c r="AJ718" s="1">
        <f>SUMXMY2(Z718:AI718, Occurrence!B$3:K$3)</f>
        <v>4</v>
      </c>
      <c r="AK718" s="1">
        <f t="shared" si="144"/>
        <v>6</v>
      </c>
    </row>
    <row r="719" spans="1:37">
      <c r="A719" s="1">
        <v>718</v>
      </c>
      <c r="B719" s="1">
        <v>4252717</v>
      </c>
      <c r="C719" s="6" t="s">
        <v>47</v>
      </c>
      <c r="D719" s="1">
        <v>0.05</v>
      </c>
      <c r="E719" s="1">
        <v>0.2</v>
      </c>
      <c r="F719" s="1">
        <v>0.1</v>
      </c>
      <c r="G719" s="1">
        <v>0.15</v>
      </c>
      <c r="H719" s="1">
        <v>0.25</v>
      </c>
      <c r="I719" s="1">
        <v>0.5</v>
      </c>
      <c r="J719" s="1">
        <v>1</v>
      </c>
      <c r="K719" s="1">
        <v>0.6</v>
      </c>
      <c r="L719" s="1">
        <v>0.75</v>
      </c>
      <c r="M719" s="1">
        <v>0.55000000000000004</v>
      </c>
      <c r="N719" s="1">
        <f>(Occurrence!B$3-D719)^2</f>
        <v>2.5000000000000005E-3</v>
      </c>
      <c r="O719" s="1">
        <f>(Occurrence!C$3-E719)^2</f>
        <v>4.0000000000000008E-2</v>
      </c>
      <c r="P719" s="1">
        <f>(Occurrence!D$3-F719)^2</f>
        <v>0.81</v>
      </c>
      <c r="Q719" s="1">
        <f>(Occurrence!E$3-G719)^2</f>
        <v>0.72249999999999992</v>
      </c>
      <c r="R719" s="1">
        <f>(Occurrence!F$3-H719)^2</f>
        <v>6.25E-2</v>
      </c>
      <c r="S719" s="1">
        <f>(Occurrence!G$3-I719)^2</f>
        <v>0.25</v>
      </c>
      <c r="T719" s="1">
        <f>(Occurrence!H$3-J719)^2</f>
        <v>0</v>
      </c>
      <c r="U719" s="1">
        <f>(Occurrence!I$3-K719)^2</f>
        <v>0.16000000000000003</v>
      </c>
      <c r="V719" s="1">
        <f>(Occurrence!J$3-L719)^2</f>
        <v>0.5625</v>
      </c>
      <c r="W719" s="1">
        <f>(Occurrence!K$3-M719)^2</f>
        <v>0.20249999999999996</v>
      </c>
      <c r="X719" s="1">
        <f t="shared" si="133"/>
        <v>2.8125</v>
      </c>
      <c r="Z719" s="1">
        <f t="shared" si="134"/>
        <v>0</v>
      </c>
      <c r="AA719" s="1">
        <f t="shared" si="135"/>
        <v>0</v>
      </c>
      <c r="AB719" s="1">
        <f t="shared" si="136"/>
        <v>0</v>
      </c>
      <c r="AC719" s="1">
        <f t="shared" si="137"/>
        <v>0</v>
      </c>
      <c r="AD719" s="1">
        <f t="shared" si="138"/>
        <v>0</v>
      </c>
      <c r="AE719" s="1">
        <f t="shared" si="139"/>
        <v>1</v>
      </c>
      <c r="AF719" s="1">
        <f t="shared" si="140"/>
        <v>1</v>
      </c>
      <c r="AG719" s="1">
        <f t="shared" si="141"/>
        <v>1</v>
      </c>
      <c r="AH719" s="1">
        <f t="shared" si="142"/>
        <v>1</v>
      </c>
      <c r="AI719" s="1">
        <f t="shared" si="143"/>
        <v>1</v>
      </c>
      <c r="AJ719" s="1">
        <f>SUMXMY2(Z719:AI719, Occurrence!B$3:K$3)</f>
        <v>4</v>
      </c>
      <c r="AK719" s="1">
        <f t="shared" si="144"/>
        <v>6</v>
      </c>
    </row>
    <row r="720" spans="1:37">
      <c r="A720" s="1">
        <v>719</v>
      </c>
      <c r="B720" s="1">
        <v>4252718</v>
      </c>
      <c r="C720" s="6" t="s">
        <v>47</v>
      </c>
      <c r="D720" s="1">
        <v>0.08</v>
      </c>
      <c r="E720" s="1">
        <v>0.6</v>
      </c>
      <c r="F720" s="1">
        <v>0.17</v>
      </c>
      <c r="G720" s="1">
        <v>0.62</v>
      </c>
      <c r="H720" s="1">
        <v>0.98</v>
      </c>
      <c r="I720" s="1">
        <v>0.43</v>
      </c>
      <c r="J720" s="1">
        <v>0.28000000000000003</v>
      </c>
      <c r="K720" s="1">
        <v>0.36</v>
      </c>
      <c r="L720" s="1">
        <v>0.99</v>
      </c>
      <c r="M720" s="1">
        <v>0.5</v>
      </c>
      <c r="N720" s="1">
        <f>(Occurrence!B$3-D720)^2</f>
        <v>6.4000000000000003E-3</v>
      </c>
      <c r="O720" s="1">
        <f>(Occurrence!C$3-E720)^2</f>
        <v>0.36</v>
      </c>
      <c r="P720" s="1">
        <f>(Occurrence!D$3-F720)^2</f>
        <v>0.68889999999999996</v>
      </c>
      <c r="Q720" s="1">
        <f>(Occurrence!E$3-G720)^2</f>
        <v>0.1444</v>
      </c>
      <c r="R720" s="1">
        <f>(Occurrence!F$3-H720)^2</f>
        <v>0.96039999999999992</v>
      </c>
      <c r="S720" s="1">
        <f>(Occurrence!G$3-I720)^2</f>
        <v>0.18489999999999998</v>
      </c>
      <c r="T720" s="1">
        <f>(Occurrence!H$3-J720)^2</f>
        <v>0.51839999999999997</v>
      </c>
      <c r="U720" s="1">
        <f>(Occurrence!I$3-K720)^2</f>
        <v>0.40960000000000002</v>
      </c>
      <c r="V720" s="1">
        <f>(Occurrence!J$3-L720)^2</f>
        <v>0.98009999999999997</v>
      </c>
      <c r="W720" s="1">
        <f>(Occurrence!K$3-M720)^2</f>
        <v>0.25</v>
      </c>
      <c r="X720" s="1">
        <f t="shared" si="133"/>
        <v>4.5030999999999999</v>
      </c>
      <c r="Z720" s="1">
        <f t="shared" si="134"/>
        <v>0</v>
      </c>
      <c r="AA720" s="1">
        <f t="shared" si="135"/>
        <v>1</v>
      </c>
      <c r="AB720" s="1">
        <f t="shared" si="136"/>
        <v>0</v>
      </c>
      <c r="AC720" s="1">
        <f t="shared" si="137"/>
        <v>1</v>
      </c>
      <c r="AD720" s="1">
        <f t="shared" si="138"/>
        <v>1</v>
      </c>
      <c r="AE720" s="1">
        <f t="shared" si="139"/>
        <v>0</v>
      </c>
      <c r="AF720" s="1">
        <f t="shared" si="140"/>
        <v>0</v>
      </c>
      <c r="AG720" s="1">
        <f t="shared" si="141"/>
        <v>0</v>
      </c>
      <c r="AH720" s="1">
        <f t="shared" si="142"/>
        <v>1</v>
      </c>
      <c r="AI720" s="1">
        <f t="shared" si="143"/>
        <v>1</v>
      </c>
      <c r="AJ720" s="1">
        <f>SUMXMY2(Z720:AI720, Occurrence!B$3:K$3)</f>
        <v>6</v>
      </c>
      <c r="AK720" s="1">
        <f t="shared" si="144"/>
        <v>4</v>
      </c>
    </row>
    <row r="721" spans="1:37">
      <c r="A721" s="1">
        <v>720</v>
      </c>
      <c r="B721" s="1">
        <v>4252719</v>
      </c>
      <c r="C721" s="6" t="s">
        <v>47</v>
      </c>
      <c r="D721" s="1">
        <v>0.14000000000000001</v>
      </c>
      <c r="E721" s="1">
        <v>0.64</v>
      </c>
      <c r="F721" s="1">
        <v>0.55000000000000004</v>
      </c>
      <c r="G721" s="1">
        <v>0.88</v>
      </c>
      <c r="H721" s="1">
        <v>0.7</v>
      </c>
      <c r="I721" s="1">
        <v>0</v>
      </c>
      <c r="J721" s="1">
        <v>0.56000000000000005</v>
      </c>
      <c r="K721" s="1">
        <v>0.26</v>
      </c>
      <c r="L721" s="1">
        <v>0.3</v>
      </c>
      <c r="M721" s="1">
        <v>0.5</v>
      </c>
      <c r="N721" s="1">
        <f>(Occurrence!B$3-D721)^2</f>
        <v>1.9600000000000003E-2</v>
      </c>
      <c r="O721" s="1">
        <f>(Occurrence!C$3-E721)^2</f>
        <v>0.40960000000000002</v>
      </c>
      <c r="P721" s="1">
        <f>(Occurrence!D$3-F721)^2</f>
        <v>0.20249999999999996</v>
      </c>
      <c r="Q721" s="1">
        <f>(Occurrence!E$3-G721)^2</f>
        <v>1.44E-2</v>
      </c>
      <c r="R721" s="1">
        <f>(Occurrence!F$3-H721)^2</f>
        <v>0.48999999999999994</v>
      </c>
      <c r="S721" s="1">
        <f>(Occurrence!G$3-I721)^2</f>
        <v>0</v>
      </c>
      <c r="T721" s="1">
        <f>(Occurrence!H$3-J721)^2</f>
        <v>0.19359999999999997</v>
      </c>
      <c r="U721" s="1">
        <f>(Occurrence!I$3-K721)^2</f>
        <v>0.54759999999999998</v>
      </c>
      <c r="V721" s="1">
        <f>(Occurrence!J$3-L721)^2</f>
        <v>0.09</v>
      </c>
      <c r="W721" s="1">
        <f>(Occurrence!K$3-M721)^2</f>
        <v>0.25</v>
      </c>
      <c r="X721" s="1">
        <f t="shared" si="133"/>
        <v>2.2172999999999998</v>
      </c>
      <c r="Z721" s="1">
        <f t="shared" si="134"/>
        <v>0</v>
      </c>
      <c r="AA721" s="1">
        <f t="shared" si="135"/>
        <v>1</v>
      </c>
      <c r="AB721" s="1">
        <f t="shared" si="136"/>
        <v>1</v>
      </c>
      <c r="AC721" s="1">
        <f t="shared" si="137"/>
        <v>1</v>
      </c>
      <c r="AD721" s="1">
        <f t="shared" si="138"/>
        <v>1</v>
      </c>
      <c r="AE721" s="1">
        <f t="shared" si="139"/>
        <v>0</v>
      </c>
      <c r="AF721" s="1">
        <f t="shared" si="140"/>
        <v>1</v>
      </c>
      <c r="AG721" s="1">
        <f t="shared" si="141"/>
        <v>0</v>
      </c>
      <c r="AH721" s="1">
        <f t="shared" si="142"/>
        <v>0</v>
      </c>
      <c r="AI721" s="1">
        <f t="shared" si="143"/>
        <v>1</v>
      </c>
      <c r="AJ721" s="1">
        <f>SUMXMY2(Z721:AI721, Occurrence!B$3:K$3)</f>
        <v>3</v>
      </c>
      <c r="AK721" s="1">
        <f t="shared" si="144"/>
        <v>7</v>
      </c>
    </row>
    <row r="722" spans="1:37">
      <c r="A722" s="1">
        <v>721</v>
      </c>
      <c r="B722" s="1">
        <v>4252720</v>
      </c>
      <c r="C722" s="6" t="s">
        <v>47</v>
      </c>
      <c r="D722" s="1">
        <v>0.15</v>
      </c>
      <c r="E722" s="1">
        <v>0.42799999999999999</v>
      </c>
      <c r="F722" s="1">
        <v>0.73499999999999999</v>
      </c>
      <c r="G722" s="1">
        <v>0.5</v>
      </c>
      <c r="H722" s="1">
        <v>0.47299999999999998</v>
      </c>
      <c r="I722" s="1">
        <v>0.23400000000000001</v>
      </c>
      <c r="J722" s="1">
        <v>0.71</v>
      </c>
      <c r="K722" s="1">
        <v>0.38200000000000001</v>
      </c>
      <c r="L722" s="1">
        <v>0.32100000000000001</v>
      </c>
      <c r="M722" s="1">
        <v>0.45600000000000002</v>
      </c>
      <c r="N722" s="1">
        <f>(Occurrence!B$3-D722)^2</f>
        <v>2.2499999999999999E-2</v>
      </c>
      <c r="O722" s="1">
        <f>(Occurrence!C$3-E722)^2</f>
        <v>0.18318399999999999</v>
      </c>
      <c r="P722" s="1">
        <f>(Occurrence!D$3-F722)^2</f>
        <v>7.022500000000001E-2</v>
      </c>
      <c r="Q722" s="1">
        <f>(Occurrence!E$3-G722)^2</f>
        <v>0.25</v>
      </c>
      <c r="R722" s="1">
        <f>(Occurrence!F$3-H722)^2</f>
        <v>0.22372899999999998</v>
      </c>
      <c r="S722" s="1">
        <f>(Occurrence!G$3-I722)^2</f>
        <v>5.4756000000000006E-2</v>
      </c>
      <c r="T722" s="1">
        <f>(Occurrence!H$3-J722)^2</f>
        <v>8.4100000000000022E-2</v>
      </c>
      <c r="U722" s="1">
        <f>(Occurrence!I$3-K722)^2</f>
        <v>0.38192399999999999</v>
      </c>
      <c r="V722" s="1">
        <f>(Occurrence!J$3-L722)^2</f>
        <v>0.10304100000000001</v>
      </c>
      <c r="W722" s="1">
        <f>(Occurrence!K$3-M722)^2</f>
        <v>0.29593600000000003</v>
      </c>
      <c r="X722" s="1">
        <f t="shared" si="133"/>
        <v>1.669395</v>
      </c>
      <c r="Z722" s="1">
        <f t="shared" si="134"/>
        <v>0</v>
      </c>
      <c r="AA722" s="1">
        <f t="shared" si="135"/>
        <v>0</v>
      </c>
      <c r="AB722" s="1">
        <f t="shared" si="136"/>
        <v>1</v>
      </c>
      <c r="AC722" s="1">
        <f t="shared" si="137"/>
        <v>1</v>
      </c>
      <c r="AD722" s="1">
        <f t="shared" si="138"/>
        <v>0</v>
      </c>
      <c r="AE722" s="1">
        <f t="shared" si="139"/>
        <v>0</v>
      </c>
      <c r="AF722" s="1">
        <f t="shared" si="140"/>
        <v>1</v>
      </c>
      <c r="AG722" s="1">
        <f t="shared" si="141"/>
        <v>0</v>
      </c>
      <c r="AH722" s="1">
        <f t="shared" si="142"/>
        <v>0</v>
      </c>
      <c r="AI722" s="1">
        <f t="shared" si="143"/>
        <v>0</v>
      </c>
      <c r="AJ722" s="1">
        <f>SUMXMY2(Z722:AI722, Occurrence!B$3:K$3)</f>
        <v>2</v>
      </c>
      <c r="AK722" s="1">
        <f t="shared" si="144"/>
        <v>8</v>
      </c>
    </row>
    <row r="723" spans="1:37">
      <c r="A723" s="1">
        <v>722</v>
      </c>
      <c r="B723" s="1">
        <v>4252721</v>
      </c>
      <c r="C723" s="6" t="s">
        <v>47</v>
      </c>
      <c r="D723" s="1">
        <v>0.03</v>
      </c>
      <c r="E723" s="1">
        <v>0.2</v>
      </c>
      <c r="F723" s="1">
        <v>0.04</v>
      </c>
      <c r="G723" s="1">
        <v>0.21</v>
      </c>
      <c r="H723" s="1">
        <v>0.15</v>
      </c>
      <c r="I723" s="1">
        <v>1</v>
      </c>
      <c r="J723" s="1">
        <v>1</v>
      </c>
      <c r="K723" s="1">
        <v>1</v>
      </c>
      <c r="L723" s="1">
        <v>1</v>
      </c>
      <c r="M723" s="1">
        <v>1</v>
      </c>
      <c r="N723" s="1">
        <f>(Occurrence!B$3-D723)^2</f>
        <v>8.9999999999999998E-4</v>
      </c>
      <c r="O723" s="1">
        <f>(Occurrence!C$3-E723)^2</f>
        <v>4.0000000000000008E-2</v>
      </c>
      <c r="P723" s="1">
        <f>(Occurrence!D$3-F723)^2</f>
        <v>0.92159999999999997</v>
      </c>
      <c r="Q723" s="1">
        <f>(Occurrence!E$3-G723)^2</f>
        <v>0.6241000000000001</v>
      </c>
      <c r="R723" s="1">
        <f>(Occurrence!F$3-H723)^2</f>
        <v>2.2499999999999999E-2</v>
      </c>
      <c r="S723" s="1">
        <f>(Occurrence!G$3-I723)^2</f>
        <v>1</v>
      </c>
      <c r="T723" s="1">
        <f>(Occurrence!H$3-J723)^2</f>
        <v>0</v>
      </c>
      <c r="U723" s="1">
        <f>(Occurrence!I$3-K723)^2</f>
        <v>0</v>
      </c>
      <c r="V723" s="1">
        <f>(Occurrence!J$3-L723)^2</f>
        <v>1</v>
      </c>
      <c r="W723" s="1">
        <f>(Occurrence!K$3-M723)^2</f>
        <v>0</v>
      </c>
      <c r="X723" s="1">
        <f t="shared" si="133"/>
        <v>3.6091000000000002</v>
      </c>
      <c r="Z723" s="1">
        <f t="shared" si="134"/>
        <v>0</v>
      </c>
      <c r="AA723" s="1">
        <f t="shared" si="135"/>
        <v>0</v>
      </c>
      <c r="AB723" s="1">
        <f t="shared" si="136"/>
        <v>0</v>
      </c>
      <c r="AC723" s="1">
        <f t="shared" si="137"/>
        <v>0</v>
      </c>
      <c r="AD723" s="1">
        <f t="shared" si="138"/>
        <v>0</v>
      </c>
      <c r="AE723" s="1">
        <f t="shared" si="139"/>
        <v>1</v>
      </c>
      <c r="AF723" s="1">
        <f t="shared" si="140"/>
        <v>1</v>
      </c>
      <c r="AG723" s="1">
        <f t="shared" si="141"/>
        <v>1</v>
      </c>
      <c r="AH723" s="1">
        <f t="shared" si="142"/>
        <v>1</v>
      </c>
      <c r="AI723" s="1">
        <f t="shared" si="143"/>
        <v>1</v>
      </c>
      <c r="AJ723" s="1">
        <f>SUMXMY2(Z723:AI723, Occurrence!B$3:K$3)</f>
        <v>4</v>
      </c>
      <c r="AK723" s="1">
        <f t="shared" si="144"/>
        <v>6</v>
      </c>
    </row>
    <row r="724" spans="1:37">
      <c r="A724" s="1">
        <v>723</v>
      </c>
      <c r="B724" s="1">
        <v>4252722</v>
      </c>
      <c r="C724" s="6" t="s">
        <v>47</v>
      </c>
      <c r="D724" s="1">
        <v>0.1</v>
      </c>
      <c r="E724" s="1">
        <v>0.15</v>
      </c>
      <c r="F724" s="1">
        <v>0.6</v>
      </c>
      <c r="G724" s="1">
        <v>0.3</v>
      </c>
      <c r="H724" s="1">
        <v>0.25</v>
      </c>
      <c r="I724" s="1">
        <v>0.4</v>
      </c>
      <c r="J724" s="1">
        <v>0.1</v>
      </c>
      <c r="K724" s="1">
        <v>0.4</v>
      </c>
      <c r="L724" s="1">
        <v>0.01</v>
      </c>
      <c r="M724" s="1">
        <v>0.04</v>
      </c>
      <c r="N724" s="1">
        <f>(Occurrence!B$3-D724)^2</f>
        <v>1.0000000000000002E-2</v>
      </c>
      <c r="O724" s="1">
        <f>(Occurrence!C$3-E724)^2</f>
        <v>2.2499999999999999E-2</v>
      </c>
      <c r="P724" s="1">
        <f>(Occurrence!D$3-F724)^2</f>
        <v>0.16000000000000003</v>
      </c>
      <c r="Q724" s="1">
        <f>(Occurrence!E$3-G724)^2</f>
        <v>0.48999999999999994</v>
      </c>
      <c r="R724" s="1">
        <f>(Occurrence!F$3-H724)^2</f>
        <v>6.25E-2</v>
      </c>
      <c r="S724" s="1">
        <f>(Occurrence!G$3-I724)^2</f>
        <v>0.16000000000000003</v>
      </c>
      <c r="T724" s="1">
        <f>(Occurrence!H$3-J724)^2</f>
        <v>0.81</v>
      </c>
      <c r="U724" s="1">
        <f>(Occurrence!I$3-K724)^2</f>
        <v>0.36</v>
      </c>
      <c r="V724" s="1">
        <f>(Occurrence!J$3-L724)^2</f>
        <v>1E-4</v>
      </c>
      <c r="W724" s="1">
        <f>(Occurrence!K$3-M724)^2</f>
        <v>0.92159999999999997</v>
      </c>
      <c r="X724" s="1">
        <f t="shared" si="133"/>
        <v>2.9967000000000006</v>
      </c>
      <c r="Z724" s="1">
        <f t="shared" si="134"/>
        <v>0</v>
      </c>
      <c r="AA724" s="1">
        <f t="shared" si="135"/>
        <v>0</v>
      </c>
      <c r="AB724" s="1">
        <f t="shared" si="136"/>
        <v>1</v>
      </c>
      <c r="AC724" s="1">
        <f t="shared" si="137"/>
        <v>0</v>
      </c>
      <c r="AD724" s="1">
        <f t="shared" si="138"/>
        <v>0</v>
      </c>
      <c r="AE724" s="1">
        <f t="shared" si="139"/>
        <v>0</v>
      </c>
      <c r="AF724" s="1">
        <f t="shared" si="140"/>
        <v>0</v>
      </c>
      <c r="AG724" s="1">
        <f t="shared" si="141"/>
        <v>0</v>
      </c>
      <c r="AH724" s="1">
        <f t="shared" si="142"/>
        <v>0</v>
      </c>
      <c r="AI724" s="1">
        <f t="shared" si="143"/>
        <v>0</v>
      </c>
      <c r="AJ724" s="1">
        <f>SUMXMY2(Z724:AI724, Occurrence!B$3:K$3)</f>
        <v>4</v>
      </c>
      <c r="AK724" s="1">
        <f t="shared" si="144"/>
        <v>6</v>
      </c>
    </row>
    <row r="725" spans="1:37">
      <c r="A725" s="1">
        <v>724</v>
      </c>
      <c r="B725" s="1">
        <v>4252723</v>
      </c>
      <c r="C725" s="6" t="s">
        <v>47</v>
      </c>
      <c r="D725" s="1">
        <v>0.27260000000000001</v>
      </c>
      <c r="E725" s="1">
        <v>0.37180000000000002</v>
      </c>
      <c r="F725" s="1">
        <v>0.50009999999999999</v>
      </c>
      <c r="G725" s="1">
        <v>0.6028</v>
      </c>
      <c r="H725" s="1">
        <v>0.8</v>
      </c>
      <c r="I725" s="1">
        <v>0.1</v>
      </c>
      <c r="J725" s="1">
        <v>1</v>
      </c>
      <c r="K725" s="1">
        <v>0.01</v>
      </c>
      <c r="L725" s="1">
        <v>0.6</v>
      </c>
      <c r="M725" s="1">
        <v>0.6</v>
      </c>
      <c r="N725" s="1">
        <f>(Occurrence!B$3-D725)^2</f>
        <v>7.4310760000000003E-2</v>
      </c>
      <c r="O725" s="1">
        <f>(Occurrence!C$3-E725)^2</f>
        <v>0.13823524000000001</v>
      </c>
      <c r="P725" s="1">
        <f>(Occurrence!D$3-F725)^2</f>
        <v>0.24990001000000001</v>
      </c>
      <c r="Q725" s="1">
        <f>(Occurrence!E$3-G725)^2</f>
        <v>0.15776783999999999</v>
      </c>
      <c r="R725" s="1">
        <f>(Occurrence!F$3-H725)^2</f>
        <v>0.64000000000000012</v>
      </c>
      <c r="S725" s="1">
        <f>(Occurrence!G$3-I725)^2</f>
        <v>1.0000000000000002E-2</v>
      </c>
      <c r="T725" s="1">
        <f>(Occurrence!H$3-J725)^2</f>
        <v>0</v>
      </c>
      <c r="U725" s="1">
        <f>(Occurrence!I$3-K725)^2</f>
        <v>0.98009999999999997</v>
      </c>
      <c r="V725" s="1">
        <f>(Occurrence!J$3-L725)^2</f>
        <v>0.36</v>
      </c>
      <c r="W725" s="1">
        <f>(Occurrence!K$3-M725)^2</f>
        <v>0.16000000000000003</v>
      </c>
      <c r="X725" s="1">
        <f t="shared" si="133"/>
        <v>2.7703138500000004</v>
      </c>
      <c r="Z725" s="1">
        <f t="shared" si="134"/>
        <v>0</v>
      </c>
      <c r="AA725" s="1">
        <f t="shared" si="135"/>
        <v>0</v>
      </c>
      <c r="AB725" s="1">
        <f t="shared" si="136"/>
        <v>1</v>
      </c>
      <c r="AC725" s="1">
        <f t="shared" si="137"/>
        <v>1</v>
      </c>
      <c r="AD725" s="1">
        <f t="shared" si="138"/>
        <v>1</v>
      </c>
      <c r="AE725" s="1">
        <f t="shared" si="139"/>
        <v>0</v>
      </c>
      <c r="AF725" s="1">
        <f t="shared" si="140"/>
        <v>1</v>
      </c>
      <c r="AG725" s="1">
        <f t="shared" si="141"/>
        <v>0</v>
      </c>
      <c r="AH725" s="1">
        <f t="shared" si="142"/>
        <v>1</v>
      </c>
      <c r="AI725" s="1">
        <f t="shared" si="143"/>
        <v>1</v>
      </c>
      <c r="AJ725" s="1">
        <f>SUMXMY2(Z725:AI725, Occurrence!B$3:K$3)</f>
        <v>3</v>
      </c>
      <c r="AK725" s="1">
        <f t="shared" si="144"/>
        <v>7</v>
      </c>
    </row>
    <row r="726" spans="1:37">
      <c r="A726" s="1">
        <v>725</v>
      </c>
      <c r="B726" s="1">
        <v>4252724</v>
      </c>
      <c r="C726" s="6" t="s">
        <v>47</v>
      </c>
      <c r="D726" s="1">
        <v>0.06</v>
      </c>
      <c r="E726" s="1">
        <v>0.6</v>
      </c>
      <c r="F726" s="1">
        <v>0.2</v>
      </c>
      <c r="G726" s="1">
        <v>0.8</v>
      </c>
      <c r="H726" s="1">
        <v>0.9</v>
      </c>
      <c r="I726" s="1">
        <v>0.95</v>
      </c>
      <c r="J726" s="1">
        <v>0.99</v>
      </c>
      <c r="K726" s="1">
        <v>0.5</v>
      </c>
      <c r="L726" s="1">
        <v>0.5</v>
      </c>
      <c r="M726" s="1">
        <v>0.8</v>
      </c>
      <c r="N726" s="1">
        <f>(Occurrence!B$3-D726)^2</f>
        <v>3.5999999999999999E-3</v>
      </c>
      <c r="O726" s="1">
        <f>(Occurrence!C$3-E726)^2</f>
        <v>0.36</v>
      </c>
      <c r="P726" s="1">
        <f>(Occurrence!D$3-F726)^2</f>
        <v>0.64000000000000012</v>
      </c>
      <c r="Q726" s="1">
        <f>(Occurrence!E$3-G726)^2</f>
        <v>3.999999999999998E-2</v>
      </c>
      <c r="R726" s="1">
        <f>(Occurrence!F$3-H726)^2</f>
        <v>0.81</v>
      </c>
      <c r="S726" s="1">
        <f>(Occurrence!G$3-I726)^2</f>
        <v>0.90249999999999997</v>
      </c>
      <c r="T726" s="1">
        <f>(Occurrence!H$3-J726)^2</f>
        <v>1.0000000000000018E-4</v>
      </c>
      <c r="U726" s="1">
        <f>(Occurrence!I$3-K726)^2</f>
        <v>0.25</v>
      </c>
      <c r="V726" s="1">
        <f>(Occurrence!J$3-L726)^2</f>
        <v>0.25</v>
      </c>
      <c r="W726" s="1">
        <f>(Occurrence!K$3-M726)^2</f>
        <v>3.999999999999998E-2</v>
      </c>
      <c r="X726" s="1">
        <f t="shared" si="133"/>
        <v>3.2962000000000002</v>
      </c>
      <c r="Z726" s="1">
        <f t="shared" si="134"/>
        <v>0</v>
      </c>
      <c r="AA726" s="1">
        <f t="shared" si="135"/>
        <v>1</v>
      </c>
      <c r="AB726" s="1">
        <f t="shared" si="136"/>
        <v>0</v>
      </c>
      <c r="AC726" s="1">
        <f t="shared" si="137"/>
        <v>1</v>
      </c>
      <c r="AD726" s="1">
        <f t="shared" si="138"/>
        <v>1</v>
      </c>
      <c r="AE726" s="1">
        <f t="shared" si="139"/>
        <v>1</v>
      </c>
      <c r="AF726" s="1">
        <f t="shared" si="140"/>
        <v>1</v>
      </c>
      <c r="AG726" s="1">
        <f t="shared" si="141"/>
        <v>1</v>
      </c>
      <c r="AH726" s="1">
        <f t="shared" si="142"/>
        <v>1</v>
      </c>
      <c r="AI726" s="1">
        <f t="shared" si="143"/>
        <v>1</v>
      </c>
      <c r="AJ726" s="1">
        <f>SUMXMY2(Z726:AI726, Occurrence!B$3:K$3)</f>
        <v>5</v>
      </c>
      <c r="AK726" s="1">
        <f t="shared" si="144"/>
        <v>5</v>
      </c>
    </row>
    <row r="727" spans="1:37">
      <c r="A727" s="1">
        <v>726</v>
      </c>
      <c r="B727" s="1">
        <v>4252725</v>
      </c>
      <c r="C727" s="6" t="s">
        <v>47</v>
      </c>
      <c r="D727" s="1">
        <v>0.15</v>
      </c>
      <c r="E727" s="1">
        <v>0.1</v>
      </c>
      <c r="F727" s="1">
        <v>0.4</v>
      </c>
      <c r="G727" s="1">
        <v>0.6</v>
      </c>
      <c r="H727" s="1">
        <v>0.25</v>
      </c>
      <c r="I727" s="1">
        <v>0</v>
      </c>
      <c r="J727" s="1">
        <v>0.1</v>
      </c>
      <c r="K727" s="1">
        <v>0.4</v>
      </c>
      <c r="L727" s="1">
        <v>0.3</v>
      </c>
      <c r="M727" s="1">
        <v>0.15</v>
      </c>
      <c r="N727" s="1">
        <f>(Occurrence!B$3-D727)^2</f>
        <v>2.2499999999999999E-2</v>
      </c>
      <c r="O727" s="1">
        <f>(Occurrence!C$3-E727)^2</f>
        <v>1.0000000000000002E-2</v>
      </c>
      <c r="P727" s="1">
        <f>(Occurrence!D$3-F727)^2</f>
        <v>0.36</v>
      </c>
      <c r="Q727" s="1">
        <f>(Occurrence!E$3-G727)^2</f>
        <v>0.16000000000000003</v>
      </c>
      <c r="R727" s="1">
        <f>(Occurrence!F$3-H727)^2</f>
        <v>6.25E-2</v>
      </c>
      <c r="S727" s="1">
        <f>(Occurrence!G$3-I727)^2</f>
        <v>0</v>
      </c>
      <c r="T727" s="1">
        <f>(Occurrence!H$3-J727)^2</f>
        <v>0.81</v>
      </c>
      <c r="U727" s="1">
        <f>(Occurrence!I$3-K727)^2</f>
        <v>0.36</v>
      </c>
      <c r="V727" s="1">
        <f>(Occurrence!J$3-L727)^2</f>
        <v>0.09</v>
      </c>
      <c r="W727" s="1">
        <f>(Occurrence!K$3-M727)^2</f>
        <v>0.72249999999999992</v>
      </c>
      <c r="X727" s="1">
        <f t="shared" si="133"/>
        <v>2.5975000000000001</v>
      </c>
      <c r="Z727" s="1">
        <f t="shared" si="134"/>
        <v>0</v>
      </c>
      <c r="AA727" s="1">
        <f t="shared" si="135"/>
        <v>0</v>
      </c>
      <c r="AB727" s="1">
        <f t="shared" si="136"/>
        <v>0</v>
      </c>
      <c r="AC727" s="1">
        <f t="shared" si="137"/>
        <v>1</v>
      </c>
      <c r="AD727" s="1">
        <f t="shared" si="138"/>
        <v>0</v>
      </c>
      <c r="AE727" s="1">
        <f t="shared" si="139"/>
        <v>0</v>
      </c>
      <c r="AF727" s="1">
        <f t="shared" si="140"/>
        <v>0</v>
      </c>
      <c r="AG727" s="1">
        <f t="shared" si="141"/>
        <v>0</v>
      </c>
      <c r="AH727" s="1">
        <f t="shared" si="142"/>
        <v>0</v>
      </c>
      <c r="AI727" s="1">
        <f t="shared" si="143"/>
        <v>0</v>
      </c>
      <c r="AJ727" s="1">
        <f>SUMXMY2(Z727:AI727, Occurrence!B$3:K$3)</f>
        <v>4</v>
      </c>
      <c r="AK727" s="1">
        <f t="shared" si="144"/>
        <v>6</v>
      </c>
    </row>
    <row r="728" spans="1:37">
      <c r="A728" s="1">
        <v>727</v>
      </c>
      <c r="B728" s="1">
        <v>4252726</v>
      </c>
      <c r="C728" s="6" t="s">
        <v>47</v>
      </c>
      <c r="D728" s="1">
        <v>0.03</v>
      </c>
      <c r="E728" s="1">
        <v>0.2</v>
      </c>
      <c r="F728" s="1">
        <v>0.04</v>
      </c>
      <c r="G728" s="1">
        <v>0.3</v>
      </c>
      <c r="H728" s="1">
        <v>0.06</v>
      </c>
      <c r="I728" s="1">
        <v>1</v>
      </c>
      <c r="J728" s="1">
        <v>1</v>
      </c>
      <c r="K728" s="1">
        <v>1</v>
      </c>
      <c r="L728" s="1">
        <v>1</v>
      </c>
      <c r="M728" s="1">
        <v>1</v>
      </c>
      <c r="N728" s="1">
        <f>(Occurrence!B$3-D728)^2</f>
        <v>8.9999999999999998E-4</v>
      </c>
      <c r="O728" s="1">
        <f>(Occurrence!C$3-E728)^2</f>
        <v>4.0000000000000008E-2</v>
      </c>
      <c r="P728" s="1">
        <f>(Occurrence!D$3-F728)^2</f>
        <v>0.92159999999999997</v>
      </c>
      <c r="Q728" s="1">
        <f>(Occurrence!E$3-G728)^2</f>
        <v>0.48999999999999994</v>
      </c>
      <c r="R728" s="1">
        <f>(Occurrence!F$3-H728)^2</f>
        <v>3.5999999999999999E-3</v>
      </c>
      <c r="S728" s="1">
        <f>(Occurrence!G$3-I728)^2</f>
        <v>1</v>
      </c>
      <c r="T728" s="1">
        <f>(Occurrence!H$3-J728)^2</f>
        <v>0</v>
      </c>
      <c r="U728" s="1">
        <f>(Occurrence!I$3-K728)^2</f>
        <v>0</v>
      </c>
      <c r="V728" s="1">
        <f>(Occurrence!J$3-L728)^2</f>
        <v>1</v>
      </c>
      <c r="W728" s="1">
        <f>(Occurrence!K$3-M728)^2</f>
        <v>0</v>
      </c>
      <c r="X728" s="1">
        <f t="shared" si="133"/>
        <v>3.4561000000000002</v>
      </c>
      <c r="Z728" s="1">
        <f t="shared" si="134"/>
        <v>0</v>
      </c>
      <c r="AA728" s="1">
        <f t="shared" si="135"/>
        <v>0</v>
      </c>
      <c r="AB728" s="1">
        <f t="shared" si="136"/>
        <v>0</v>
      </c>
      <c r="AC728" s="1">
        <f t="shared" si="137"/>
        <v>0</v>
      </c>
      <c r="AD728" s="1">
        <f t="shared" si="138"/>
        <v>0</v>
      </c>
      <c r="AE728" s="1">
        <f t="shared" si="139"/>
        <v>1</v>
      </c>
      <c r="AF728" s="1">
        <f t="shared" si="140"/>
        <v>1</v>
      </c>
      <c r="AG728" s="1">
        <f t="shared" si="141"/>
        <v>1</v>
      </c>
      <c r="AH728" s="1">
        <f t="shared" si="142"/>
        <v>1</v>
      </c>
      <c r="AI728" s="1">
        <f t="shared" si="143"/>
        <v>1</v>
      </c>
      <c r="AJ728" s="1">
        <f>SUMXMY2(Z728:AI728, Occurrence!B$3:K$3)</f>
        <v>4</v>
      </c>
      <c r="AK728" s="1">
        <f t="shared" si="144"/>
        <v>6</v>
      </c>
    </row>
    <row r="729" spans="1:37">
      <c r="A729" s="1">
        <v>728</v>
      </c>
      <c r="B729" s="1">
        <v>4252727</v>
      </c>
      <c r="C729" s="6" t="s">
        <v>47</v>
      </c>
      <c r="D729" s="1">
        <v>0.1</v>
      </c>
      <c r="E729" s="1">
        <v>0.2</v>
      </c>
      <c r="F729" s="1">
        <v>0.4</v>
      </c>
      <c r="G729" s="1">
        <v>0.5</v>
      </c>
      <c r="H729" s="1">
        <v>0.5</v>
      </c>
      <c r="I729" s="1">
        <v>0</v>
      </c>
      <c r="J729" s="1">
        <v>1</v>
      </c>
      <c r="K729" s="1">
        <v>1</v>
      </c>
      <c r="L729" s="1">
        <v>0</v>
      </c>
      <c r="M729" s="1">
        <v>0</v>
      </c>
      <c r="N729" s="1">
        <f>(Occurrence!B$3-D729)^2</f>
        <v>1.0000000000000002E-2</v>
      </c>
      <c r="O729" s="1">
        <f>(Occurrence!C$3-E729)^2</f>
        <v>4.0000000000000008E-2</v>
      </c>
      <c r="P729" s="1">
        <f>(Occurrence!D$3-F729)^2</f>
        <v>0.36</v>
      </c>
      <c r="Q729" s="1">
        <f>(Occurrence!E$3-G729)^2</f>
        <v>0.25</v>
      </c>
      <c r="R729" s="1">
        <f>(Occurrence!F$3-H729)^2</f>
        <v>0.25</v>
      </c>
      <c r="S729" s="1">
        <f>(Occurrence!G$3-I729)^2</f>
        <v>0</v>
      </c>
      <c r="T729" s="1">
        <f>(Occurrence!H$3-J729)^2</f>
        <v>0</v>
      </c>
      <c r="U729" s="1">
        <f>(Occurrence!I$3-K729)^2</f>
        <v>0</v>
      </c>
      <c r="V729" s="1">
        <f>(Occurrence!J$3-L729)^2</f>
        <v>0</v>
      </c>
      <c r="W729" s="1">
        <f>(Occurrence!K$3-M729)^2</f>
        <v>1</v>
      </c>
      <c r="X729" s="1">
        <f t="shared" si="133"/>
        <v>1.91</v>
      </c>
      <c r="Z729" s="1">
        <f t="shared" si="134"/>
        <v>0</v>
      </c>
      <c r="AA729" s="1">
        <f t="shared" si="135"/>
        <v>0</v>
      </c>
      <c r="AB729" s="1">
        <f t="shared" si="136"/>
        <v>0</v>
      </c>
      <c r="AC729" s="1">
        <f t="shared" si="137"/>
        <v>1</v>
      </c>
      <c r="AD729" s="1">
        <f t="shared" si="138"/>
        <v>1</v>
      </c>
      <c r="AE729" s="1">
        <f t="shared" si="139"/>
        <v>0</v>
      </c>
      <c r="AF729" s="1">
        <f t="shared" si="140"/>
        <v>1</v>
      </c>
      <c r="AG729" s="1">
        <f t="shared" si="141"/>
        <v>1</v>
      </c>
      <c r="AH729" s="1">
        <f t="shared" si="142"/>
        <v>0</v>
      </c>
      <c r="AI729" s="1">
        <f t="shared" si="143"/>
        <v>0</v>
      </c>
      <c r="AJ729" s="1">
        <f>SUMXMY2(Z729:AI729, Occurrence!B$3:K$3)</f>
        <v>3</v>
      </c>
      <c r="AK729" s="1">
        <f t="shared" si="144"/>
        <v>7</v>
      </c>
    </row>
    <row r="730" spans="1:37">
      <c r="A730" s="1">
        <v>729</v>
      </c>
      <c r="B730" s="1">
        <v>4252728</v>
      </c>
      <c r="C730" s="6" t="s">
        <v>47</v>
      </c>
      <c r="D730" s="1">
        <v>0.1</v>
      </c>
      <c r="E730" s="1">
        <v>0.2</v>
      </c>
      <c r="F730" s="1">
        <v>0.4</v>
      </c>
      <c r="G730" s="1">
        <v>0.5</v>
      </c>
      <c r="H730" s="1">
        <v>0.5</v>
      </c>
      <c r="I730" s="1">
        <v>0</v>
      </c>
      <c r="J730" s="1">
        <v>1</v>
      </c>
      <c r="K730" s="1">
        <v>1</v>
      </c>
      <c r="L730" s="1">
        <v>0</v>
      </c>
      <c r="M730" s="1">
        <v>0</v>
      </c>
      <c r="N730" s="1">
        <f>(Occurrence!B$3-D730)^2</f>
        <v>1.0000000000000002E-2</v>
      </c>
      <c r="O730" s="1">
        <f>(Occurrence!C$3-E730)^2</f>
        <v>4.0000000000000008E-2</v>
      </c>
      <c r="P730" s="1">
        <f>(Occurrence!D$3-F730)^2</f>
        <v>0.36</v>
      </c>
      <c r="Q730" s="1">
        <f>(Occurrence!E$3-G730)^2</f>
        <v>0.25</v>
      </c>
      <c r="R730" s="1">
        <f>(Occurrence!F$3-H730)^2</f>
        <v>0.25</v>
      </c>
      <c r="S730" s="1">
        <f>(Occurrence!G$3-I730)^2</f>
        <v>0</v>
      </c>
      <c r="T730" s="1">
        <f>(Occurrence!H$3-J730)^2</f>
        <v>0</v>
      </c>
      <c r="U730" s="1">
        <f>(Occurrence!I$3-K730)^2</f>
        <v>0</v>
      </c>
      <c r="V730" s="1">
        <f>(Occurrence!J$3-L730)^2</f>
        <v>0</v>
      </c>
      <c r="W730" s="1">
        <f>(Occurrence!K$3-M730)^2</f>
        <v>1</v>
      </c>
      <c r="X730" s="1">
        <f t="shared" si="133"/>
        <v>1.91</v>
      </c>
      <c r="Z730" s="1">
        <f t="shared" si="134"/>
        <v>0</v>
      </c>
      <c r="AA730" s="1">
        <f t="shared" si="135"/>
        <v>0</v>
      </c>
      <c r="AB730" s="1">
        <f t="shared" si="136"/>
        <v>0</v>
      </c>
      <c r="AC730" s="1">
        <f t="shared" si="137"/>
        <v>1</v>
      </c>
      <c r="AD730" s="1">
        <f t="shared" si="138"/>
        <v>1</v>
      </c>
      <c r="AE730" s="1">
        <f t="shared" si="139"/>
        <v>0</v>
      </c>
      <c r="AF730" s="1">
        <f t="shared" si="140"/>
        <v>1</v>
      </c>
      <c r="AG730" s="1">
        <f t="shared" si="141"/>
        <v>1</v>
      </c>
      <c r="AH730" s="1">
        <f t="shared" si="142"/>
        <v>0</v>
      </c>
      <c r="AI730" s="1">
        <f t="shared" si="143"/>
        <v>0</v>
      </c>
      <c r="AJ730" s="1">
        <f>SUMXMY2(Z730:AI730, Occurrence!B$3:K$3)</f>
        <v>3</v>
      </c>
      <c r="AK730" s="1">
        <f t="shared" si="144"/>
        <v>7</v>
      </c>
    </row>
    <row r="731" spans="1:37">
      <c r="A731" s="1">
        <v>730</v>
      </c>
      <c r="B731" s="1">
        <v>4252729</v>
      </c>
      <c r="C731" s="6" t="s">
        <v>47</v>
      </c>
      <c r="D731" s="1">
        <v>0</v>
      </c>
      <c r="E731" s="1">
        <v>0</v>
      </c>
      <c r="F731" s="1">
        <v>0.5</v>
      </c>
      <c r="G731" s="1">
        <v>0.75</v>
      </c>
      <c r="H731" s="1">
        <v>0</v>
      </c>
      <c r="I731" s="1">
        <v>0.5</v>
      </c>
      <c r="J731" s="1">
        <v>0.5</v>
      </c>
      <c r="K731" s="1">
        <v>0.5</v>
      </c>
      <c r="L731" s="1">
        <v>0.5</v>
      </c>
      <c r="M731" s="1">
        <v>0.5</v>
      </c>
      <c r="N731" s="1">
        <f>(Occurrence!B$3-D731)^2</f>
        <v>0</v>
      </c>
      <c r="O731" s="1">
        <f>(Occurrence!C$3-E731)^2</f>
        <v>0</v>
      </c>
      <c r="P731" s="1">
        <f>(Occurrence!D$3-F731)^2</f>
        <v>0.25</v>
      </c>
      <c r="Q731" s="1">
        <f>(Occurrence!E$3-G731)^2</f>
        <v>6.25E-2</v>
      </c>
      <c r="R731" s="1">
        <f>(Occurrence!F$3-H731)^2</f>
        <v>0</v>
      </c>
      <c r="S731" s="1">
        <f>(Occurrence!G$3-I731)^2</f>
        <v>0.25</v>
      </c>
      <c r="T731" s="1">
        <f>(Occurrence!H$3-J731)^2</f>
        <v>0.25</v>
      </c>
      <c r="U731" s="1">
        <f>(Occurrence!I$3-K731)^2</f>
        <v>0.25</v>
      </c>
      <c r="V731" s="1">
        <f>(Occurrence!J$3-L731)^2</f>
        <v>0.25</v>
      </c>
      <c r="W731" s="1">
        <f>(Occurrence!K$3-M731)^2</f>
        <v>0.25</v>
      </c>
      <c r="X731" s="1">
        <f t="shared" si="133"/>
        <v>1.5625</v>
      </c>
      <c r="Z731" s="1">
        <f t="shared" si="134"/>
        <v>0</v>
      </c>
      <c r="AA731" s="1">
        <f t="shared" si="135"/>
        <v>0</v>
      </c>
      <c r="AB731" s="1">
        <f t="shared" si="136"/>
        <v>1</v>
      </c>
      <c r="AC731" s="1">
        <f t="shared" si="137"/>
        <v>1</v>
      </c>
      <c r="AD731" s="1">
        <f t="shared" si="138"/>
        <v>0</v>
      </c>
      <c r="AE731" s="1">
        <f t="shared" si="139"/>
        <v>1</v>
      </c>
      <c r="AF731" s="1">
        <f t="shared" si="140"/>
        <v>1</v>
      </c>
      <c r="AG731" s="1">
        <f t="shared" si="141"/>
        <v>1</v>
      </c>
      <c r="AH731" s="1">
        <f t="shared" si="142"/>
        <v>1</v>
      </c>
      <c r="AI731" s="1">
        <f t="shared" si="143"/>
        <v>1</v>
      </c>
      <c r="AJ731" s="1">
        <f>SUMXMY2(Z731:AI731, Occurrence!B$3:K$3)</f>
        <v>2</v>
      </c>
      <c r="AK731" s="1">
        <f t="shared" si="144"/>
        <v>8</v>
      </c>
    </row>
    <row r="732" spans="1:37">
      <c r="A732" s="1">
        <v>731</v>
      </c>
      <c r="B732" s="1">
        <v>4252730</v>
      </c>
      <c r="C732" s="6" t="s">
        <v>47</v>
      </c>
      <c r="D732" s="1">
        <v>0.1</v>
      </c>
      <c r="E732" s="1">
        <v>0.2</v>
      </c>
      <c r="F732" s="1">
        <v>0.4</v>
      </c>
      <c r="G732" s="1">
        <v>0.5</v>
      </c>
      <c r="H732" s="1">
        <v>0.5</v>
      </c>
      <c r="I732" s="1">
        <v>0</v>
      </c>
      <c r="J732" s="1">
        <v>1</v>
      </c>
      <c r="K732" s="1">
        <v>1</v>
      </c>
      <c r="L732" s="1">
        <v>0</v>
      </c>
      <c r="M732" s="1">
        <v>0</v>
      </c>
      <c r="N732" s="1">
        <f>(Occurrence!B$3-D732)^2</f>
        <v>1.0000000000000002E-2</v>
      </c>
      <c r="O732" s="1">
        <f>(Occurrence!C$3-E732)^2</f>
        <v>4.0000000000000008E-2</v>
      </c>
      <c r="P732" s="1">
        <f>(Occurrence!D$3-F732)^2</f>
        <v>0.36</v>
      </c>
      <c r="Q732" s="1">
        <f>(Occurrence!E$3-G732)^2</f>
        <v>0.25</v>
      </c>
      <c r="R732" s="1">
        <f>(Occurrence!F$3-H732)^2</f>
        <v>0.25</v>
      </c>
      <c r="S732" s="1">
        <f>(Occurrence!G$3-I732)^2</f>
        <v>0</v>
      </c>
      <c r="T732" s="1">
        <f>(Occurrence!H$3-J732)^2</f>
        <v>0</v>
      </c>
      <c r="U732" s="1">
        <f>(Occurrence!I$3-K732)^2</f>
        <v>0</v>
      </c>
      <c r="V732" s="1">
        <f>(Occurrence!J$3-L732)^2</f>
        <v>0</v>
      </c>
      <c r="W732" s="1">
        <f>(Occurrence!K$3-M732)^2</f>
        <v>1</v>
      </c>
      <c r="X732" s="1">
        <f t="shared" si="133"/>
        <v>1.91</v>
      </c>
      <c r="Z732" s="1">
        <f t="shared" si="134"/>
        <v>0</v>
      </c>
      <c r="AA732" s="1">
        <f t="shared" si="135"/>
        <v>0</v>
      </c>
      <c r="AB732" s="1">
        <f t="shared" si="136"/>
        <v>0</v>
      </c>
      <c r="AC732" s="1">
        <f t="shared" si="137"/>
        <v>1</v>
      </c>
      <c r="AD732" s="1">
        <f t="shared" si="138"/>
        <v>1</v>
      </c>
      <c r="AE732" s="1">
        <f t="shared" si="139"/>
        <v>0</v>
      </c>
      <c r="AF732" s="1">
        <f t="shared" si="140"/>
        <v>1</v>
      </c>
      <c r="AG732" s="1">
        <f t="shared" si="141"/>
        <v>1</v>
      </c>
      <c r="AH732" s="1">
        <f t="shared" si="142"/>
        <v>0</v>
      </c>
      <c r="AI732" s="1">
        <f t="shared" si="143"/>
        <v>0</v>
      </c>
      <c r="AJ732" s="1">
        <f>SUMXMY2(Z732:AI732, Occurrence!B$3:K$3)</f>
        <v>3</v>
      </c>
      <c r="AK732" s="1">
        <f t="shared" si="144"/>
        <v>7</v>
      </c>
    </row>
    <row r="733" spans="1:37">
      <c r="A733" s="1">
        <v>732</v>
      </c>
      <c r="B733" s="1">
        <v>4252731</v>
      </c>
      <c r="C733" s="6" t="s">
        <v>47</v>
      </c>
      <c r="D733" s="1">
        <v>0.01</v>
      </c>
      <c r="E733" s="1">
        <v>0.25</v>
      </c>
      <c r="F733" s="1">
        <v>0.01</v>
      </c>
      <c r="G733" s="1">
        <v>0.25</v>
      </c>
      <c r="H733" s="1">
        <v>0.95</v>
      </c>
      <c r="I733" s="1">
        <v>0.25</v>
      </c>
      <c r="J733" s="1">
        <v>0</v>
      </c>
      <c r="K733" s="1">
        <v>0.5</v>
      </c>
      <c r="L733" s="1">
        <v>1</v>
      </c>
      <c r="M733" s="1">
        <v>0.5</v>
      </c>
      <c r="N733" s="1">
        <f>(Occurrence!B$3-D733)^2</f>
        <v>1E-4</v>
      </c>
      <c r="O733" s="1">
        <f>(Occurrence!C$3-E733)^2</f>
        <v>6.25E-2</v>
      </c>
      <c r="P733" s="1">
        <f>(Occurrence!D$3-F733)^2</f>
        <v>0.98009999999999997</v>
      </c>
      <c r="Q733" s="1">
        <f>(Occurrence!E$3-G733)^2</f>
        <v>0.5625</v>
      </c>
      <c r="R733" s="1">
        <f>(Occurrence!F$3-H733)^2</f>
        <v>0.90249999999999997</v>
      </c>
      <c r="S733" s="1">
        <f>(Occurrence!G$3-I733)^2</f>
        <v>6.25E-2</v>
      </c>
      <c r="T733" s="1">
        <f>(Occurrence!H$3-J733)^2</f>
        <v>1</v>
      </c>
      <c r="U733" s="1">
        <f>(Occurrence!I$3-K733)^2</f>
        <v>0.25</v>
      </c>
      <c r="V733" s="1">
        <f>(Occurrence!J$3-L733)^2</f>
        <v>1</v>
      </c>
      <c r="W733" s="1">
        <f>(Occurrence!K$3-M733)^2</f>
        <v>0.25</v>
      </c>
      <c r="X733" s="1">
        <f t="shared" si="133"/>
        <v>5.0701999999999998</v>
      </c>
      <c r="Z733" s="1">
        <f t="shared" si="134"/>
        <v>0</v>
      </c>
      <c r="AA733" s="1">
        <f t="shared" si="135"/>
        <v>0</v>
      </c>
      <c r="AB733" s="1">
        <f t="shared" si="136"/>
        <v>0</v>
      </c>
      <c r="AC733" s="1">
        <f t="shared" si="137"/>
        <v>0</v>
      </c>
      <c r="AD733" s="1">
        <f t="shared" si="138"/>
        <v>1</v>
      </c>
      <c r="AE733" s="1">
        <f t="shared" si="139"/>
        <v>0</v>
      </c>
      <c r="AF733" s="1">
        <f t="shared" si="140"/>
        <v>0</v>
      </c>
      <c r="AG733" s="1">
        <f t="shared" si="141"/>
        <v>1</v>
      </c>
      <c r="AH733" s="1">
        <f t="shared" si="142"/>
        <v>1</v>
      </c>
      <c r="AI733" s="1">
        <f t="shared" si="143"/>
        <v>1</v>
      </c>
      <c r="AJ733" s="1">
        <f>SUMXMY2(Z733:AI733, Occurrence!B$3:K$3)</f>
        <v>5</v>
      </c>
      <c r="AK733" s="1">
        <f t="shared" si="144"/>
        <v>5</v>
      </c>
    </row>
    <row r="734" spans="1:37">
      <c r="A734" s="1">
        <v>733</v>
      </c>
      <c r="B734" s="1">
        <v>4252732</v>
      </c>
      <c r="C734" s="6" t="s">
        <v>47</v>
      </c>
      <c r="D734" s="1">
        <v>0.1</v>
      </c>
      <c r="E734" s="1">
        <v>0.9</v>
      </c>
      <c r="F734" s="1">
        <v>0.8</v>
      </c>
      <c r="G734" s="1">
        <v>0.9</v>
      </c>
      <c r="H734" s="1">
        <v>0.6</v>
      </c>
      <c r="I734" s="1">
        <v>0.7</v>
      </c>
      <c r="J734" s="1">
        <v>0.3</v>
      </c>
      <c r="K734" s="1">
        <v>0.7</v>
      </c>
      <c r="L734" s="1">
        <v>0.8</v>
      </c>
      <c r="M734" s="1">
        <v>0.6</v>
      </c>
      <c r="N734" s="1">
        <f>(Occurrence!B$3-D734)^2</f>
        <v>1.0000000000000002E-2</v>
      </c>
      <c r="O734" s="1">
        <f>(Occurrence!C$3-E734)^2</f>
        <v>0.81</v>
      </c>
      <c r="P734" s="1">
        <f>(Occurrence!D$3-F734)^2</f>
        <v>3.999999999999998E-2</v>
      </c>
      <c r="Q734" s="1">
        <f>(Occurrence!E$3-G734)^2</f>
        <v>9.999999999999995E-3</v>
      </c>
      <c r="R734" s="1">
        <f>(Occurrence!F$3-H734)^2</f>
        <v>0.36</v>
      </c>
      <c r="S734" s="1">
        <f>(Occurrence!G$3-I734)^2</f>
        <v>0.48999999999999994</v>
      </c>
      <c r="T734" s="1">
        <f>(Occurrence!H$3-J734)^2</f>
        <v>0.48999999999999994</v>
      </c>
      <c r="U734" s="1">
        <f>(Occurrence!I$3-K734)^2</f>
        <v>9.0000000000000024E-2</v>
      </c>
      <c r="V734" s="1">
        <f>(Occurrence!J$3-L734)^2</f>
        <v>0.64000000000000012</v>
      </c>
      <c r="W734" s="1">
        <f>(Occurrence!K$3-M734)^2</f>
        <v>0.16000000000000003</v>
      </c>
      <c r="X734" s="1">
        <f t="shared" si="133"/>
        <v>3.1</v>
      </c>
      <c r="Z734" s="1">
        <f t="shared" si="134"/>
        <v>0</v>
      </c>
      <c r="AA734" s="1">
        <f t="shared" si="135"/>
        <v>1</v>
      </c>
      <c r="AB734" s="1">
        <f t="shared" si="136"/>
        <v>1</v>
      </c>
      <c r="AC734" s="1">
        <f t="shared" si="137"/>
        <v>1</v>
      </c>
      <c r="AD734" s="1">
        <f t="shared" si="138"/>
        <v>1</v>
      </c>
      <c r="AE734" s="1">
        <f t="shared" si="139"/>
        <v>1</v>
      </c>
      <c r="AF734" s="1">
        <f t="shared" si="140"/>
        <v>0</v>
      </c>
      <c r="AG734" s="1">
        <f t="shared" si="141"/>
        <v>1</v>
      </c>
      <c r="AH734" s="1">
        <f t="shared" si="142"/>
        <v>1</v>
      </c>
      <c r="AI734" s="1">
        <f t="shared" si="143"/>
        <v>1</v>
      </c>
      <c r="AJ734" s="1">
        <f>SUMXMY2(Z734:AI734, Occurrence!B$3:K$3)</f>
        <v>5</v>
      </c>
      <c r="AK734" s="1">
        <f t="shared" si="144"/>
        <v>5</v>
      </c>
    </row>
    <row r="735" spans="1:37">
      <c r="A735" s="1">
        <v>734</v>
      </c>
      <c r="B735" s="1">
        <v>4252733</v>
      </c>
      <c r="C735" s="6" t="s">
        <v>47</v>
      </c>
      <c r="D735" s="1">
        <v>0.15079999999999999</v>
      </c>
      <c r="E735" s="1">
        <v>0.17860000000000001</v>
      </c>
      <c r="F735" s="1">
        <v>0.64680000000000004</v>
      </c>
      <c r="G735" s="1">
        <v>0.78169999999999995</v>
      </c>
      <c r="H735" s="1">
        <v>0.2024</v>
      </c>
      <c r="I735" s="1">
        <v>0</v>
      </c>
      <c r="J735" s="1">
        <v>0.1072</v>
      </c>
      <c r="K735" s="1">
        <v>0.11</v>
      </c>
      <c r="L735" s="1">
        <v>0.15</v>
      </c>
      <c r="M735" s="1">
        <v>0.28000000000000003</v>
      </c>
      <c r="N735" s="1">
        <f>(Occurrence!B$3-D735)^2</f>
        <v>2.2740639999999996E-2</v>
      </c>
      <c r="O735" s="1">
        <f>(Occurrence!C$3-E735)^2</f>
        <v>3.1897960000000003E-2</v>
      </c>
      <c r="P735" s="1">
        <f>(Occurrence!D$3-F735)^2</f>
        <v>0.12475023999999997</v>
      </c>
      <c r="Q735" s="1">
        <f>(Occurrence!E$3-G735)^2</f>
        <v>4.7654890000000019E-2</v>
      </c>
      <c r="R735" s="1">
        <f>(Occurrence!F$3-H735)^2</f>
        <v>4.0965759999999997E-2</v>
      </c>
      <c r="S735" s="1">
        <f>(Occurrence!G$3-I735)^2</f>
        <v>0</v>
      </c>
      <c r="T735" s="1">
        <f>(Occurrence!H$3-J735)^2</f>
        <v>0.79709184000000011</v>
      </c>
      <c r="U735" s="1">
        <f>(Occurrence!I$3-K735)^2</f>
        <v>0.79210000000000003</v>
      </c>
      <c r="V735" s="1">
        <f>(Occurrence!J$3-L735)^2</f>
        <v>2.2499999999999999E-2</v>
      </c>
      <c r="W735" s="1">
        <f>(Occurrence!K$3-M735)^2</f>
        <v>0.51839999999999997</v>
      </c>
      <c r="X735" s="1">
        <f t="shared" si="133"/>
        <v>2.3981013300000003</v>
      </c>
      <c r="Z735" s="1">
        <f t="shared" si="134"/>
        <v>0</v>
      </c>
      <c r="AA735" s="1">
        <f t="shared" si="135"/>
        <v>0</v>
      </c>
      <c r="AB735" s="1">
        <f t="shared" si="136"/>
        <v>1</v>
      </c>
      <c r="AC735" s="1">
        <f t="shared" si="137"/>
        <v>1</v>
      </c>
      <c r="AD735" s="1">
        <f t="shared" si="138"/>
        <v>0</v>
      </c>
      <c r="AE735" s="1">
        <f t="shared" si="139"/>
        <v>0</v>
      </c>
      <c r="AF735" s="1">
        <f t="shared" si="140"/>
        <v>0</v>
      </c>
      <c r="AG735" s="1">
        <f t="shared" si="141"/>
        <v>0</v>
      </c>
      <c r="AH735" s="1">
        <f t="shared" si="142"/>
        <v>0</v>
      </c>
      <c r="AI735" s="1">
        <f t="shared" si="143"/>
        <v>0</v>
      </c>
      <c r="AJ735" s="1">
        <f>SUMXMY2(Z735:AI735, Occurrence!B$3:K$3)</f>
        <v>3</v>
      </c>
      <c r="AK735" s="1">
        <f t="shared" si="144"/>
        <v>7</v>
      </c>
    </row>
    <row r="736" spans="1:37">
      <c r="A736" s="1">
        <v>735</v>
      </c>
      <c r="B736" s="1">
        <v>4252734</v>
      </c>
      <c r="C736" s="6" t="s">
        <v>47</v>
      </c>
      <c r="D736" s="1">
        <v>1E-3</v>
      </c>
      <c r="E736" s="1">
        <v>0.01</v>
      </c>
      <c r="F736" s="1">
        <v>0.67</v>
      </c>
      <c r="G736" s="1">
        <v>0.99</v>
      </c>
      <c r="H736" s="1">
        <v>0.54</v>
      </c>
      <c r="I736" s="1">
        <v>0.3</v>
      </c>
      <c r="J736" s="1">
        <v>0.87</v>
      </c>
      <c r="K736" s="1">
        <v>0.32</v>
      </c>
      <c r="L736" s="1">
        <v>0.8</v>
      </c>
      <c r="M736" s="1">
        <v>0.21</v>
      </c>
      <c r="N736" s="1">
        <f>(Occurrence!B$3-D736)^2</f>
        <v>9.9999999999999995E-7</v>
      </c>
      <c r="O736" s="1">
        <f>(Occurrence!C$3-E736)^2</f>
        <v>1E-4</v>
      </c>
      <c r="P736" s="1">
        <f>(Occurrence!D$3-F736)^2</f>
        <v>0.10889999999999997</v>
      </c>
      <c r="Q736" s="1">
        <f>(Occurrence!E$3-G736)^2</f>
        <v>1.0000000000000018E-4</v>
      </c>
      <c r="R736" s="1">
        <f>(Occurrence!F$3-H736)^2</f>
        <v>0.29160000000000003</v>
      </c>
      <c r="S736" s="1">
        <f>(Occurrence!G$3-I736)^2</f>
        <v>0.09</v>
      </c>
      <c r="T736" s="1">
        <f>(Occurrence!H$3-J736)^2</f>
        <v>1.6900000000000002E-2</v>
      </c>
      <c r="U736" s="1">
        <f>(Occurrence!I$3-K736)^2</f>
        <v>0.46239999999999992</v>
      </c>
      <c r="V736" s="1">
        <f>(Occurrence!J$3-L736)^2</f>
        <v>0.64000000000000012</v>
      </c>
      <c r="W736" s="1">
        <f>(Occurrence!K$3-M736)^2</f>
        <v>0.6241000000000001</v>
      </c>
      <c r="X736" s="1">
        <f t="shared" si="133"/>
        <v>2.2341009999999999</v>
      </c>
      <c r="Z736" s="1">
        <f t="shared" si="134"/>
        <v>0</v>
      </c>
      <c r="AA736" s="1">
        <f t="shared" si="135"/>
        <v>0</v>
      </c>
      <c r="AB736" s="1">
        <f t="shared" si="136"/>
        <v>1</v>
      </c>
      <c r="AC736" s="1">
        <f t="shared" si="137"/>
        <v>1</v>
      </c>
      <c r="AD736" s="1">
        <f t="shared" si="138"/>
        <v>1</v>
      </c>
      <c r="AE736" s="1">
        <f t="shared" si="139"/>
        <v>0</v>
      </c>
      <c r="AF736" s="1">
        <f t="shared" si="140"/>
        <v>1</v>
      </c>
      <c r="AG736" s="1">
        <f t="shared" si="141"/>
        <v>0</v>
      </c>
      <c r="AH736" s="1">
        <f t="shared" si="142"/>
        <v>1</v>
      </c>
      <c r="AI736" s="1">
        <f t="shared" si="143"/>
        <v>0</v>
      </c>
      <c r="AJ736" s="1">
        <f>SUMXMY2(Z736:AI736, Occurrence!B$3:K$3)</f>
        <v>4</v>
      </c>
      <c r="AK736" s="1">
        <f t="shared" si="144"/>
        <v>6</v>
      </c>
    </row>
    <row r="737" spans="1:37">
      <c r="A737" s="1">
        <v>736</v>
      </c>
      <c r="B737" s="1">
        <v>4252735</v>
      </c>
      <c r="C737" s="6" t="s">
        <v>47</v>
      </c>
      <c r="D737" s="1">
        <v>1E-3</v>
      </c>
      <c r="E737" s="1">
        <v>0.01</v>
      </c>
      <c r="F737" s="1">
        <v>0.67</v>
      </c>
      <c r="G737" s="1">
        <v>0.99</v>
      </c>
      <c r="H737" s="1">
        <v>0.54</v>
      </c>
      <c r="I737" s="1">
        <v>0.3</v>
      </c>
      <c r="J737" s="1">
        <v>0.87</v>
      </c>
      <c r="K737" s="1">
        <v>0.32</v>
      </c>
      <c r="L737" s="1">
        <v>0.8</v>
      </c>
      <c r="M737" s="1">
        <v>0.21</v>
      </c>
      <c r="N737" s="1">
        <f>(Occurrence!B$3-D737)^2</f>
        <v>9.9999999999999995E-7</v>
      </c>
      <c r="O737" s="1">
        <f>(Occurrence!C$3-E737)^2</f>
        <v>1E-4</v>
      </c>
      <c r="P737" s="1">
        <f>(Occurrence!D$3-F737)^2</f>
        <v>0.10889999999999997</v>
      </c>
      <c r="Q737" s="1">
        <f>(Occurrence!E$3-G737)^2</f>
        <v>1.0000000000000018E-4</v>
      </c>
      <c r="R737" s="1">
        <f>(Occurrence!F$3-H737)^2</f>
        <v>0.29160000000000003</v>
      </c>
      <c r="S737" s="1">
        <f>(Occurrence!G$3-I737)^2</f>
        <v>0.09</v>
      </c>
      <c r="T737" s="1">
        <f>(Occurrence!H$3-J737)^2</f>
        <v>1.6900000000000002E-2</v>
      </c>
      <c r="U737" s="1">
        <f>(Occurrence!I$3-K737)^2</f>
        <v>0.46239999999999992</v>
      </c>
      <c r="V737" s="1">
        <f>(Occurrence!J$3-L737)^2</f>
        <v>0.64000000000000012</v>
      </c>
      <c r="W737" s="1">
        <f>(Occurrence!K$3-M737)^2</f>
        <v>0.6241000000000001</v>
      </c>
      <c r="X737" s="1">
        <f t="shared" si="133"/>
        <v>2.2341009999999999</v>
      </c>
      <c r="Z737" s="1">
        <f t="shared" si="134"/>
        <v>0</v>
      </c>
      <c r="AA737" s="1">
        <f t="shared" si="135"/>
        <v>0</v>
      </c>
      <c r="AB737" s="1">
        <f t="shared" si="136"/>
        <v>1</v>
      </c>
      <c r="AC737" s="1">
        <f t="shared" si="137"/>
        <v>1</v>
      </c>
      <c r="AD737" s="1">
        <f t="shared" si="138"/>
        <v>1</v>
      </c>
      <c r="AE737" s="1">
        <f t="shared" si="139"/>
        <v>0</v>
      </c>
      <c r="AF737" s="1">
        <f t="shared" si="140"/>
        <v>1</v>
      </c>
      <c r="AG737" s="1">
        <f t="shared" si="141"/>
        <v>0</v>
      </c>
      <c r="AH737" s="1">
        <f t="shared" si="142"/>
        <v>1</v>
      </c>
      <c r="AI737" s="1">
        <f t="shared" si="143"/>
        <v>0</v>
      </c>
      <c r="AJ737" s="1">
        <f>SUMXMY2(Z737:AI737, Occurrence!B$3:K$3)</f>
        <v>4</v>
      </c>
      <c r="AK737" s="1">
        <f t="shared" si="144"/>
        <v>6</v>
      </c>
    </row>
    <row r="738" spans="1:37">
      <c r="A738" s="1">
        <v>737</v>
      </c>
      <c r="B738" s="1">
        <v>4252736</v>
      </c>
      <c r="C738" s="6" t="s">
        <v>48</v>
      </c>
      <c r="D738" s="1">
        <v>0.5</v>
      </c>
      <c r="E738" s="1">
        <v>0.5</v>
      </c>
      <c r="F738" s="1">
        <v>0.6</v>
      </c>
      <c r="G738" s="1">
        <v>0.4</v>
      </c>
      <c r="H738" s="1">
        <v>0.3</v>
      </c>
      <c r="I738" s="1">
        <v>0.5</v>
      </c>
      <c r="J738" s="1">
        <v>0.5</v>
      </c>
      <c r="K738" s="1">
        <v>0.5</v>
      </c>
      <c r="L738" s="1">
        <v>0.5</v>
      </c>
      <c r="M738" s="1">
        <v>0.5</v>
      </c>
      <c r="N738" s="1">
        <f>(Occurrence!B$3-D738)^2</f>
        <v>0.25</v>
      </c>
      <c r="O738" s="1">
        <f>(Occurrence!C$3-E738)^2</f>
        <v>0.25</v>
      </c>
      <c r="P738" s="1">
        <f>(Occurrence!D$3-F738)^2</f>
        <v>0.16000000000000003</v>
      </c>
      <c r="Q738" s="1">
        <f>(Occurrence!E$3-G738)^2</f>
        <v>0.36</v>
      </c>
      <c r="R738" s="1">
        <f>(Occurrence!F$3-H738)^2</f>
        <v>0.09</v>
      </c>
      <c r="S738" s="1">
        <f>(Occurrence!G$3-I738)^2</f>
        <v>0.25</v>
      </c>
      <c r="T738" s="1">
        <f>(Occurrence!H$3-J738)^2</f>
        <v>0.25</v>
      </c>
      <c r="U738" s="1">
        <f>(Occurrence!I$3-K738)^2</f>
        <v>0.25</v>
      </c>
      <c r="V738" s="1">
        <f>(Occurrence!J$3-L738)^2</f>
        <v>0.25</v>
      </c>
      <c r="W738" s="1">
        <f>(Occurrence!K$3-M738)^2</f>
        <v>0.25</v>
      </c>
      <c r="X738" s="1">
        <f t="shared" si="133"/>
        <v>2.3600000000000003</v>
      </c>
      <c r="Z738" s="1">
        <f t="shared" si="134"/>
        <v>1</v>
      </c>
      <c r="AA738" s="1">
        <f t="shared" si="135"/>
        <v>1</v>
      </c>
      <c r="AB738" s="1">
        <f t="shared" si="136"/>
        <v>1</v>
      </c>
      <c r="AC738" s="1">
        <f t="shared" si="137"/>
        <v>0</v>
      </c>
      <c r="AD738" s="1">
        <f t="shared" si="138"/>
        <v>0</v>
      </c>
      <c r="AE738" s="1">
        <f t="shared" si="139"/>
        <v>1</v>
      </c>
      <c r="AF738" s="1">
        <f t="shared" si="140"/>
        <v>1</v>
      </c>
      <c r="AG738" s="1">
        <f t="shared" si="141"/>
        <v>1</v>
      </c>
      <c r="AH738" s="1">
        <f t="shared" si="142"/>
        <v>1</v>
      </c>
      <c r="AI738" s="1">
        <f t="shared" si="143"/>
        <v>1</v>
      </c>
      <c r="AJ738" s="1">
        <f>SUMXMY2(Z738:AI738, Occurrence!B$3:K$3)</f>
        <v>5</v>
      </c>
      <c r="AK738" s="1">
        <f t="shared" si="144"/>
        <v>5</v>
      </c>
    </row>
    <row r="739" spans="1:37">
      <c r="A739" s="1">
        <v>738</v>
      </c>
      <c r="B739" s="1">
        <v>4252737</v>
      </c>
      <c r="C739" s="6" t="s">
        <v>48</v>
      </c>
      <c r="D739" s="1">
        <v>0.5</v>
      </c>
      <c r="E739" s="1">
        <v>0.1</v>
      </c>
      <c r="F739" s="1">
        <v>0.5</v>
      </c>
      <c r="G739" s="1">
        <v>0.1</v>
      </c>
      <c r="H739" s="1">
        <v>0.5</v>
      </c>
      <c r="I739" s="1">
        <v>0.5</v>
      </c>
      <c r="J739" s="1">
        <v>0.5</v>
      </c>
      <c r="K739" s="1">
        <v>0.5</v>
      </c>
      <c r="L739" s="1">
        <v>0.5</v>
      </c>
      <c r="M739" s="1">
        <v>0.5</v>
      </c>
      <c r="N739" s="1">
        <f>(Occurrence!B$3-D739)^2</f>
        <v>0.25</v>
      </c>
      <c r="O739" s="1">
        <f>(Occurrence!C$3-E739)^2</f>
        <v>1.0000000000000002E-2</v>
      </c>
      <c r="P739" s="1">
        <f>(Occurrence!D$3-F739)^2</f>
        <v>0.25</v>
      </c>
      <c r="Q739" s="1">
        <f>(Occurrence!E$3-G739)^2</f>
        <v>0.81</v>
      </c>
      <c r="R739" s="1">
        <f>(Occurrence!F$3-H739)^2</f>
        <v>0.25</v>
      </c>
      <c r="S739" s="1">
        <f>(Occurrence!G$3-I739)^2</f>
        <v>0.25</v>
      </c>
      <c r="T739" s="1">
        <f>(Occurrence!H$3-J739)^2</f>
        <v>0.25</v>
      </c>
      <c r="U739" s="1">
        <f>(Occurrence!I$3-K739)^2</f>
        <v>0.25</v>
      </c>
      <c r="V739" s="1">
        <f>(Occurrence!J$3-L739)^2</f>
        <v>0.25</v>
      </c>
      <c r="W739" s="1">
        <f>(Occurrence!K$3-M739)^2</f>
        <v>0.25</v>
      </c>
      <c r="X739" s="1">
        <f t="shared" si="133"/>
        <v>2.8200000000000003</v>
      </c>
      <c r="Z739" s="1">
        <f t="shared" si="134"/>
        <v>1</v>
      </c>
      <c r="AA739" s="1">
        <f t="shared" si="135"/>
        <v>0</v>
      </c>
      <c r="AB739" s="1">
        <f t="shared" si="136"/>
        <v>1</v>
      </c>
      <c r="AC739" s="1">
        <f t="shared" si="137"/>
        <v>0</v>
      </c>
      <c r="AD739" s="1">
        <f t="shared" si="138"/>
        <v>1</v>
      </c>
      <c r="AE739" s="1">
        <f t="shared" si="139"/>
        <v>1</v>
      </c>
      <c r="AF739" s="1">
        <f t="shared" si="140"/>
        <v>1</v>
      </c>
      <c r="AG739" s="1">
        <f t="shared" si="141"/>
        <v>1</v>
      </c>
      <c r="AH739" s="1">
        <f t="shared" si="142"/>
        <v>1</v>
      </c>
      <c r="AI739" s="1">
        <f t="shared" si="143"/>
        <v>1</v>
      </c>
      <c r="AJ739" s="1">
        <f>SUMXMY2(Z739:AI739, Occurrence!B$3:K$3)</f>
        <v>5</v>
      </c>
      <c r="AK739" s="1">
        <f t="shared" si="144"/>
        <v>5</v>
      </c>
    </row>
    <row r="740" spans="1:37">
      <c r="A740" s="1">
        <v>739</v>
      </c>
      <c r="B740" s="1">
        <v>4252738</v>
      </c>
      <c r="C740" s="6" t="s">
        <v>48</v>
      </c>
      <c r="D740" s="1">
        <v>0.5</v>
      </c>
      <c r="E740" s="1">
        <v>0.5</v>
      </c>
      <c r="F740" s="1">
        <v>0.5</v>
      </c>
      <c r="G740" s="1">
        <v>0.5</v>
      </c>
      <c r="H740" s="1">
        <v>0.5</v>
      </c>
      <c r="I740" s="1">
        <v>0.5</v>
      </c>
      <c r="J740" s="1">
        <v>0.5</v>
      </c>
      <c r="K740" s="1">
        <v>0.5</v>
      </c>
      <c r="L740" s="1">
        <v>0.5</v>
      </c>
      <c r="M740" s="1">
        <v>0.5</v>
      </c>
      <c r="N740" s="1">
        <f>(Occurrence!B$3-D740)^2</f>
        <v>0.25</v>
      </c>
      <c r="O740" s="1">
        <f>(Occurrence!C$3-E740)^2</f>
        <v>0.25</v>
      </c>
      <c r="P740" s="1">
        <f>(Occurrence!D$3-F740)^2</f>
        <v>0.25</v>
      </c>
      <c r="Q740" s="1">
        <f>(Occurrence!E$3-G740)^2</f>
        <v>0.25</v>
      </c>
      <c r="R740" s="1">
        <f>(Occurrence!F$3-H740)^2</f>
        <v>0.25</v>
      </c>
      <c r="S740" s="1">
        <f>(Occurrence!G$3-I740)^2</f>
        <v>0.25</v>
      </c>
      <c r="T740" s="1">
        <f>(Occurrence!H$3-J740)^2</f>
        <v>0.25</v>
      </c>
      <c r="U740" s="1">
        <f>(Occurrence!I$3-K740)^2</f>
        <v>0.25</v>
      </c>
      <c r="V740" s="1">
        <f>(Occurrence!J$3-L740)^2</f>
        <v>0.25</v>
      </c>
      <c r="W740" s="1">
        <f>(Occurrence!K$3-M740)^2</f>
        <v>0.25</v>
      </c>
      <c r="X740" s="1">
        <f t="shared" si="133"/>
        <v>2.5</v>
      </c>
      <c r="Z740" s="1">
        <f t="shared" si="134"/>
        <v>1</v>
      </c>
      <c r="AA740" s="1">
        <f t="shared" si="135"/>
        <v>1</v>
      </c>
      <c r="AB740" s="1">
        <f t="shared" si="136"/>
        <v>1</v>
      </c>
      <c r="AC740" s="1">
        <f t="shared" si="137"/>
        <v>1</v>
      </c>
      <c r="AD740" s="1">
        <f t="shared" si="138"/>
        <v>1</v>
      </c>
      <c r="AE740" s="1">
        <f t="shared" si="139"/>
        <v>1</v>
      </c>
      <c r="AF740" s="1">
        <f t="shared" si="140"/>
        <v>1</v>
      </c>
      <c r="AG740" s="1">
        <f t="shared" si="141"/>
        <v>1</v>
      </c>
      <c r="AH740" s="1">
        <f t="shared" si="142"/>
        <v>1</v>
      </c>
      <c r="AI740" s="1">
        <f t="shared" si="143"/>
        <v>1</v>
      </c>
      <c r="AJ740" s="1">
        <f>SUMXMY2(Z740:AI740, Occurrence!B$3:K$3)</f>
        <v>5</v>
      </c>
      <c r="AK740" s="1">
        <f t="shared" si="144"/>
        <v>5</v>
      </c>
    </row>
    <row r="741" spans="1:37">
      <c r="A741" s="1">
        <v>740</v>
      </c>
      <c r="B741" s="1">
        <v>4252739</v>
      </c>
      <c r="C741" s="6" t="s">
        <v>48</v>
      </c>
      <c r="D741" s="1">
        <v>0.2</v>
      </c>
      <c r="E741" s="1">
        <v>0.5</v>
      </c>
      <c r="F741" s="1">
        <v>0.7</v>
      </c>
      <c r="G741" s="1">
        <v>0.3</v>
      </c>
      <c r="H741" s="1">
        <v>0.67</v>
      </c>
      <c r="I741" s="1">
        <v>0.88</v>
      </c>
      <c r="J741" s="1">
        <v>0.56000000000000005</v>
      </c>
      <c r="K741" s="1">
        <v>0.45</v>
      </c>
      <c r="L741" s="1">
        <v>0.23</v>
      </c>
      <c r="M741" s="1">
        <v>0.56000000000000005</v>
      </c>
      <c r="N741" s="1">
        <f>(Occurrence!B$3-D741)^2</f>
        <v>4.0000000000000008E-2</v>
      </c>
      <c r="O741" s="1">
        <f>(Occurrence!C$3-E741)^2</f>
        <v>0.25</v>
      </c>
      <c r="P741" s="1">
        <f>(Occurrence!D$3-F741)^2</f>
        <v>9.0000000000000024E-2</v>
      </c>
      <c r="Q741" s="1">
        <f>(Occurrence!E$3-G741)^2</f>
        <v>0.48999999999999994</v>
      </c>
      <c r="R741" s="1">
        <f>(Occurrence!F$3-H741)^2</f>
        <v>0.44890000000000008</v>
      </c>
      <c r="S741" s="1">
        <f>(Occurrence!G$3-I741)^2</f>
        <v>0.77439999999999998</v>
      </c>
      <c r="T741" s="1">
        <f>(Occurrence!H$3-J741)^2</f>
        <v>0.19359999999999997</v>
      </c>
      <c r="U741" s="1">
        <f>(Occurrence!I$3-K741)^2</f>
        <v>0.30250000000000005</v>
      </c>
      <c r="V741" s="1">
        <f>(Occurrence!J$3-L741)^2</f>
        <v>5.2900000000000003E-2</v>
      </c>
      <c r="W741" s="1">
        <f>(Occurrence!K$3-M741)^2</f>
        <v>0.19359999999999997</v>
      </c>
      <c r="X741" s="1">
        <f t="shared" si="133"/>
        <v>2.8359000000000005</v>
      </c>
      <c r="Z741" s="1">
        <f t="shared" si="134"/>
        <v>0</v>
      </c>
      <c r="AA741" s="1">
        <f t="shared" si="135"/>
        <v>1</v>
      </c>
      <c r="AB741" s="1">
        <f t="shared" si="136"/>
        <v>1</v>
      </c>
      <c r="AC741" s="1">
        <f t="shared" si="137"/>
        <v>0</v>
      </c>
      <c r="AD741" s="1">
        <f t="shared" si="138"/>
        <v>1</v>
      </c>
      <c r="AE741" s="1">
        <f t="shared" si="139"/>
        <v>1</v>
      </c>
      <c r="AF741" s="1">
        <f t="shared" si="140"/>
        <v>1</v>
      </c>
      <c r="AG741" s="1">
        <f t="shared" si="141"/>
        <v>0</v>
      </c>
      <c r="AH741" s="1">
        <f t="shared" si="142"/>
        <v>0</v>
      </c>
      <c r="AI741" s="1">
        <f t="shared" si="143"/>
        <v>1</v>
      </c>
      <c r="AJ741" s="1">
        <f>SUMXMY2(Z741:AI741, Occurrence!B$3:K$3)</f>
        <v>5</v>
      </c>
      <c r="AK741" s="1">
        <f t="shared" si="144"/>
        <v>5</v>
      </c>
    </row>
    <row r="742" spans="1:37">
      <c r="A742" s="1">
        <v>741</v>
      </c>
      <c r="B742" s="1">
        <v>4252740</v>
      </c>
      <c r="C742" s="6" t="s">
        <v>48</v>
      </c>
      <c r="D742" s="1">
        <v>0.5</v>
      </c>
      <c r="E742" s="1">
        <v>0.5</v>
      </c>
      <c r="F742" s="1">
        <v>0.5</v>
      </c>
      <c r="G742" s="1">
        <v>0.5</v>
      </c>
      <c r="H742" s="1">
        <v>0.5</v>
      </c>
      <c r="I742" s="1">
        <v>0.5</v>
      </c>
      <c r="J742" s="1">
        <v>0.5</v>
      </c>
      <c r="K742" s="1">
        <v>0.5</v>
      </c>
      <c r="L742" s="1">
        <v>0.5</v>
      </c>
      <c r="M742" s="1">
        <v>0.5</v>
      </c>
      <c r="N742" s="1">
        <f>(Occurrence!B$3-D742)^2</f>
        <v>0.25</v>
      </c>
      <c r="O742" s="1">
        <f>(Occurrence!C$3-E742)^2</f>
        <v>0.25</v>
      </c>
      <c r="P742" s="1">
        <f>(Occurrence!D$3-F742)^2</f>
        <v>0.25</v>
      </c>
      <c r="Q742" s="1">
        <f>(Occurrence!E$3-G742)^2</f>
        <v>0.25</v>
      </c>
      <c r="R742" s="1">
        <f>(Occurrence!F$3-H742)^2</f>
        <v>0.25</v>
      </c>
      <c r="S742" s="1">
        <f>(Occurrence!G$3-I742)^2</f>
        <v>0.25</v>
      </c>
      <c r="T742" s="1">
        <f>(Occurrence!H$3-J742)^2</f>
        <v>0.25</v>
      </c>
      <c r="U742" s="1">
        <f>(Occurrence!I$3-K742)^2</f>
        <v>0.25</v>
      </c>
      <c r="V742" s="1">
        <f>(Occurrence!J$3-L742)^2</f>
        <v>0.25</v>
      </c>
      <c r="W742" s="1">
        <f>(Occurrence!K$3-M742)^2</f>
        <v>0.25</v>
      </c>
      <c r="X742" s="1">
        <f t="shared" si="133"/>
        <v>2.5</v>
      </c>
      <c r="Z742" s="1">
        <f t="shared" si="134"/>
        <v>1</v>
      </c>
      <c r="AA742" s="1">
        <f t="shared" si="135"/>
        <v>1</v>
      </c>
      <c r="AB742" s="1">
        <f t="shared" si="136"/>
        <v>1</v>
      </c>
      <c r="AC742" s="1">
        <f t="shared" si="137"/>
        <v>1</v>
      </c>
      <c r="AD742" s="1">
        <f t="shared" si="138"/>
        <v>1</v>
      </c>
      <c r="AE742" s="1">
        <f t="shared" si="139"/>
        <v>1</v>
      </c>
      <c r="AF742" s="1">
        <f t="shared" si="140"/>
        <v>1</v>
      </c>
      <c r="AG742" s="1">
        <f t="shared" si="141"/>
        <v>1</v>
      </c>
      <c r="AH742" s="1">
        <f t="shared" si="142"/>
        <v>1</v>
      </c>
      <c r="AI742" s="1">
        <f t="shared" si="143"/>
        <v>1</v>
      </c>
      <c r="AJ742" s="1">
        <f>SUMXMY2(Z742:AI742, Occurrence!B$3:K$3)</f>
        <v>5</v>
      </c>
      <c r="AK742" s="1">
        <f t="shared" si="144"/>
        <v>5</v>
      </c>
    </row>
    <row r="743" spans="1:37">
      <c r="A743" s="1">
        <v>742</v>
      </c>
      <c r="B743" s="1">
        <v>4252741</v>
      </c>
      <c r="C743" s="6" t="s">
        <v>48</v>
      </c>
      <c r="D743" s="1">
        <v>0.49</v>
      </c>
      <c r="E743" s="1">
        <v>0.39</v>
      </c>
      <c r="F743" s="1">
        <v>0.5</v>
      </c>
      <c r="G743" s="1">
        <v>0.6</v>
      </c>
      <c r="H743" s="1">
        <v>0.54</v>
      </c>
      <c r="I743" s="1">
        <v>0.3</v>
      </c>
      <c r="J743" s="1">
        <v>0.5</v>
      </c>
      <c r="K743" s="1">
        <v>0.4</v>
      </c>
      <c r="L743" s="1">
        <v>0.7</v>
      </c>
      <c r="M743" s="1">
        <v>0.3</v>
      </c>
      <c r="N743" s="1">
        <f>(Occurrence!B$3-D743)^2</f>
        <v>0.24009999999999998</v>
      </c>
      <c r="O743" s="1">
        <f>(Occurrence!C$3-E743)^2</f>
        <v>0.15210000000000001</v>
      </c>
      <c r="P743" s="1">
        <f>(Occurrence!D$3-F743)^2</f>
        <v>0.25</v>
      </c>
      <c r="Q743" s="1">
        <f>(Occurrence!E$3-G743)^2</f>
        <v>0.16000000000000003</v>
      </c>
      <c r="R743" s="1">
        <f>(Occurrence!F$3-H743)^2</f>
        <v>0.29160000000000003</v>
      </c>
      <c r="S743" s="1">
        <f>(Occurrence!G$3-I743)^2</f>
        <v>0.09</v>
      </c>
      <c r="T743" s="1">
        <f>(Occurrence!H$3-J743)^2</f>
        <v>0.25</v>
      </c>
      <c r="U743" s="1">
        <f>(Occurrence!I$3-K743)^2</f>
        <v>0.36</v>
      </c>
      <c r="V743" s="1">
        <f>(Occurrence!J$3-L743)^2</f>
        <v>0.48999999999999994</v>
      </c>
      <c r="W743" s="1">
        <f>(Occurrence!K$3-M743)^2</f>
        <v>0.48999999999999994</v>
      </c>
      <c r="X743" s="1">
        <f t="shared" si="133"/>
        <v>2.7737999999999996</v>
      </c>
      <c r="Z743" s="1">
        <f t="shared" si="134"/>
        <v>0</v>
      </c>
      <c r="AA743" s="1">
        <f t="shared" si="135"/>
        <v>0</v>
      </c>
      <c r="AB743" s="1">
        <f t="shared" si="136"/>
        <v>1</v>
      </c>
      <c r="AC743" s="1">
        <f t="shared" si="137"/>
        <v>1</v>
      </c>
      <c r="AD743" s="1">
        <f t="shared" si="138"/>
        <v>1</v>
      </c>
      <c r="AE743" s="1">
        <f t="shared" si="139"/>
        <v>0</v>
      </c>
      <c r="AF743" s="1">
        <f t="shared" si="140"/>
        <v>1</v>
      </c>
      <c r="AG743" s="1">
        <f t="shared" si="141"/>
        <v>0</v>
      </c>
      <c r="AH743" s="1">
        <f t="shared" si="142"/>
        <v>1</v>
      </c>
      <c r="AI743" s="1">
        <f t="shared" si="143"/>
        <v>0</v>
      </c>
      <c r="AJ743" s="1">
        <f>SUMXMY2(Z743:AI743, Occurrence!B$3:K$3)</f>
        <v>4</v>
      </c>
      <c r="AK743" s="1">
        <f t="shared" si="144"/>
        <v>6</v>
      </c>
    </row>
    <row r="744" spans="1:37">
      <c r="A744" s="1">
        <v>743</v>
      </c>
      <c r="B744" s="1">
        <v>4252742</v>
      </c>
      <c r="C744" s="6" t="s">
        <v>48</v>
      </c>
      <c r="D744" s="1">
        <v>0.49990000000000001</v>
      </c>
      <c r="E744" s="1">
        <v>0.3972</v>
      </c>
      <c r="F744" s="1">
        <v>0.50009999999999999</v>
      </c>
      <c r="G744" s="1">
        <v>1</v>
      </c>
      <c r="H744" s="1">
        <v>0.6028</v>
      </c>
      <c r="I744" s="1">
        <v>0.5887</v>
      </c>
      <c r="J744" s="1">
        <v>0.15040000000000001</v>
      </c>
      <c r="K744" s="1">
        <v>0.30449999999999999</v>
      </c>
      <c r="L744" s="1">
        <v>0.89349999999999996</v>
      </c>
      <c r="M744" s="1">
        <v>0.55430000000000001</v>
      </c>
      <c r="N744" s="1">
        <f>(Occurrence!B$3-D744)^2</f>
        <v>0.24990001000000001</v>
      </c>
      <c r="O744" s="1">
        <f>(Occurrence!C$3-E744)^2</f>
        <v>0.15776783999999999</v>
      </c>
      <c r="P744" s="1">
        <f>(Occurrence!D$3-F744)^2</f>
        <v>0.24990001000000001</v>
      </c>
      <c r="Q744" s="1">
        <f>(Occurrence!E$3-G744)^2</f>
        <v>0</v>
      </c>
      <c r="R744" s="1">
        <f>(Occurrence!F$3-H744)^2</f>
        <v>0.36336784</v>
      </c>
      <c r="S744" s="1">
        <f>(Occurrence!G$3-I744)^2</f>
        <v>0.34656768999999998</v>
      </c>
      <c r="T744" s="1">
        <f>(Occurrence!H$3-J744)^2</f>
        <v>0.72182016000000004</v>
      </c>
      <c r="U744" s="1">
        <f>(Occurrence!I$3-K744)^2</f>
        <v>0.48372025000000002</v>
      </c>
      <c r="V744" s="1">
        <f>(Occurrence!J$3-L744)^2</f>
        <v>0.79834224999999992</v>
      </c>
      <c r="W744" s="1">
        <f>(Occurrence!K$3-M744)^2</f>
        <v>0.19864848999999998</v>
      </c>
      <c r="X744" s="1">
        <f t="shared" si="133"/>
        <v>3.57003454</v>
      </c>
      <c r="Z744" s="1">
        <f t="shared" si="134"/>
        <v>0</v>
      </c>
      <c r="AA744" s="1">
        <f t="shared" si="135"/>
        <v>0</v>
      </c>
      <c r="AB744" s="1">
        <f t="shared" si="136"/>
        <v>1</v>
      </c>
      <c r="AC744" s="1">
        <f t="shared" si="137"/>
        <v>1</v>
      </c>
      <c r="AD744" s="1">
        <f t="shared" si="138"/>
        <v>1</v>
      </c>
      <c r="AE744" s="1">
        <f t="shared" si="139"/>
        <v>1</v>
      </c>
      <c r="AF744" s="1">
        <f t="shared" si="140"/>
        <v>0</v>
      </c>
      <c r="AG744" s="1">
        <f t="shared" si="141"/>
        <v>0</v>
      </c>
      <c r="AH744" s="1">
        <f t="shared" si="142"/>
        <v>1</v>
      </c>
      <c r="AI744" s="1">
        <f t="shared" si="143"/>
        <v>1</v>
      </c>
      <c r="AJ744" s="1">
        <f>SUMXMY2(Z744:AI744, Occurrence!B$3:K$3)</f>
        <v>5</v>
      </c>
      <c r="AK744" s="1">
        <f t="shared" si="144"/>
        <v>5</v>
      </c>
    </row>
    <row r="745" spans="1:37">
      <c r="A745" s="1">
        <v>744</v>
      </c>
      <c r="B745" s="1">
        <v>4252743</v>
      </c>
      <c r="C745" s="6" t="s">
        <v>48</v>
      </c>
      <c r="D745" s="1">
        <v>0.49569999999999997</v>
      </c>
      <c r="E745" s="1">
        <v>0.39389999999999997</v>
      </c>
      <c r="F745" s="1">
        <v>0.49590000000000001</v>
      </c>
      <c r="G745" s="1">
        <v>0.49590000000000001</v>
      </c>
      <c r="H745" s="1">
        <v>0.99160000000000004</v>
      </c>
      <c r="I745" s="1">
        <v>0.5</v>
      </c>
      <c r="J745" s="1">
        <v>1</v>
      </c>
      <c r="K745" s="1">
        <v>0.61229999999999996</v>
      </c>
      <c r="L745" s="1">
        <v>0.24349999999999999</v>
      </c>
      <c r="M745" s="1">
        <v>0.4325</v>
      </c>
      <c r="N745" s="1">
        <f>(Occurrence!B$3-D745)^2</f>
        <v>0.24571848999999998</v>
      </c>
      <c r="O745" s="1">
        <f>(Occurrence!C$3-E745)^2</f>
        <v>0.15515720999999999</v>
      </c>
      <c r="P745" s="1">
        <f>(Occurrence!D$3-F745)^2</f>
        <v>0.25411680999999997</v>
      </c>
      <c r="Q745" s="1">
        <f>(Occurrence!E$3-G745)^2</f>
        <v>0.25411680999999997</v>
      </c>
      <c r="R745" s="1">
        <f>(Occurrence!F$3-H745)^2</f>
        <v>0.98327056000000013</v>
      </c>
      <c r="S745" s="1">
        <f>(Occurrence!G$3-I745)^2</f>
        <v>0.25</v>
      </c>
      <c r="T745" s="1">
        <f>(Occurrence!H$3-J745)^2</f>
        <v>0</v>
      </c>
      <c r="U745" s="1">
        <f>(Occurrence!I$3-K745)^2</f>
        <v>0.15031129000000004</v>
      </c>
      <c r="V745" s="1">
        <f>(Occurrence!J$3-L745)^2</f>
        <v>5.9292249999999998E-2</v>
      </c>
      <c r="W745" s="1">
        <f>(Occurrence!K$3-M745)^2</f>
        <v>0.32205624999999999</v>
      </c>
      <c r="X745" s="1">
        <f t="shared" si="133"/>
        <v>2.67403967</v>
      </c>
      <c r="Z745" s="1">
        <f t="shared" si="134"/>
        <v>0</v>
      </c>
      <c r="AA745" s="1">
        <f t="shared" si="135"/>
        <v>0</v>
      </c>
      <c r="AB745" s="1">
        <f t="shared" si="136"/>
        <v>0</v>
      </c>
      <c r="AC745" s="1">
        <f t="shared" si="137"/>
        <v>0</v>
      </c>
      <c r="AD745" s="1">
        <f t="shared" si="138"/>
        <v>1</v>
      </c>
      <c r="AE745" s="1">
        <f t="shared" si="139"/>
        <v>1</v>
      </c>
      <c r="AF745" s="1">
        <f t="shared" si="140"/>
        <v>1</v>
      </c>
      <c r="AG745" s="1">
        <f t="shared" si="141"/>
        <v>1</v>
      </c>
      <c r="AH745" s="1">
        <f t="shared" si="142"/>
        <v>0</v>
      </c>
      <c r="AI745" s="1">
        <f t="shared" si="143"/>
        <v>0</v>
      </c>
      <c r="AJ745" s="1">
        <f>SUMXMY2(Z745:AI745, Occurrence!B$3:K$3)</f>
        <v>5</v>
      </c>
      <c r="AK745" s="1">
        <f t="shared" si="144"/>
        <v>5</v>
      </c>
    </row>
    <row r="746" spans="1:37">
      <c r="A746" s="1">
        <v>745</v>
      </c>
      <c r="B746" s="1">
        <v>4252744</v>
      </c>
      <c r="C746" s="6" t="s">
        <v>48</v>
      </c>
      <c r="D746" s="1">
        <v>0.49990000000000001</v>
      </c>
      <c r="E746" s="1">
        <v>0.3972</v>
      </c>
      <c r="F746" s="1">
        <v>0.50009999999999999</v>
      </c>
      <c r="G746" s="1">
        <v>0.6028</v>
      </c>
      <c r="H746" s="1">
        <v>0.5</v>
      </c>
      <c r="I746" s="1">
        <v>0.5</v>
      </c>
      <c r="J746" s="1">
        <v>0.5</v>
      </c>
      <c r="K746" s="1">
        <v>0.5</v>
      </c>
      <c r="L746" s="1">
        <v>0.5</v>
      </c>
      <c r="M746" s="1">
        <v>0.5</v>
      </c>
      <c r="N746" s="1">
        <f>(Occurrence!B$3-D746)^2</f>
        <v>0.24990001000000001</v>
      </c>
      <c r="O746" s="1">
        <f>(Occurrence!C$3-E746)^2</f>
        <v>0.15776783999999999</v>
      </c>
      <c r="P746" s="1">
        <f>(Occurrence!D$3-F746)^2</f>
        <v>0.24990001000000001</v>
      </c>
      <c r="Q746" s="1">
        <f>(Occurrence!E$3-G746)^2</f>
        <v>0.15776783999999999</v>
      </c>
      <c r="R746" s="1">
        <f>(Occurrence!F$3-H746)^2</f>
        <v>0.25</v>
      </c>
      <c r="S746" s="1">
        <f>(Occurrence!G$3-I746)^2</f>
        <v>0.25</v>
      </c>
      <c r="T746" s="1">
        <f>(Occurrence!H$3-J746)^2</f>
        <v>0.25</v>
      </c>
      <c r="U746" s="1">
        <f>(Occurrence!I$3-K746)^2</f>
        <v>0.25</v>
      </c>
      <c r="V746" s="1">
        <f>(Occurrence!J$3-L746)^2</f>
        <v>0.25</v>
      </c>
      <c r="W746" s="1">
        <f>(Occurrence!K$3-M746)^2</f>
        <v>0.25</v>
      </c>
      <c r="X746" s="1">
        <f t="shared" si="133"/>
        <v>2.3153356999999999</v>
      </c>
      <c r="Z746" s="1">
        <f t="shared" si="134"/>
        <v>0</v>
      </c>
      <c r="AA746" s="1">
        <f t="shared" si="135"/>
        <v>0</v>
      </c>
      <c r="AB746" s="1">
        <f t="shared" si="136"/>
        <v>1</v>
      </c>
      <c r="AC746" s="1">
        <f t="shared" si="137"/>
        <v>1</v>
      </c>
      <c r="AD746" s="1">
        <f t="shared" si="138"/>
        <v>1</v>
      </c>
      <c r="AE746" s="1">
        <f t="shared" si="139"/>
        <v>1</v>
      </c>
      <c r="AF746" s="1">
        <f t="shared" si="140"/>
        <v>1</v>
      </c>
      <c r="AG746" s="1">
        <f t="shared" si="141"/>
        <v>1</v>
      </c>
      <c r="AH746" s="1">
        <f t="shared" si="142"/>
        <v>1</v>
      </c>
      <c r="AI746" s="1">
        <f t="shared" si="143"/>
        <v>1</v>
      </c>
      <c r="AJ746" s="1">
        <f>SUMXMY2(Z746:AI746, Occurrence!B$3:K$3)</f>
        <v>3</v>
      </c>
      <c r="AK746" s="1">
        <f t="shared" si="144"/>
        <v>7</v>
      </c>
    </row>
    <row r="747" spans="1:37">
      <c r="A747" s="1">
        <v>746</v>
      </c>
      <c r="B747" s="1">
        <v>4252745</v>
      </c>
      <c r="C747" s="6" t="s">
        <v>48</v>
      </c>
      <c r="D747" s="1">
        <v>0.5</v>
      </c>
      <c r="E747" s="1">
        <v>0.5</v>
      </c>
      <c r="F747" s="1">
        <v>0.5</v>
      </c>
      <c r="G747" s="1">
        <v>0.5</v>
      </c>
      <c r="H747" s="1">
        <v>0.5</v>
      </c>
      <c r="I747" s="1">
        <v>0.5</v>
      </c>
      <c r="J747" s="1">
        <v>0.5</v>
      </c>
      <c r="K747" s="1">
        <v>0.5</v>
      </c>
      <c r="L747" s="1">
        <v>0.5</v>
      </c>
      <c r="M747" s="1">
        <v>0.5</v>
      </c>
      <c r="N747" s="1">
        <f>(Occurrence!B$3-D747)^2</f>
        <v>0.25</v>
      </c>
      <c r="O747" s="1">
        <f>(Occurrence!C$3-E747)^2</f>
        <v>0.25</v>
      </c>
      <c r="P747" s="1">
        <f>(Occurrence!D$3-F747)^2</f>
        <v>0.25</v>
      </c>
      <c r="Q747" s="1">
        <f>(Occurrence!E$3-G747)^2</f>
        <v>0.25</v>
      </c>
      <c r="R747" s="1">
        <f>(Occurrence!F$3-H747)^2</f>
        <v>0.25</v>
      </c>
      <c r="S747" s="1">
        <f>(Occurrence!G$3-I747)^2</f>
        <v>0.25</v>
      </c>
      <c r="T747" s="1">
        <f>(Occurrence!H$3-J747)^2</f>
        <v>0.25</v>
      </c>
      <c r="U747" s="1">
        <f>(Occurrence!I$3-K747)^2</f>
        <v>0.25</v>
      </c>
      <c r="V747" s="1">
        <f>(Occurrence!J$3-L747)^2</f>
        <v>0.25</v>
      </c>
      <c r="W747" s="1">
        <f>(Occurrence!K$3-M747)^2</f>
        <v>0.25</v>
      </c>
      <c r="X747" s="1">
        <f t="shared" si="133"/>
        <v>2.5</v>
      </c>
      <c r="Z747" s="1">
        <f t="shared" si="134"/>
        <v>1</v>
      </c>
      <c r="AA747" s="1">
        <f t="shared" si="135"/>
        <v>1</v>
      </c>
      <c r="AB747" s="1">
        <f t="shared" si="136"/>
        <v>1</v>
      </c>
      <c r="AC747" s="1">
        <f t="shared" si="137"/>
        <v>1</v>
      </c>
      <c r="AD747" s="1">
        <f t="shared" si="138"/>
        <v>1</v>
      </c>
      <c r="AE747" s="1">
        <f t="shared" si="139"/>
        <v>1</v>
      </c>
      <c r="AF747" s="1">
        <f t="shared" si="140"/>
        <v>1</v>
      </c>
      <c r="AG747" s="1">
        <f t="shared" si="141"/>
        <v>1</v>
      </c>
      <c r="AH747" s="1">
        <f t="shared" si="142"/>
        <v>1</v>
      </c>
      <c r="AI747" s="1">
        <f t="shared" si="143"/>
        <v>1</v>
      </c>
      <c r="AJ747" s="1">
        <f>SUMXMY2(Z747:AI747, Occurrence!B$3:K$3)</f>
        <v>5</v>
      </c>
      <c r="AK747" s="1">
        <f t="shared" si="144"/>
        <v>5</v>
      </c>
    </row>
    <row r="748" spans="1:37">
      <c r="A748" s="1">
        <v>747</v>
      </c>
      <c r="B748" s="1">
        <v>4252746</v>
      </c>
      <c r="C748" s="6" t="s">
        <v>48</v>
      </c>
      <c r="D748" s="1">
        <v>0.18820000000000001</v>
      </c>
      <c r="E748" s="1">
        <v>0.72360000000000002</v>
      </c>
      <c r="F748" s="1">
        <v>0.23180000000000001</v>
      </c>
      <c r="G748" s="1">
        <v>0.66520000000000001</v>
      </c>
      <c r="H748" s="1">
        <v>0.92730000000000001</v>
      </c>
      <c r="I748" s="1">
        <v>0.43669999999999998</v>
      </c>
      <c r="J748" s="1">
        <v>0.19259999999999999</v>
      </c>
      <c r="K748" s="1">
        <v>0.54369999999999996</v>
      </c>
      <c r="L748" s="1">
        <v>0.97650000000000003</v>
      </c>
      <c r="M748" s="1">
        <v>0.56820000000000004</v>
      </c>
      <c r="N748" s="1">
        <f>(Occurrence!B$3-D748)^2</f>
        <v>3.5419240000000005E-2</v>
      </c>
      <c r="O748" s="1">
        <f>(Occurrence!C$3-E748)^2</f>
        <v>0.52359696</v>
      </c>
      <c r="P748" s="1">
        <f>(Occurrence!D$3-F748)^2</f>
        <v>0.59013123999999995</v>
      </c>
      <c r="Q748" s="1">
        <f>(Occurrence!E$3-G748)^2</f>
        <v>0.11209103999999999</v>
      </c>
      <c r="R748" s="1">
        <f>(Occurrence!F$3-H748)^2</f>
        <v>0.85988529000000002</v>
      </c>
      <c r="S748" s="1">
        <f>(Occurrence!G$3-I748)^2</f>
        <v>0.19070688999999999</v>
      </c>
      <c r="T748" s="1">
        <f>(Occurrence!H$3-J748)^2</f>
        <v>0.65189476000000002</v>
      </c>
      <c r="U748" s="1">
        <f>(Occurrence!I$3-K748)^2</f>
        <v>0.20820969000000003</v>
      </c>
      <c r="V748" s="1">
        <f>(Occurrence!J$3-L748)^2</f>
        <v>0.9535522500000001</v>
      </c>
      <c r="W748" s="1">
        <f>(Occurrence!K$3-M748)^2</f>
        <v>0.18645123999999996</v>
      </c>
      <c r="X748" s="1">
        <f t="shared" si="133"/>
        <v>4.3119385999999995</v>
      </c>
      <c r="Z748" s="1">
        <f t="shared" si="134"/>
        <v>0</v>
      </c>
      <c r="AA748" s="1">
        <f t="shared" si="135"/>
        <v>1</v>
      </c>
      <c r="AB748" s="1">
        <f t="shared" si="136"/>
        <v>0</v>
      </c>
      <c r="AC748" s="1">
        <f t="shared" si="137"/>
        <v>1</v>
      </c>
      <c r="AD748" s="1">
        <f t="shared" si="138"/>
        <v>1</v>
      </c>
      <c r="AE748" s="1">
        <f t="shared" si="139"/>
        <v>0</v>
      </c>
      <c r="AF748" s="1">
        <f t="shared" si="140"/>
        <v>0</v>
      </c>
      <c r="AG748" s="1">
        <f t="shared" si="141"/>
        <v>1</v>
      </c>
      <c r="AH748" s="1">
        <f t="shared" si="142"/>
        <v>1</v>
      </c>
      <c r="AI748" s="1">
        <f t="shared" si="143"/>
        <v>1</v>
      </c>
      <c r="AJ748" s="1">
        <f>SUMXMY2(Z748:AI748, Occurrence!B$3:K$3)</f>
        <v>5</v>
      </c>
      <c r="AK748" s="1">
        <f t="shared" si="144"/>
        <v>5</v>
      </c>
    </row>
    <row r="749" spans="1:37">
      <c r="A749" s="1">
        <v>748</v>
      </c>
      <c r="B749" s="1">
        <v>4252747</v>
      </c>
      <c r="C749" s="6" t="s">
        <v>48</v>
      </c>
      <c r="D749" s="1">
        <v>0.49990000000000001</v>
      </c>
      <c r="E749" s="1">
        <v>0.3972</v>
      </c>
      <c r="F749" s="1">
        <v>0.50009999999999999</v>
      </c>
      <c r="G749" s="1">
        <v>0.6028</v>
      </c>
      <c r="H749" s="1">
        <v>0.5</v>
      </c>
      <c r="I749" s="1">
        <v>0.4</v>
      </c>
      <c r="J749" s="1">
        <v>0.6</v>
      </c>
      <c r="K749" s="1">
        <v>0.5</v>
      </c>
      <c r="L749" s="1">
        <v>0.4</v>
      </c>
      <c r="M749" s="1">
        <v>0.6</v>
      </c>
      <c r="N749" s="1">
        <f>(Occurrence!B$3-D749)^2</f>
        <v>0.24990001000000001</v>
      </c>
      <c r="O749" s="1">
        <f>(Occurrence!C$3-E749)^2</f>
        <v>0.15776783999999999</v>
      </c>
      <c r="P749" s="1">
        <f>(Occurrence!D$3-F749)^2</f>
        <v>0.24990001000000001</v>
      </c>
      <c r="Q749" s="1">
        <f>(Occurrence!E$3-G749)^2</f>
        <v>0.15776783999999999</v>
      </c>
      <c r="R749" s="1">
        <f>(Occurrence!F$3-H749)^2</f>
        <v>0.25</v>
      </c>
      <c r="S749" s="1">
        <f>(Occurrence!G$3-I749)^2</f>
        <v>0.16000000000000003</v>
      </c>
      <c r="T749" s="1">
        <f>(Occurrence!H$3-J749)^2</f>
        <v>0.16000000000000003</v>
      </c>
      <c r="U749" s="1">
        <f>(Occurrence!I$3-K749)^2</f>
        <v>0.25</v>
      </c>
      <c r="V749" s="1">
        <f>(Occurrence!J$3-L749)^2</f>
        <v>0.16000000000000003</v>
      </c>
      <c r="W749" s="1">
        <f>(Occurrence!K$3-M749)^2</f>
        <v>0.16000000000000003</v>
      </c>
      <c r="X749" s="1">
        <f t="shared" si="133"/>
        <v>1.9553357000000005</v>
      </c>
      <c r="Z749" s="1">
        <f t="shared" si="134"/>
        <v>0</v>
      </c>
      <c r="AA749" s="1">
        <f t="shared" si="135"/>
        <v>0</v>
      </c>
      <c r="AB749" s="1">
        <f t="shared" si="136"/>
        <v>1</v>
      </c>
      <c r="AC749" s="1">
        <f t="shared" si="137"/>
        <v>1</v>
      </c>
      <c r="AD749" s="1">
        <f t="shared" si="138"/>
        <v>1</v>
      </c>
      <c r="AE749" s="1">
        <f t="shared" si="139"/>
        <v>0</v>
      </c>
      <c r="AF749" s="1">
        <f t="shared" si="140"/>
        <v>1</v>
      </c>
      <c r="AG749" s="1">
        <f t="shared" si="141"/>
        <v>1</v>
      </c>
      <c r="AH749" s="1">
        <f t="shared" si="142"/>
        <v>0</v>
      </c>
      <c r="AI749" s="1">
        <f t="shared" si="143"/>
        <v>1</v>
      </c>
      <c r="AJ749" s="1">
        <f>SUMXMY2(Z749:AI749, Occurrence!B$3:K$3)</f>
        <v>1</v>
      </c>
      <c r="AK749" s="1">
        <f t="shared" si="144"/>
        <v>9</v>
      </c>
    </row>
    <row r="750" spans="1:37">
      <c r="A750" s="1">
        <v>749</v>
      </c>
      <c r="B750" s="1">
        <v>4252748</v>
      </c>
      <c r="C750" s="6" t="s">
        <v>48</v>
      </c>
      <c r="D750" s="1">
        <v>0.49990000000000001</v>
      </c>
      <c r="E750" s="1">
        <v>0.3972</v>
      </c>
      <c r="F750" s="1">
        <v>0.50009999999999999</v>
      </c>
      <c r="G750" s="1">
        <v>0.6028</v>
      </c>
      <c r="H750" s="1">
        <v>0.5</v>
      </c>
      <c r="I750" s="1">
        <v>0.5</v>
      </c>
      <c r="J750" s="1">
        <v>0.5</v>
      </c>
      <c r="K750" s="1">
        <v>0.5</v>
      </c>
      <c r="L750" s="1">
        <v>0.5</v>
      </c>
      <c r="M750" s="1">
        <v>0.5</v>
      </c>
      <c r="N750" s="1">
        <f>(Occurrence!B$3-D750)^2</f>
        <v>0.24990001000000001</v>
      </c>
      <c r="O750" s="1">
        <f>(Occurrence!C$3-E750)^2</f>
        <v>0.15776783999999999</v>
      </c>
      <c r="P750" s="1">
        <f>(Occurrence!D$3-F750)^2</f>
        <v>0.24990001000000001</v>
      </c>
      <c r="Q750" s="1">
        <f>(Occurrence!E$3-G750)^2</f>
        <v>0.15776783999999999</v>
      </c>
      <c r="R750" s="1">
        <f>(Occurrence!F$3-H750)^2</f>
        <v>0.25</v>
      </c>
      <c r="S750" s="1">
        <f>(Occurrence!G$3-I750)^2</f>
        <v>0.25</v>
      </c>
      <c r="T750" s="1">
        <f>(Occurrence!H$3-J750)^2</f>
        <v>0.25</v>
      </c>
      <c r="U750" s="1">
        <f>(Occurrence!I$3-K750)^2</f>
        <v>0.25</v>
      </c>
      <c r="V750" s="1">
        <f>(Occurrence!J$3-L750)^2</f>
        <v>0.25</v>
      </c>
      <c r="W750" s="1">
        <f>(Occurrence!K$3-M750)^2</f>
        <v>0.25</v>
      </c>
      <c r="X750" s="1">
        <f t="shared" si="133"/>
        <v>2.3153356999999999</v>
      </c>
      <c r="Z750" s="1">
        <f t="shared" si="134"/>
        <v>0</v>
      </c>
      <c r="AA750" s="1">
        <f t="shared" si="135"/>
        <v>0</v>
      </c>
      <c r="AB750" s="1">
        <f t="shared" si="136"/>
        <v>1</v>
      </c>
      <c r="AC750" s="1">
        <f t="shared" si="137"/>
        <v>1</v>
      </c>
      <c r="AD750" s="1">
        <f t="shared" si="138"/>
        <v>1</v>
      </c>
      <c r="AE750" s="1">
        <f t="shared" si="139"/>
        <v>1</v>
      </c>
      <c r="AF750" s="1">
        <f t="shared" si="140"/>
        <v>1</v>
      </c>
      <c r="AG750" s="1">
        <f t="shared" si="141"/>
        <v>1</v>
      </c>
      <c r="AH750" s="1">
        <f t="shared" si="142"/>
        <v>1</v>
      </c>
      <c r="AI750" s="1">
        <f t="shared" si="143"/>
        <v>1</v>
      </c>
      <c r="AJ750" s="1">
        <f>SUMXMY2(Z750:AI750, Occurrence!B$3:K$3)</f>
        <v>3</v>
      </c>
      <c r="AK750" s="1">
        <f t="shared" si="144"/>
        <v>7</v>
      </c>
    </row>
    <row r="751" spans="1:37">
      <c r="A751" s="1">
        <v>750</v>
      </c>
      <c r="B751" s="1">
        <v>4252749</v>
      </c>
      <c r="C751" s="6" t="s">
        <v>48</v>
      </c>
      <c r="D751" s="1">
        <v>0.49990000000000001</v>
      </c>
      <c r="E751" s="1">
        <v>0.6028</v>
      </c>
      <c r="F751" s="1">
        <v>0.501</v>
      </c>
      <c r="G751" s="1">
        <v>0.6028</v>
      </c>
      <c r="H751" s="1">
        <v>0.37</v>
      </c>
      <c r="I751" s="1">
        <v>0.49</v>
      </c>
      <c r="J751" s="1">
        <v>0.23</v>
      </c>
      <c r="K751" s="1">
        <v>0.82099999999999995</v>
      </c>
      <c r="L751" s="1">
        <v>0.70809999999999995</v>
      </c>
      <c r="M751" s="1">
        <v>0.95430000000000004</v>
      </c>
      <c r="N751" s="1">
        <f>(Occurrence!B$3-D751)^2</f>
        <v>0.24990001000000001</v>
      </c>
      <c r="O751" s="1">
        <f>(Occurrence!C$3-E751)^2</f>
        <v>0.36336784</v>
      </c>
      <c r="P751" s="1">
        <f>(Occurrence!D$3-F751)^2</f>
        <v>0.249001</v>
      </c>
      <c r="Q751" s="1">
        <f>(Occurrence!E$3-G751)^2</f>
        <v>0.15776783999999999</v>
      </c>
      <c r="R751" s="1">
        <f>(Occurrence!F$3-H751)^2</f>
        <v>0.13689999999999999</v>
      </c>
      <c r="S751" s="1">
        <f>(Occurrence!G$3-I751)^2</f>
        <v>0.24009999999999998</v>
      </c>
      <c r="T751" s="1">
        <f>(Occurrence!H$3-J751)^2</f>
        <v>0.59289999999999998</v>
      </c>
      <c r="U751" s="1">
        <f>(Occurrence!I$3-K751)^2</f>
        <v>3.2041000000000014E-2</v>
      </c>
      <c r="V751" s="1">
        <f>(Occurrence!J$3-L751)^2</f>
        <v>0.50140560999999995</v>
      </c>
      <c r="W751" s="1">
        <f>(Occurrence!K$3-M751)^2</f>
        <v>2.0884899999999967E-3</v>
      </c>
      <c r="X751" s="1">
        <f t="shared" si="133"/>
        <v>2.5254717899999997</v>
      </c>
      <c r="Z751" s="1">
        <f t="shared" si="134"/>
        <v>0</v>
      </c>
      <c r="AA751" s="1">
        <f t="shared" si="135"/>
        <v>1</v>
      </c>
      <c r="AB751" s="1">
        <f t="shared" si="136"/>
        <v>1</v>
      </c>
      <c r="AC751" s="1">
        <f t="shared" si="137"/>
        <v>1</v>
      </c>
      <c r="AD751" s="1">
        <f t="shared" si="138"/>
        <v>0</v>
      </c>
      <c r="AE751" s="1">
        <f t="shared" si="139"/>
        <v>0</v>
      </c>
      <c r="AF751" s="1">
        <f t="shared" si="140"/>
        <v>0</v>
      </c>
      <c r="AG751" s="1">
        <f t="shared" si="141"/>
        <v>1</v>
      </c>
      <c r="AH751" s="1">
        <f t="shared" si="142"/>
        <v>1</v>
      </c>
      <c r="AI751" s="1">
        <f t="shared" si="143"/>
        <v>1</v>
      </c>
      <c r="AJ751" s="1">
        <f>SUMXMY2(Z751:AI751, Occurrence!B$3:K$3)</f>
        <v>3</v>
      </c>
      <c r="AK751" s="1">
        <f t="shared" si="144"/>
        <v>7</v>
      </c>
    </row>
    <row r="752" spans="1:37">
      <c r="A752" s="1">
        <v>751</v>
      </c>
      <c r="B752" s="1">
        <v>4252750</v>
      </c>
      <c r="C752" s="6" t="s">
        <v>48</v>
      </c>
      <c r="D752" s="1">
        <v>0.33</v>
      </c>
      <c r="E752" s="1">
        <v>0.56999999999999995</v>
      </c>
      <c r="F752" s="1">
        <v>0.85</v>
      </c>
      <c r="G752" s="1">
        <v>0.09</v>
      </c>
      <c r="H752" s="1">
        <v>0.24</v>
      </c>
      <c r="I752" s="1">
        <v>0.55000000000000004</v>
      </c>
      <c r="J752" s="1">
        <v>0.2</v>
      </c>
      <c r="K752" s="1">
        <v>0.63</v>
      </c>
      <c r="L752" s="1">
        <v>0.13</v>
      </c>
      <c r="M752" s="1">
        <v>0.95</v>
      </c>
      <c r="N752" s="1">
        <f>(Occurrence!B$3-D752)^2</f>
        <v>0.10890000000000001</v>
      </c>
      <c r="O752" s="1">
        <f>(Occurrence!C$3-E752)^2</f>
        <v>0.32489999999999997</v>
      </c>
      <c r="P752" s="1">
        <f>(Occurrence!D$3-F752)^2</f>
        <v>2.2500000000000006E-2</v>
      </c>
      <c r="Q752" s="1">
        <f>(Occurrence!E$3-G752)^2</f>
        <v>0.82810000000000006</v>
      </c>
      <c r="R752" s="1">
        <f>(Occurrence!F$3-H752)^2</f>
        <v>5.7599999999999998E-2</v>
      </c>
      <c r="S752" s="1">
        <f>(Occurrence!G$3-I752)^2</f>
        <v>0.30250000000000005</v>
      </c>
      <c r="T752" s="1">
        <f>(Occurrence!H$3-J752)^2</f>
        <v>0.64000000000000012</v>
      </c>
      <c r="U752" s="1">
        <f>(Occurrence!I$3-K752)^2</f>
        <v>0.13689999999999999</v>
      </c>
      <c r="V752" s="1">
        <f>(Occurrence!J$3-L752)^2</f>
        <v>1.6900000000000002E-2</v>
      </c>
      <c r="W752" s="1">
        <f>(Occurrence!K$3-M752)^2</f>
        <v>2.5000000000000044E-3</v>
      </c>
      <c r="X752" s="1">
        <f t="shared" si="133"/>
        <v>2.4408000000000003</v>
      </c>
      <c r="Z752" s="1">
        <f t="shared" si="134"/>
        <v>0</v>
      </c>
      <c r="AA752" s="1">
        <f t="shared" si="135"/>
        <v>1</v>
      </c>
      <c r="AB752" s="1">
        <f t="shared" si="136"/>
        <v>1</v>
      </c>
      <c r="AC752" s="1">
        <f t="shared" si="137"/>
        <v>0</v>
      </c>
      <c r="AD752" s="1">
        <f t="shared" si="138"/>
        <v>0</v>
      </c>
      <c r="AE752" s="1">
        <f t="shared" si="139"/>
        <v>1</v>
      </c>
      <c r="AF752" s="1">
        <f t="shared" si="140"/>
        <v>0</v>
      </c>
      <c r="AG752" s="1">
        <f t="shared" si="141"/>
        <v>1</v>
      </c>
      <c r="AH752" s="1">
        <f t="shared" si="142"/>
        <v>0</v>
      </c>
      <c r="AI752" s="1">
        <f t="shared" si="143"/>
        <v>1</v>
      </c>
      <c r="AJ752" s="1">
        <f>SUMXMY2(Z752:AI752, Occurrence!B$3:K$3)</f>
        <v>4</v>
      </c>
      <c r="AK752" s="1">
        <f t="shared" si="144"/>
        <v>6</v>
      </c>
    </row>
    <row r="753" spans="1:37">
      <c r="A753" s="1">
        <v>752</v>
      </c>
      <c r="B753" s="1">
        <v>4252751</v>
      </c>
      <c r="C753" s="6" t="s">
        <v>48</v>
      </c>
      <c r="D753" s="1">
        <v>0.64680000000000004</v>
      </c>
      <c r="E753" s="1">
        <v>0.41920000000000002</v>
      </c>
      <c r="F753" s="1">
        <v>0.28139999999999998</v>
      </c>
      <c r="G753" s="1">
        <v>0.41920000000000002</v>
      </c>
      <c r="H753" s="1">
        <v>0.3</v>
      </c>
      <c r="I753" s="1">
        <v>1</v>
      </c>
      <c r="J753" s="1">
        <v>0.4</v>
      </c>
      <c r="K753" s="1">
        <v>0.23</v>
      </c>
      <c r="L753" s="1">
        <v>0.3</v>
      </c>
      <c r="M753" s="1">
        <v>0.8</v>
      </c>
      <c r="N753" s="1">
        <f>(Occurrence!B$3-D753)^2</f>
        <v>0.41835024000000004</v>
      </c>
      <c r="O753" s="1">
        <f>(Occurrence!C$3-E753)^2</f>
        <v>0.17572864000000002</v>
      </c>
      <c r="P753" s="1">
        <f>(Occurrence!D$3-F753)^2</f>
        <v>0.51638596000000003</v>
      </c>
      <c r="Q753" s="1">
        <f>(Occurrence!E$3-G753)^2</f>
        <v>0.33732863999999996</v>
      </c>
      <c r="R753" s="1">
        <f>(Occurrence!F$3-H753)^2</f>
        <v>0.09</v>
      </c>
      <c r="S753" s="1">
        <f>(Occurrence!G$3-I753)^2</f>
        <v>1</v>
      </c>
      <c r="T753" s="1">
        <f>(Occurrence!H$3-J753)^2</f>
        <v>0.36</v>
      </c>
      <c r="U753" s="1">
        <f>(Occurrence!I$3-K753)^2</f>
        <v>0.59289999999999998</v>
      </c>
      <c r="V753" s="1">
        <f>(Occurrence!J$3-L753)^2</f>
        <v>0.09</v>
      </c>
      <c r="W753" s="1">
        <f>(Occurrence!K$3-M753)^2</f>
        <v>3.999999999999998E-2</v>
      </c>
      <c r="X753" s="1">
        <f t="shared" si="133"/>
        <v>3.6206934799999999</v>
      </c>
      <c r="Z753" s="1">
        <f t="shared" si="134"/>
        <v>1</v>
      </c>
      <c r="AA753" s="1">
        <f t="shared" si="135"/>
        <v>0</v>
      </c>
      <c r="AB753" s="1">
        <f t="shared" si="136"/>
        <v>0</v>
      </c>
      <c r="AC753" s="1">
        <f t="shared" si="137"/>
        <v>0</v>
      </c>
      <c r="AD753" s="1">
        <f t="shared" si="138"/>
        <v>0</v>
      </c>
      <c r="AE753" s="1">
        <f t="shared" si="139"/>
        <v>1</v>
      </c>
      <c r="AF753" s="1">
        <f t="shared" si="140"/>
        <v>0</v>
      </c>
      <c r="AG753" s="1">
        <f t="shared" si="141"/>
        <v>0</v>
      </c>
      <c r="AH753" s="1">
        <f t="shared" si="142"/>
        <v>0</v>
      </c>
      <c r="AI753" s="1">
        <f t="shared" si="143"/>
        <v>1</v>
      </c>
      <c r="AJ753" s="1">
        <f>SUMXMY2(Z753:AI753, Occurrence!B$3:K$3)</f>
        <v>6</v>
      </c>
      <c r="AK753" s="1">
        <f t="shared" si="144"/>
        <v>4</v>
      </c>
    </row>
    <row r="754" spans="1:37">
      <c r="A754" s="1">
        <v>753</v>
      </c>
      <c r="B754" s="1">
        <v>4252752</v>
      </c>
      <c r="C754" s="6" t="s">
        <v>48</v>
      </c>
      <c r="D754" s="1">
        <v>0.5</v>
      </c>
      <c r="E754" s="1">
        <v>0.5</v>
      </c>
      <c r="F754" s="1">
        <v>0.5</v>
      </c>
      <c r="G754" s="1">
        <v>0.41920000000000002</v>
      </c>
      <c r="H754" s="1">
        <v>0.3</v>
      </c>
      <c r="I754" s="1">
        <v>0.5</v>
      </c>
      <c r="J754" s="1">
        <v>0.5</v>
      </c>
      <c r="K754" s="1">
        <v>0.5</v>
      </c>
      <c r="L754" s="1">
        <v>0.5</v>
      </c>
      <c r="M754" s="1">
        <v>0.5</v>
      </c>
      <c r="N754" s="1">
        <f>(Occurrence!B$3-D754)^2</f>
        <v>0.25</v>
      </c>
      <c r="O754" s="1">
        <f>(Occurrence!C$3-E754)^2</f>
        <v>0.25</v>
      </c>
      <c r="P754" s="1">
        <f>(Occurrence!D$3-F754)^2</f>
        <v>0.25</v>
      </c>
      <c r="Q754" s="1">
        <f>(Occurrence!E$3-G754)^2</f>
        <v>0.33732863999999996</v>
      </c>
      <c r="R754" s="1">
        <f>(Occurrence!F$3-H754)^2</f>
        <v>0.09</v>
      </c>
      <c r="S754" s="1">
        <f>(Occurrence!G$3-I754)^2</f>
        <v>0.25</v>
      </c>
      <c r="T754" s="1">
        <f>(Occurrence!H$3-J754)^2</f>
        <v>0.25</v>
      </c>
      <c r="U754" s="1">
        <f>(Occurrence!I$3-K754)^2</f>
        <v>0.25</v>
      </c>
      <c r="V754" s="1">
        <f>(Occurrence!J$3-L754)^2</f>
        <v>0.25</v>
      </c>
      <c r="W754" s="1">
        <f>(Occurrence!K$3-M754)^2</f>
        <v>0.25</v>
      </c>
      <c r="X754" s="1">
        <f t="shared" si="133"/>
        <v>2.4273286399999998</v>
      </c>
      <c r="Z754" s="1">
        <f t="shared" si="134"/>
        <v>1</v>
      </c>
      <c r="AA754" s="1">
        <f t="shared" si="135"/>
        <v>1</v>
      </c>
      <c r="AB754" s="1">
        <f t="shared" si="136"/>
        <v>1</v>
      </c>
      <c r="AC754" s="1">
        <f t="shared" si="137"/>
        <v>0</v>
      </c>
      <c r="AD754" s="1">
        <f t="shared" si="138"/>
        <v>0</v>
      </c>
      <c r="AE754" s="1">
        <f t="shared" si="139"/>
        <v>1</v>
      </c>
      <c r="AF754" s="1">
        <f t="shared" si="140"/>
        <v>1</v>
      </c>
      <c r="AG754" s="1">
        <f t="shared" si="141"/>
        <v>1</v>
      </c>
      <c r="AH754" s="1">
        <f t="shared" si="142"/>
        <v>1</v>
      </c>
      <c r="AI754" s="1">
        <f t="shared" si="143"/>
        <v>1</v>
      </c>
      <c r="AJ754" s="1">
        <f>SUMXMY2(Z754:AI754, Occurrence!B$3:K$3)</f>
        <v>5</v>
      </c>
      <c r="AK754" s="1">
        <f t="shared" si="144"/>
        <v>5</v>
      </c>
    </row>
    <row r="755" spans="1:37">
      <c r="A755" s="1">
        <v>754</v>
      </c>
      <c r="B755" s="1">
        <v>4252753</v>
      </c>
      <c r="C755" s="6" t="s">
        <v>48</v>
      </c>
      <c r="D755" s="1">
        <v>0.5</v>
      </c>
      <c r="E755" s="1">
        <v>0.1</v>
      </c>
      <c r="F755" s="1">
        <v>0.5</v>
      </c>
      <c r="G755" s="1">
        <v>0.9</v>
      </c>
      <c r="H755" s="1">
        <v>0.5</v>
      </c>
      <c r="I755" s="1">
        <v>0.9</v>
      </c>
      <c r="J755" s="1">
        <v>0.45</v>
      </c>
      <c r="K755" s="1">
        <v>0.34</v>
      </c>
      <c r="L755" s="1">
        <v>0.34</v>
      </c>
      <c r="M755" s="1">
        <v>0.89</v>
      </c>
      <c r="N755" s="1">
        <f>(Occurrence!B$3-D755)^2</f>
        <v>0.25</v>
      </c>
      <c r="O755" s="1">
        <f>(Occurrence!C$3-E755)^2</f>
        <v>1.0000000000000002E-2</v>
      </c>
      <c r="P755" s="1">
        <f>(Occurrence!D$3-F755)^2</f>
        <v>0.25</v>
      </c>
      <c r="Q755" s="1">
        <f>(Occurrence!E$3-G755)^2</f>
        <v>9.999999999999995E-3</v>
      </c>
      <c r="R755" s="1">
        <f>(Occurrence!F$3-H755)^2</f>
        <v>0.25</v>
      </c>
      <c r="S755" s="1">
        <f>(Occurrence!G$3-I755)^2</f>
        <v>0.81</v>
      </c>
      <c r="T755" s="1">
        <f>(Occurrence!H$3-J755)^2</f>
        <v>0.30250000000000005</v>
      </c>
      <c r="U755" s="1">
        <f>(Occurrence!I$3-K755)^2</f>
        <v>0.43559999999999988</v>
      </c>
      <c r="V755" s="1">
        <f>(Occurrence!J$3-L755)^2</f>
        <v>0.11560000000000002</v>
      </c>
      <c r="W755" s="1">
        <f>(Occurrence!K$3-M755)^2</f>
        <v>1.2099999999999998E-2</v>
      </c>
      <c r="X755" s="1">
        <f t="shared" si="133"/>
        <v>2.4457999999999998</v>
      </c>
      <c r="Z755" s="1">
        <f t="shared" si="134"/>
        <v>1</v>
      </c>
      <c r="AA755" s="1">
        <f t="shared" si="135"/>
        <v>0</v>
      </c>
      <c r="AB755" s="1">
        <f t="shared" si="136"/>
        <v>1</v>
      </c>
      <c r="AC755" s="1">
        <f t="shared" si="137"/>
        <v>1</v>
      </c>
      <c r="AD755" s="1">
        <f t="shared" si="138"/>
        <v>1</v>
      </c>
      <c r="AE755" s="1">
        <f t="shared" si="139"/>
        <v>1</v>
      </c>
      <c r="AF755" s="1">
        <f t="shared" si="140"/>
        <v>0</v>
      </c>
      <c r="AG755" s="1">
        <f t="shared" si="141"/>
        <v>0</v>
      </c>
      <c r="AH755" s="1">
        <f t="shared" si="142"/>
        <v>0</v>
      </c>
      <c r="AI755" s="1">
        <f t="shared" si="143"/>
        <v>1</v>
      </c>
      <c r="AJ755" s="1">
        <f>SUMXMY2(Z755:AI755, Occurrence!B$3:K$3)</f>
        <v>5</v>
      </c>
      <c r="AK755" s="1">
        <f t="shared" si="144"/>
        <v>5</v>
      </c>
    </row>
    <row r="756" spans="1:37">
      <c r="A756" s="1">
        <v>755</v>
      </c>
      <c r="B756" s="1">
        <v>4252754</v>
      </c>
      <c r="C756" s="6" t="s">
        <v>48</v>
      </c>
      <c r="D756" s="1">
        <v>0.05</v>
      </c>
      <c r="E756" s="1">
        <v>0.01</v>
      </c>
      <c r="F756" s="1">
        <v>0.05</v>
      </c>
      <c r="G756" s="1">
        <v>0.01</v>
      </c>
      <c r="H756" s="1">
        <v>0.1</v>
      </c>
      <c r="I756" s="1">
        <v>0</v>
      </c>
      <c r="J756" s="1">
        <v>0.5</v>
      </c>
      <c r="K756" s="1">
        <v>0.6</v>
      </c>
      <c r="L756" s="1">
        <v>0.1</v>
      </c>
      <c r="M756" s="1">
        <v>0.75</v>
      </c>
      <c r="N756" s="1">
        <f>(Occurrence!B$3-D756)^2</f>
        <v>2.5000000000000005E-3</v>
      </c>
      <c r="O756" s="1">
        <f>(Occurrence!C$3-E756)^2</f>
        <v>1E-4</v>
      </c>
      <c r="P756" s="1">
        <f>(Occurrence!D$3-F756)^2</f>
        <v>0.90249999999999997</v>
      </c>
      <c r="Q756" s="1">
        <f>(Occurrence!E$3-G756)^2</f>
        <v>0.98009999999999997</v>
      </c>
      <c r="R756" s="1">
        <f>(Occurrence!F$3-H756)^2</f>
        <v>1.0000000000000002E-2</v>
      </c>
      <c r="S756" s="1">
        <f>(Occurrence!G$3-I756)^2</f>
        <v>0</v>
      </c>
      <c r="T756" s="1">
        <f>(Occurrence!H$3-J756)^2</f>
        <v>0.25</v>
      </c>
      <c r="U756" s="1">
        <f>(Occurrence!I$3-K756)^2</f>
        <v>0.16000000000000003</v>
      </c>
      <c r="V756" s="1">
        <f>(Occurrence!J$3-L756)^2</f>
        <v>1.0000000000000002E-2</v>
      </c>
      <c r="W756" s="1">
        <f>(Occurrence!K$3-M756)^2</f>
        <v>6.25E-2</v>
      </c>
      <c r="X756" s="1">
        <f t="shared" si="133"/>
        <v>2.3776999999999999</v>
      </c>
      <c r="Z756" s="1">
        <f t="shared" si="134"/>
        <v>0</v>
      </c>
      <c r="AA756" s="1">
        <f t="shared" si="135"/>
        <v>0</v>
      </c>
      <c r="AB756" s="1">
        <f t="shared" si="136"/>
        <v>0</v>
      </c>
      <c r="AC756" s="1">
        <f t="shared" si="137"/>
        <v>0</v>
      </c>
      <c r="AD756" s="1">
        <f t="shared" si="138"/>
        <v>0</v>
      </c>
      <c r="AE756" s="1">
        <f t="shared" si="139"/>
        <v>0</v>
      </c>
      <c r="AF756" s="1">
        <f t="shared" si="140"/>
        <v>1</v>
      </c>
      <c r="AG756" s="1">
        <f t="shared" si="141"/>
        <v>1</v>
      </c>
      <c r="AH756" s="1">
        <f t="shared" si="142"/>
        <v>0</v>
      </c>
      <c r="AI756" s="1">
        <f t="shared" si="143"/>
        <v>1</v>
      </c>
      <c r="AJ756" s="1">
        <f>SUMXMY2(Z756:AI756, Occurrence!B$3:K$3)</f>
        <v>2</v>
      </c>
      <c r="AK756" s="1">
        <f t="shared" si="144"/>
        <v>8</v>
      </c>
    </row>
    <row r="757" spans="1:37">
      <c r="A757" s="1">
        <v>756</v>
      </c>
      <c r="B757" s="1">
        <v>4252755</v>
      </c>
      <c r="C757" s="6" t="s">
        <v>48</v>
      </c>
      <c r="D757" s="1">
        <v>0.5</v>
      </c>
      <c r="E757" s="1">
        <v>0</v>
      </c>
      <c r="F757" s="1">
        <v>0</v>
      </c>
      <c r="G757" s="1">
        <v>1</v>
      </c>
      <c r="H757" s="1">
        <v>0</v>
      </c>
      <c r="I757" s="1">
        <v>1</v>
      </c>
      <c r="J757" s="1">
        <v>0</v>
      </c>
      <c r="K757" s="1">
        <v>1</v>
      </c>
      <c r="L757" s="1">
        <v>0</v>
      </c>
      <c r="M757" s="1">
        <v>1</v>
      </c>
      <c r="N757" s="1">
        <f>(Occurrence!B$3-D757)^2</f>
        <v>0.25</v>
      </c>
      <c r="O757" s="1">
        <f>(Occurrence!C$3-E757)^2</f>
        <v>0</v>
      </c>
      <c r="P757" s="1">
        <f>(Occurrence!D$3-F757)^2</f>
        <v>1</v>
      </c>
      <c r="Q757" s="1">
        <f>(Occurrence!E$3-G757)^2</f>
        <v>0</v>
      </c>
      <c r="R757" s="1">
        <f>(Occurrence!F$3-H757)^2</f>
        <v>0</v>
      </c>
      <c r="S757" s="1">
        <f>(Occurrence!G$3-I757)^2</f>
        <v>1</v>
      </c>
      <c r="T757" s="1">
        <f>(Occurrence!H$3-J757)^2</f>
        <v>1</v>
      </c>
      <c r="U757" s="1">
        <f>(Occurrence!I$3-K757)^2</f>
        <v>0</v>
      </c>
      <c r="V757" s="1">
        <f>(Occurrence!J$3-L757)^2</f>
        <v>0</v>
      </c>
      <c r="W757" s="1">
        <f>(Occurrence!K$3-M757)^2</f>
        <v>0</v>
      </c>
      <c r="X757" s="1">
        <f t="shared" si="133"/>
        <v>3.25</v>
      </c>
      <c r="Z757" s="1">
        <f t="shared" si="134"/>
        <v>1</v>
      </c>
      <c r="AA757" s="1">
        <f t="shared" si="135"/>
        <v>0</v>
      </c>
      <c r="AB757" s="1">
        <f t="shared" si="136"/>
        <v>0</v>
      </c>
      <c r="AC757" s="1">
        <f t="shared" si="137"/>
        <v>1</v>
      </c>
      <c r="AD757" s="1">
        <f t="shared" si="138"/>
        <v>0</v>
      </c>
      <c r="AE757" s="1">
        <f t="shared" si="139"/>
        <v>1</v>
      </c>
      <c r="AF757" s="1">
        <f t="shared" si="140"/>
        <v>0</v>
      </c>
      <c r="AG757" s="1">
        <f t="shared" si="141"/>
        <v>1</v>
      </c>
      <c r="AH757" s="1">
        <f t="shared" si="142"/>
        <v>0</v>
      </c>
      <c r="AI757" s="1">
        <f t="shared" si="143"/>
        <v>1</v>
      </c>
      <c r="AJ757" s="1">
        <f>SUMXMY2(Z757:AI757, Occurrence!B$3:K$3)</f>
        <v>4</v>
      </c>
      <c r="AK757" s="1">
        <f t="shared" si="144"/>
        <v>6</v>
      </c>
    </row>
    <row r="758" spans="1:37">
      <c r="A758" s="1">
        <v>757</v>
      </c>
      <c r="B758" s="1">
        <v>4252756</v>
      </c>
      <c r="C758" s="6" t="s">
        <v>48</v>
      </c>
      <c r="D758" s="1">
        <v>0.4</v>
      </c>
      <c r="E758" s="1">
        <v>0.7</v>
      </c>
      <c r="F758" s="1">
        <v>0.5</v>
      </c>
      <c r="G758" s="1">
        <v>0.6028</v>
      </c>
      <c r="H758" s="1">
        <v>0.5</v>
      </c>
      <c r="I758" s="1">
        <v>0.5</v>
      </c>
      <c r="J758" s="1">
        <v>0.4</v>
      </c>
      <c r="K758" s="1">
        <v>0.8</v>
      </c>
      <c r="L758" s="1">
        <v>0.6</v>
      </c>
      <c r="M758" s="1">
        <v>0.5</v>
      </c>
      <c r="N758" s="1">
        <f>(Occurrence!B$3-D758)^2</f>
        <v>0.16000000000000003</v>
      </c>
      <c r="O758" s="1">
        <f>(Occurrence!C$3-E758)^2</f>
        <v>0.48999999999999994</v>
      </c>
      <c r="P758" s="1">
        <f>(Occurrence!D$3-F758)^2</f>
        <v>0.25</v>
      </c>
      <c r="Q758" s="1">
        <f>(Occurrence!E$3-G758)^2</f>
        <v>0.15776783999999999</v>
      </c>
      <c r="R758" s="1">
        <f>(Occurrence!F$3-H758)^2</f>
        <v>0.25</v>
      </c>
      <c r="S758" s="1">
        <f>(Occurrence!G$3-I758)^2</f>
        <v>0.25</v>
      </c>
      <c r="T758" s="1">
        <f>(Occurrence!H$3-J758)^2</f>
        <v>0.36</v>
      </c>
      <c r="U758" s="1">
        <f>(Occurrence!I$3-K758)^2</f>
        <v>3.999999999999998E-2</v>
      </c>
      <c r="V758" s="1">
        <f>(Occurrence!J$3-L758)^2</f>
        <v>0.36</v>
      </c>
      <c r="W758" s="1">
        <f>(Occurrence!K$3-M758)^2</f>
        <v>0.25</v>
      </c>
      <c r="X758" s="1">
        <f t="shared" si="133"/>
        <v>2.5677678399999997</v>
      </c>
      <c r="Z758" s="1">
        <f t="shared" si="134"/>
        <v>0</v>
      </c>
      <c r="AA758" s="1">
        <f t="shared" si="135"/>
        <v>1</v>
      </c>
      <c r="AB758" s="1">
        <f t="shared" si="136"/>
        <v>1</v>
      </c>
      <c r="AC758" s="1">
        <f t="shared" si="137"/>
        <v>1</v>
      </c>
      <c r="AD758" s="1">
        <f t="shared" si="138"/>
        <v>1</v>
      </c>
      <c r="AE758" s="1">
        <f t="shared" si="139"/>
        <v>1</v>
      </c>
      <c r="AF758" s="1">
        <f t="shared" si="140"/>
        <v>0</v>
      </c>
      <c r="AG758" s="1">
        <f t="shared" si="141"/>
        <v>1</v>
      </c>
      <c r="AH758" s="1">
        <f t="shared" si="142"/>
        <v>1</v>
      </c>
      <c r="AI758" s="1">
        <f t="shared" si="143"/>
        <v>1</v>
      </c>
      <c r="AJ758" s="1">
        <f>SUMXMY2(Z758:AI758, Occurrence!B$3:K$3)</f>
        <v>5</v>
      </c>
      <c r="AK758" s="1">
        <f t="shared" si="144"/>
        <v>5</v>
      </c>
    </row>
    <row r="759" spans="1:37">
      <c r="A759" s="1">
        <v>758</v>
      </c>
      <c r="B759" s="1">
        <v>4252757</v>
      </c>
      <c r="C759" s="6" t="s">
        <v>48</v>
      </c>
      <c r="D759" s="1">
        <v>0.4</v>
      </c>
      <c r="E759" s="1">
        <v>0.2</v>
      </c>
      <c r="F759" s="1">
        <v>0.6</v>
      </c>
      <c r="G759" s="1">
        <v>0.2</v>
      </c>
      <c r="H759" s="1">
        <v>1</v>
      </c>
      <c r="I759" s="1">
        <v>0.4</v>
      </c>
      <c r="J759" s="1">
        <v>0.56699999999999995</v>
      </c>
      <c r="K759" s="1">
        <v>0.67</v>
      </c>
      <c r="L759" s="1">
        <v>0.4</v>
      </c>
      <c r="M759" s="1">
        <v>0.3</v>
      </c>
      <c r="N759" s="1">
        <f>(Occurrence!B$3-D759)^2</f>
        <v>0.16000000000000003</v>
      </c>
      <c r="O759" s="1">
        <f>(Occurrence!C$3-E759)^2</f>
        <v>4.0000000000000008E-2</v>
      </c>
      <c r="P759" s="1">
        <f>(Occurrence!D$3-F759)^2</f>
        <v>0.16000000000000003</v>
      </c>
      <c r="Q759" s="1">
        <f>(Occurrence!E$3-G759)^2</f>
        <v>0.64000000000000012</v>
      </c>
      <c r="R759" s="1">
        <f>(Occurrence!F$3-H759)^2</f>
        <v>1</v>
      </c>
      <c r="S759" s="1">
        <f>(Occurrence!G$3-I759)^2</f>
        <v>0.16000000000000003</v>
      </c>
      <c r="T759" s="1">
        <f>(Occurrence!H$3-J759)^2</f>
        <v>0.18748900000000004</v>
      </c>
      <c r="U759" s="1">
        <f>(Occurrence!I$3-K759)^2</f>
        <v>0.10889999999999997</v>
      </c>
      <c r="V759" s="1">
        <f>(Occurrence!J$3-L759)^2</f>
        <v>0.16000000000000003</v>
      </c>
      <c r="W759" s="1">
        <f>(Occurrence!K$3-M759)^2</f>
        <v>0.48999999999999994</v>
      </c>
      <c r="X759" s="1">
        <f t="shared" si="133"/>
        <v>3.1063890000000001</v>
      </c>
      <c r="Z759" s="1">
        <f t="shared" si="134"/>
        <v>0</v>
      </c>
      <c r="AA759" s="1">
        <f t="shared" si="135"/>
        <v>0</v>
      </c>
      <c r="AB759" s="1">
        <f t="shared" si="136"/>
        <v>1</v>
      </c>
      <c r="AC759" s="1">
        <f t="shared" si="137"/>
        <v>0</v>
      </c>
      <c r="AD759" s="1">
        <f t="shared" si="138"/>
        <v>1</v>
      </c>
      <c r="AE759" s="1">
        <f t="shared" si="139"/>
        <v>0</v>
      </c>
      <c r="AF759" s="1">
        <f t="shared" si="140"/>
        <v>1</v>
      </c>
      <c r="AG759" s="1">
        <f t="shared" si="141"/>
        <v>1</v>
      </c>
      <c r="AH759" s="1">
        <f t="shared" si="142"/>
        <v>0</v>
      </c>
      <c r="AI759" s="1">
        <f t="shared" si="143"/>
        <v>0</v>
      </c>
      <c r="AJ759" s="1">
        <f>SUMXMY2(Z759:AI759, Occurrence!B$3:K$3)</f>
        <v>3</v>
      </c>
      <c r="AK759" s="1">
        <f t="shared" si="144"/>
        <v>7</v>
      </c>
    </row>
    <row r="760" spans="1:37">
      <c r="A760" s="1">
        <v>759</v>
      </c>
      <c r="B760" s="1">
        <v>4252758</v>
      </c>
      <c r="C760" s="6" t="s">
        <v>48</v>
      </c>
      <c r="D760" s="1">
        <v>0.50009999999999999</v>
      </c>
      <c r="E760" s="1">
        <v>0.6028</v>
      </c>
      <c r="F760" s="1">
        <v>0.64680000000000004</v>
      </c>
      <c r="G760" s="1">
        <v>0.6028</v>
      </c>
      <c r="H760" s="1">
        <v>0.2024</v>
      </c>
      <c r="I760" s="1">
        <v>0.5</v>
      </c>
      <c r="J760" s="1">
        <v>0.8</v>
      </c>
      <c r="K760" s="1">
        <v>0.9</v>
      </c>
      <c r="L760" s="1">
        <v>0.8</v>
      </c>
      <c r="M760" s="1">
        <v>0.6</v>
      </c>
      <c r="N760" s="1">
        <f>(Occurrence!B$3-D760)^2</f>
        <v>0.25010000999999998</v>
      </c>
      <c r="O760" s="1">
        <f>(Occurrence!C$3-E760)^2</f>
        <v>0.36336784</v>
      </c>
      <c r="P760" s="1">
        <f>(Occurrence!D$3-F760)^2</f>
        <v>0.12475023999999997</v>
      </c>
      <c r="Q760" s="1">
        <f>(Occurrence!E$3-G760)^2</f>
        <v>0.15776783999999999</v>
      </c>
      <c r="R760" s="1">
        <f>(Occurrence!F$3-H760)^2</f>
        <v>4.0965759999999997E-2</v>
      </c>
      <c r="S760" s="1">
        <f>(Occurrence!G$3-I760)^2</f>
        <v>0.25</v>
      </c>
      <c r="T760" s="1">
        <f>(Occurrence!H$3-J760)^2</f>
        <v>3.999999999999998E-2</v>
      </c>
      <c r="U760" s="1">
        <f>(Occurrence!I$3-K760)^2</f>
        <v>9.999999999999995E-3</v>
      </c>
      <c r="V760" s="1">
        <f>(Occurrence!J$3-L760)^2</f>
        <v>0.64000000000000012</v>
      </c>
      <c r="W760" s="1">
        <f>(Occurrence!K$3-M760)^2</f>
        <v>0.16000000000000003</v>
      </c>
      <c r="X760" s="1">
        <f t="shared" si="133"/>
        <v>2.03695169</v>
      </c>
      <c r="Z760" s="1">
        <f t="shared" si="134"/>
        <v>1</v>
      </c>
      <c r="AA760" s="1">
        <f t="shared" si="135"/>
        <v>1</v>
      </c>
      <c r="AB760" s="1">
        <f t="shared" si="136"/>
        <v>1</v>
      </c>
      <c r="AC760" s="1">
        <f t="shared" si="137"/>
        <v>1</v>
      </c>
      <c r="AD760" s="1">
        <f t="shared" si="138"/>
        <v>0</v>
      </c>
      <c r="AE760" s="1">
        <f t="shared" si="139"/>
        <v>1</v>
      </c>
      <c r="AF760" s="1">
        <f t="shared" si="140"/>
        <v>1</v>
      </c>
      <c r="AG760" s="1">
        <f t="shared" si="141"/>
        <v>1</v>
      </c>
      <c r="AH760" s="1">
        <f t="shared" si="142"/>
        <v>1</v>
      </c>
      <c r="AI760" s="1">
        <f t="shared" si="143"/>
        <v>1</v>
      </c>
      <c r="AJ760" s="1">
        <f>SUMXMY2(Z760:AI760, Occurrence!B$3:K$3)</f>
        <v>4</v>
      </c>
      <c r="AK760" s="1">
        <f t="shared" si="144"/>
        <v>6</v>
      </c>
    </row>
    <row r="761" spans="1:37">
      <c r="A761" s="1">
        <v>760</v>
      </c>
      <c r="B761" s="1">
        <v>4252759</v>
      </c>
      <c r="C761" s="6" t="s">
        <v>48</v>
      </c>
      <c r="D761" s="1">
        <v>0.04</v>
      </c>
      <c r="E761" s="1">
        <v>0.08</v>
      </c>
      <c r="F761" s="1">
        <v>0.98</v>
      </c>
      <c r="G761" s="1">
        <v>0.99</v>
      </c>
      <c r="H761" s="1">
        <v>0.99</v>
      </c>
      <c r="I761" s="1">
        <v>0.32</v>
      </c>
      <c r="J761" s="1">
        <v>0.6</v>
      </c>
      <c r="K761" s="1">
        <v>0.75</v>
      </c>
      <c r="L761" s="1">
        <v>0.6</v>
      </c>
      <c r="M761" s="1">
        <v>0.8</v>
      </c>
      <c r="N761" s="1">
        <f>(Occurrence!B$3-D761)^2</f>
        <v>1.6000000000000001E-3</v>
      </c>
      <c r="O761" s="1">
        <f>(Occurrence!C$3-E761)^2</f>
        <v>6.4000000000000003E-3</v>
      </c>
      <c r="P761" s="1">
        <f>(Occurrence!D$3-F761)^2</f>
        <v>4.0000000000000072E-4</v>
      </c>
      <c r="Q761" s="1">
        <f>(Occurrence!E$3-G761)^2</f>
        <v>1.0000000000000018E-4</v>
      </c>
      <c r="R761" s="1">
        <f>(Occurrence!F$3-H761)^2</f>
        <v>0.98009999999999997</v>
      </c>
      <c r="S761" s="1">
        <f>(Occurrence!G$3-I761)^2</f>
        <v>0.1024</v>
      </c>
      <c r="T761" s="1">
        <f>(Occurrence!H$3-J761)^2</f>
        <v>0.16000000000000003</v>
      </c>
      <c r="U761" s="1">
        <f>(Occurrence!I$3-K761)^2</f>
        <v>6.25E-2</v>
      </c>
      <c r="V761" s="1">
        <f>(Occurrence!J$3-L761)^2</f>
        <v>0.36</v>
      </c>
      <c r="W761" s="1">
        <f>(Occurrence!K$3-M761)^2</f>
        <v>3.999999999999998E-2</v>
      </c>
      <c r="X761" s="1">
        <f t="shared" si="133"/>
        <v>1.7134999999999998</v>
      </c>
      <c r="Z761" s="1">
        <f t="shared" si="134"/>
        <v>0</v>
      </c>
      <c r="AA761" s="1">
        <f t="shared" si="135"/>
        <v>0</v>
      </c>
      <c r="AB761" s="1">
        <f t="shared" si="136"/>
        <v>1</v>
      </c>
      <c r="AC761" s="1">
        <f t="shared" si="137"/>
        <v>1</v>
      </c>
      <c r="AD761" s="1">
        <f t="shared" si="138"/>
        <v>1</v>
      </c>
      <c r="AE761" s="1">
        <f t="shared" si="139"/>
        <v>0</v>
      </c>
      <c r="AF761" s="1">
        <f t="shared" si="140"/>
        <v>1</v>
      </c>
      <c r="AG761" s="1">
        <f t="shared" si="141"/>
        <v>1</v>
      </c>
      <c r="AH761" s="1">
        <f t="shared" si="142"/>
        <v>1</v>
      </c>
      <c r="AI761" s="1">
        <f t="shared" si="143"/>
        <v>1</v>
      </c>
      <c r="AJ761" s="1">
        <f>SUMXMY2(Z761:AI761, Occurrence!B$3:K$3)</f>
        <v>2</v>
      </c>
      <c r="AK761" s="1">
        <f t="shared" si="144"/>
        <v>8</v>
      </c>
    </row>
    <row r="762" spans="1:37">
      <c r="A762" s="1">
        <v>761</v>
      </c>
      <c r="B762" s="1">
        <v>4252760</v>
      </c>
      <c r="C762" s="6" t="s">
        <v>48</v>
      </c>
      <c r="D762" s="1">
        <v>1E-3</v>
      </c>
      <c r="E762" s="1">
        <v>0.03</v>
      </c>
      <c r="F762" s="1">
        <v>0.98</v>
      </c>
      <c r="G762" s="1">
        <v>0.99999899999999997</v>
      </c>
      <c r="H762" s="1">
        <v>0.99</v>
      </c>
      <c r="I762" s="1">
        <v>0.35</v>
      </c>
      <c r="J762" s="1">
        <v>0.6</v>
      </c>
      <c r="K762" s="1">
        <v>0.75</v>
      </c>
      <c r="L762" s="1">
        <v>0.5</v>
      </c>
      <c r="M762" s="1">
        <v>0.83</v>
      </c>
      <c r="N762" s="1">
        <f>(Occurrence!B$3-D762)^2</f>
        <v>9.9999999999999995E-7</v>
      </c>
      <c r="O762" s="1">
        <f>(Occurrence!C$3-E762)^2</f>
        <v>8.9999999999999998E-4</v>
      </c>
      <c r="P762" s="1">
        <f>(Occurrence!D$3-F762)^2</f>
        <v>4.0000000000000072E-4</v>
      </c>
      <c r="Q762" s="1">
        <f>(Occurrence!E$3-G762)^2</f>
        <v>1.0000000000575112E-12</v>
      </c>
      <c r="R762" s="1">
        <f>(Occurrence!F$3-H762)^2</f>
        <v>0.98009999999999997</v>
      </c>
      <c r="S762" s="1">
        <f>(Occurrence!G$3-I762)^2</f>
        <v>0.12249999999999998</v>
      </c>
      <c r="T762" s="1">
        <f>(Occurrence!H$3-J762)^2</f>
        <v>0.16000000000000003</v>
      </c>
      <c r="U762" s="1">
        <f>(Occurrence!I$3-K762)^2</f>
        <v>6.25E-2</v>
      </c>
      <c r="V762" s="1">
        <f>(Occurrence!J$3-L762)^2</f>
        <v>0.25</v>
      </c>
      <c r="W762" s="1">
        <f>(Occurrence!K$3-M762)^2</f>
        <v>2.8900000000000012E-2</v>
      </c>
      <c r="X762" s="1">
        <f t="shared" si="133"/>
        <v>1.6053010000009997</v>
      </c>
      <c r="Z762" s="1">
        <f t="shared" si="134"/>
        <v>0</v>
      </c>
      <c r="AA762" s="1">
        <f t="shared" si="135"/>
        <v>0</v>
      </c>
      <c r="AB762" s="1">
        <f t="shared" si="136"/>
        <v>1</v>
      </c>
      <c r="AC762" s="1">
        <f t="shared" si="137"/>
        <v>1</v>
      </c>
      <c r="AD762" s="1">
        <f t="shared" si="138"/>
        <v>1</v>
      </c>
      <c r="AE762" s="1">
        <f t="shared" si="139"/>
        <v>0</v>
      </c>
      <c r="AF762" s="1">
        <f t="shared" si="140"/>
        <v>1</v>
      </c>
      <c r="AG762" s="1">
        <f t="shared" si="141"/>
        <v>1</v>
      </c>
      <c r="AH762" s="1">
        <f t="shared" si="142"/>
        <v>1</v>
      </c>
      <c r="AI762" s="1">
        <f t="shared" si="143"/>
        <v>1</v>
      </c>
      <c r="AJ762" s="1">
        <f>SUMXMY2(Z762:AI762, Occurrence!B$3:K$3)</f>
        <v>2</v>
      </c>
      <c r="AK762" s="1">
        <f t="shared" si="144"/>
        <v>8</v>
      </c>
    </row>
    <row r="763" spans="1:37">
      <c r="A763" s="1">
        <v>762</v>
      </c>
      <c r="B763" s="1">
        <v>4252761</v>
      </c>
      <c r="C763" s="6" t="s">
        <v>48</v>
      </c>
      <c r="D763" s="1">
        <v>0.49990000000000001</v>
      </c>
      <c r="E763" s="1">
        <v>0.3972</v>
      </c>
      <c r="F763" s="1">
        <v>0.50009999999999999</v>
      </c>
      <c r="G763" s="1">
        <v>0.6028</v>
      </c>
      <c r="H763" s="1">
        <v>1</v>
      </c>
      <c r="I763" s="1">
        <v>0.2</v>
      </c>
      <c r="J763" s="1">
        <v>0.4904</v>
      </c>
      <c r="K763" s="1">
        <v>0.73399999999999999</v>
      </c>
      <c r="L763" s="1">
        <v>0.34300000000000003</v>
      </c>
      <c r="M763" s="1">
        <v>0.82</v>
      </c>
      <c r="N763" s="1">
        <f>(Occurrence!B$3-D763)^2</f>
        <v>0.24990001000000001</v>
      </c>
      <c r="O763" s="1">
        <f>(Occurrence!C$3-E763)^2</f>
        <v>0.15776783999999999</v>
      </c>
      <c r="P763" s="1">
        <f>(Occurrence!D$3-F763)^2</f>
        <v>0.24990001000000001</v>
      </c>
      <c r="Q763" s="1">
        <f>(Occurrence!E$3-G763)^2</f>
        <v>0.15776783999999999</v>
      </c>
      <c r="R763" s="1">
        <f>(Occurrence!F$3-H763)^2</f>
        <v>1</v>
      </c>
      <c r="S763" s="1">
        <f>(Occurrence!G$3-I763)^2</f>
        <v>4.0000000000000008E-2</v>
      </c>
      <c r="T763" s="1">
        <f>(Occurrence!H$3-J763)^2</f>
        <v>0.25969216000000006</v>
      </c>
      <c r="U763" s="1">
        <f>(Occurrence!I$3-K763)^2</f>
        <v>7.0756000000000013E-2</v>
      </c>
      <c r="V763" s="1">
        <f>(Occurrence!J$3-L763)^2</f>
        <v>0.11764900000000002</v>
      </c>
      <c r="W763" s="1">
        <f>(Occurrence!K$3-M763)^2</f>
        <v>3.2400000000000019E-2</v>
      </c>
      <c r="X763" s="1">
        <f t="shared" si="133"/>
        <v>2.33583286</v>
      </c>
      <c r="Z763" s="1">
        <f t="shared" si="134"/>
        <v>0</v>
      </c>
      <c r="AA763" s="1">
        <f t="shared" si="135"/>
        <v>0</v>
      </c>
      <c r="AB763" s="1">
        <f t="shared" si="136"/>
        <v>1</v>
      </c>
      <c r="AC763" s="1">
        <f t="shared" si="137"/>
        <v>1</v>
      </c>
      <c r="AD763" s="1">
        <f t="shared" si="138"/>
        <v>1</v>
      </c>
      <c r="AE763" s="1">
        <f t="shared" si="139"/>
        <v>0</v>
      </c>
      <c r="AF763" s="1">
        <f t="shared" si="140"/>
        <v>0</v>
      </c>
      <c r="AG763" s="1">
        <f t="shared" si="141"/>
        <v>1</v>
      </c>
      <c r="AH763" s="1">
        <f t="shared" si="142"/>
        <v>0</v>
      </c>
      <c r="AI763" s="1">
        <f t="shared" si="143"/>
        <v>1</v>
      </c>
      <c r="AJ763" s="1">
        <f>SUMXMY2(Z763:AI763, Occurrence!B$3:K$3)</f>
        <v>2</v>
      </c>
      <c r="AK763" s="1">
        <f t="shared" si="144"/>
        <v>8</v>
      </c>
    </row>
    <row r="764" spans="1:37">
      <c r="A764" s="1">
        <v>763</v>
      </c>
      <c r="B764" s="1">
        <v>4252762</v>
      </c>
      <c r="C764" s="6" t="s">
        <v>48</v>
      </c>
      <c r="D764" s="1">
        <v>0.50009999999999999</v>
      </c>
      <c r="E764" s="1">
        <v>0.6028</v>
      </c>
      <c r="F764" s="1">
        <v>0.49990000000000001</v>
      </c>
      <c r="G764" s="1">
        <v>0.3972</v>
      </c>
      <c r="H764" s="1">
        <v>0</v>
      </c>
      <c r="I764" s="1">
        <v>0.69</v>
      </c>
      <c r="J764" s="1">
        <v>1</v>
      </c>
      <c r="K764" s="1">
        <v>0.24</v>
      </c>
      <c r="L764" s="1">
        <v>0.36899999999999999</v>
      </c>
      <c r="M764" s="1">
        <v>0.57999999999999996</v>
      </c>
      <c r="N764" s="1">
        <f>(Occurrence!B$3-D764)^2</f>
        <v>0.25010000999999998</v>
      </c>
      <c r="O764" s="1">
        <f>(Occurrence!C$3-E764)^2</f>
        <v>0.36336784</v>
      </c>
      <c r="P764" s="1">
        <f>(Occurrence!D$3-F764)^2</f>
        <v>0.25010000999999998</v>
      </c>
      <c r="Q764" s="1">
        <f>(Occurrence!E$3-G764)^2</f>
        <v>0.36336784</v>
      </c>
      <c r="R764" s="1">
        <f>(Occurrence!F$3-H764)^2</f>
        <v>0</v>
      </c>
      <c r="S764" s="1">
        <f>(Occurrence!G$3-I764)^2</f>
        <v>0.47609999999999991</v>
      </c>
      <c r="T764" s="1">
        <f>(Occurrence!H$3-J764)^2</f>
        <v>0</v>
      </c>
      <c r="U764" s="1">
        <f>(Occurrence!I$3-K764)^2</f>
        <v>0.5776</v>
      </c>
      <c r="V764" s="1">
        <f>(Occurrence!J$3-L764)^2</f>
        <v>0.136161</v>
      </c>
      <c r="W764" s="1">
        <f>(Occurrence!K$3-M764)^2</f>
        <v>0.17640000000000003</v>
      </c>
      <c r="X764" s="1">
        <f t="shared" si="133"/>
        <v>2.5931967</v>
      </c>
      <c r="Z764" s="1">
        <f t="shared" si="134"/>
        <v>1</v>
      </c>
      <c r="AA764" s="1">
        <f t="shared" si="135"/>
        <v>1</v>
      </c>
      <c r="AB764" s="1">
        <f t="shared" si="136"/>
        <v>0</v>
      </c>
      <c r="AC764" s="1">
        <f t="shared" si="137"/>
        <v>0</v>
      </c>
      <c r="AD764" s="1">
        <f t="shared" si="138"/>
        <v>0</v>
      </c>
      <c r="AE764" s="1">
        <f t="shared" si="139"/>
        <v>1</v>
      </c>
      <c r="AF764" s="1">
        <f t="shared" si="140"/>
        <v>1</v>
      </c>
      <c r="AG764" s="1">
        <f t="shared" si="141"/>
        <v>0</v>
      </c>
      <c r="AH764" s="1">
        <f t="shared" si="142"/>
        <v>0</v>
      </c>
      <c r="AI764" s="1">
        <f t="shared" si="143"/>
        <v>1</v>
      </c>
      <c r="AJ764" s="1">
        <f>SUMXMY2(Z764:AI764, Occurrence!B$3:K$3)</f>
        <v>6</v>
      </c>
      <c r="AK764" s="1">
        <f t="shared" si="144"/>
        <v>4</v>
      </c>
    </row>
    <row r="765" spans="1:37">
      <c r="A765" s="1">
        <v>764</v>
      </c>
      <c r="B765" s="1">
        <v>4252763</v>
      </c>
      <c r="C765" s="6" t="s">
        <v>48</v>
      </c>
      <c r="D765" s="1">
        <v>0.66500000000000004</v>
      </c>
      <c r="E765" s="1">
        <v>0.56399999999999995</v>
      </c>
      <c r="F765" s="1">
        <v>0.30399999999999999</v>
      </c>
      <c r="G765" s="1">
        <v>0.20100000000000001</v>
      </c>
      <c r="H765" s="1">
        <v>1</v>
      </c>
      <c r="I765" s="1">
        <v>0</v>
      </c>
      <c r="J765" s="1">
        <v>1</v>
      </c>
      <c r="K765" s="1">
        <v>0.31</v>
      </c>
      <c r="L765" s="1">
        <v>4.4999999999999998E-2</v>
      </c>
      <c r="M765" s="1">
        <v>0.10199999999999999</v>
      </c>
      <c r="N765" s="1">
        <f>(Occurrence!B$3-D765)^2</f>
        <v>0.44222500000000003</v>
      </c>
      <c r="O765" s="1">
        <f>(Occurrence!C$3-E765)^2</f>
        <v>0.31809599999999993</v>
      </c>
      <c r="P765" s="1">
        <f>(Occurrence!D$3-F765)^2</f>
        <v>0.48441599999999996</v>
      </c>
      <c r="Q765" s="1">
        <f>(Occurrence!E$3-G765)^2</f>
        <v>0.63840099999999989</v>
      </c>
      <c r="R765" s="1">
        <f>(Occurrence!F$3-H765)^2</f>
        <v>1</v>
      </c>
      <c r="S765" s="1">
        <f>(Occurrence!G$3-I765)^2</f>
        <v>0</v>
      </c>
      <c r="T765" s="1">
        <f>(Occurrence!H$3-J765)^2</f>
        <v>0</v>
      </c>
      <c r="U765" s="1">
        <f>(Occurrence!I$3-K765)^2</f>
        <v>0.47609999999999991</v>
      </c>
      <c r="V765" s="1">
        <f>(Occurrence!J$3-L765)^2</f>
        <v>2.0249999999999999E-3</v>
      </c>
      <c r="W765" s="1">
        <f>(Occurrence!K$3-M765)^2</f>
        <v>0.80640400000000001</v>
      </c>
      <c r="X765" s="1">
        <f t="shared" si="133"/>
        <v>4.1676669999999998</v>
      </c>
      <c r="Z765" s="1">
        <f t="shared" si="134"/>
        <v>1</v>
      </c>
      <c r="AA765" s="1">
        <f t="shared" si="135"/>
        <v>1</v>
      </c>
      <c r="AB765" s="1">
        <f t="shared" si="136"/>
        <v>0</v>
      </c>
      <c r="AC765" s="1">
        <f t="shared" si="137"/>
        <v>0</v>
      </c>
      <c r="AD765" s="1">
        <f t="shared" si="138"/>
        <v>1</v>
      </c>
      <c r="AE765" s="1">
        <f t="shared" si="139"/>
        <v>0</v>
      </c>
      <c r="AF765" s="1">
        <f t="shared" si="140"/>
        <v>1</v>
      </c>
      <c r="AG765" s="1">
        <f t="shared" si="141"/>
        <v>0</v>
      </c>
      <c r="AH765" s="1">
        <f t="shared" si="142"/>
        <v>0</v>
      </c>
      <c r="AI765" s="1">
        <f t="shared" si="143"/>
        <v>0</v>
      </c>
      <c r="AJ765" s="1">
        <f>SUMXMY2(Z765:AI765, Occurrence!B$3:K$3)</f>
        <v>7</v>
      </c>
      <c r="AK765" s="1">
        <f t="shared" si="144"/>
        <v>3</v>
      </c>
    </row>
    <row r="766" spans="1:37">
      <c r="A766" s="1">
        <v>765</v>
      </c>
      <c r="B766" s="1">
        <v>4252764</v>
      </c>
      <c r="C766" s="6" t="s">
        <v>48</v>
      </c>
      <c r="D766" s="1">
        <v>0.44500000000000001</v>
      </c>
      <c r="E766" s="1">
        <v>0.53200000000000003</v>
      </c>
      <c r="F766" s="1">
        <v>0.23400000000000001</v>
      </c>
      <c r="G766" s="1">
        <v>0.376</v>
      </c>
      <c r="H766" s="1">
        <v>0.72299999999999998</v>
      </c>
      <c r="I766" s="1">
        <v>0.47199999999999998</v>
      </c>
      <c r="J766" s="1">
        <v>0.19400000000000001</v>
      </c>
      <c r="K766" s="1">
        <v>0.52500000000000002</v>
      </c>
      <c r="L766" s="1">
        <v>0.23200000000000001</v>
      </c>
      <c r="M766" s="1">
        <v>0.32800000000000001</v>
      </c>
      <c r="N766" s="1">
        <f>(Occurrence!B$3-D766)^2</f>
        <v>0.19802500000000001</v>
      </c>
      <c r="O766" s="1">
        <f>(Occurrence!C$3-E766)^2</f>
        <v>0.28302400000000005</v>
      </c>
      <c r="P766" s="1">
        <f>(Occurrence!D$3-F766)^2</f>
        <v>0.58675600000000006</v>
      </c>
      <c r="Q766" s="1">
        <f>(Occurrence!E$3-G766)^2</f>
        <v>0.389376</v>
      </c>
      <c r="R766" s="1">
        <f>(Occurrence!F$3-H766)^2</f>
        <v>0.522729</v>
      </c>
      <c r="S766" s="1">
        <f>(Occurrence!G$3-I766)^2</f>
        <v>0.22278399999999998</v>
      </c>
      <c r="T766" s="1">
        <f>(Occurrence!H$3-J766)^2</f>
        <v>0.6496360000000001</v>
      </c>
      <c r="U766" s="1">
        <f>(Occurrence!I$3-K766)^2</f>
        <v>0.22562499999999999</v>
      </c>
      <c r="V766" s="1">
        <f>(Occurrence!J$3-L766)^2</f>
        <v>5.3824000000000004E-2</v>
      </c>
      <c r="W766" s="1">
        <f>(Occurrence!K$3-M766)^2</f>
        <v>0.45158399999999993</v>
      </c>
      <c r="X766" s="1">
        <f t="shared" si="133"/>
        <v>3.5833630000000003</v>
      </c>
      <c r="Z766" s="1">
        <f t="shared" si="134"/>
        <v>0</v>
      </c>
      <c r="AA766" s="1">
        <f t="shared" si="135"/>
        <v>1</v>
      </c>
      <c r="AB766" s="1">
        <f t="shared" si="136"/>
        <v>0</v>
      </c>
      <c r="AC766" s="1">
        <f t="shared" si="137"/>
        <v>0</v>
      </c>
      <c r="AD766" s="1">
        <f t="shared" si="138"/>
        <v>1</v>
      </c>
      <c r="AE766" s="1">
        <f t="shared" si="139"/>
        <v>0</v>
      </c>
      <c r="AF766" s="1">
        <f t="shared" si="140"/>
        <v>0</v>
      </c>
      <c r="AG766" s="1">
        <f t="shared" si="141"/>
        <v>1</v>
      </c>
      <c r="AH766" s="1">
        <f t="shared" si="142"/>
        <v>0</v>
      </c>
      <c r="AI766" s="1">
        <f t="shared" si="143"/>
        <v>0</v>
      </c>
      <c r="AJ766" s="1">
        <f>SUMXMY2(Z766:AI766, Occurrence!B$3:K$3)</f>
        <v>6</v>
      </c>
      <c r="AK766" s="1">
        <f t="shared" si="144"/>
        <v>4</v>
      </c>
    </row>
    <row r="767" spans="1:37">
      <c r="A767" s="1">
        <v>766</v>
      </c>
      <c r="B767" s="1">
        <v>4252765</v>
      </c>
      <c r="C767" s="6" t="s">
        <v>48</v>
      </c>
      <c r="D767" s="1">
        <v>0.50009999999999999</v>
      </c>
      <c r="E767" s="1">
        <v>0.6028</v>
      </c>
      <c r="F767" s="1">
        <v>0.49990000000000001</v>
      </c>
      <c r="G767" s="1">
        <v>0.3972</v>
      </c>
      <c r="H767" s="1">
        <v>0.5</v>
      </c>
      <c r="I767" s="1">
        <v>0.2</v>
      </c>
      <c r="J767" s="1">
        <v>0.3</v>
      </c>
      <c r="K767" s="1">
        <v>0.43</v>
      </c>
      <c r="L767" s="1">
        <v>0.4</v>
      </c>
      <c r="M767" s="1">
        <v>0.23</v>
      </c>
      <c r="N767" s="1">
        <f>(Occurrence!B$3-D767)^2</f>
        <v>0.25010000999999998</v>
      </c>
      <c r="O767" s="1">
        <f>(Occurrence!C$3-E767)^2</f>
        <v>0.36336784</v>
      </c>
      <c r="P767" s="1">
        <f>(Occurrence!D$3-F767)^2</f>
        <v>0.25010000999999998</v>
      </c>
      <c r="Q767" s="1">
        <f>(Occurrence!E$3-G767)^2</f>
        <v>0.36336784</v>
      </c>
      <c r="R767" s="1">
        <f>(Occurrence!F$3-H767)^2</f>
        <v>0.25</v>
      </c>
      <c r="S767" s="1">
        <f>(Occurrence!G$3-I767)^2</f>
        <v>4.0000000000000008E-2</v>
      </c>
      <c r="T767" s="1">
        <f>(Occurrence!H$3-J767)^2</f>
        <v>0.48999999999999994</v>
      </c>
      <c r="U767" s="1">
        <f>(Occurrence!I$3-K767)^2</f>
        <v>0.32490000000000008</v>
      </c>
      <c r="V767" s="1">
        <f>(Occurrence!J$3-L767)^2</f>
        <v>0.16000000000000003</v>
      </c>
      <c r="W767" s="1">
        <f>(Occurrence!K$3-M767)^2</f>
        <v>0.59289999999999998</v>
      </c>
      <c r="X767" s="1">
        <f t="shared" si="133"/>
        <v>3.0847356999999995</v>
      </c>
      <c r="Z767" s="1">
        <f t="shared" si="134"/>
        <v>1</v>
      </c>
      <c r="AA767" s="1">
        <f t="shared" si="135"/>
        <v>1</v>
      </c>
      <c r="AB767" s="1">
        <f t="shared" si="136"/>
        <v>0</v>
      </c>
      <c r="AC767" s="1">
        <f t="shared" si="137"/>
        <v>0</v>
      </c>
      <c r="AD767" s="1">
        <f t="shared" si="138"/>
        <v>1</v>
      </c>
      <c r="AE767" s="1">
        <f t="shared" si="139"/>
        <v>0</v>
      </c>
      <c r="AF767" s="1">
        <f t="shared" si="140"/>
        <v>0</v>
      </c>
      <c r="AG767" s="1">
        <f t="shared" si="141"/>
        <v>0</v>
      </c>
      <c r="AH767" s="1">
        <f t="shared" si="142"/>
        <v>0</v>
      </c>
      <c r="AI767" s="1">
        <f t="shared" si="143"/>
        <v>0</v>
      </c>
      <c r="AJ767" s="1">
        <f>SUMXMY2(Z767:AI767, Occurrence!B$3:K$3)</f>
        <v>8</v>
      </c>
      <c r="AK767" s="1">
        <f t="shared" si="144"/>
        <v>2</v>
      </c>
    </row>
    <row r="768" spans="1:37">
      <c r="A768" s="1">
        <v>767</v>
      </c>
      <c r="B768" s="1">
        <v>4252766</v>
      </c>
      <c r="C768" s="6" t="s">
        <v>48</v>
      </c>
      <c r="D768" s="1">
        <v>0.50009999999999999</v>
      </c>
      <c r="E768" s="1">
        <v>0.6028</v>
      </c>
      <c r="F768" s="1">
        <v>0.38740000000000002</v>
      </c>
      <c r="G768" s="1">
        <v>0.74309999999999998</v>
      </c>
      <c r="H768" s="1">
        <v>0.64680000000000004</v>
      </c>
      <c r="I768" s="1">
        <v>0.1</v>
      </c>
      <c r="J768" s="1">
        <v>0.46729999999999999</v>
      </c>
      <c r="K768" s="1">
        <v>0.28449999999999998</v>
      </c>
      <c r="L768" s="1">
        <v>0.1348</v>
      </c>
      <c r="M768" s="1">
        <v>0.39340000000000003</v>
      </c>
      <c r="N768" s="1">
        <f>(Occurrence!B$3-D768)^2</f>
        <v>0.25010000999999998</v>
      </c>
      <c r="O768" s="1">
        <f>(Occurrence!C$3-E768)^2</f>
        <v>0.36336784</v>
      </c>
      <c r="P768" s="1">
        <f>(Occurrence!D$3-F768)^2</f>
        <v>0.37527876000000004</v>
      </c>
      <c r="Q768" s="1">
        <f>(Occurrence!E$3-G768)^2</f>
        <v>6.5997610000000012E-2</v>
      </c>
      <c r="R768" s="1">
        <f>(Occurrence!F$3-H768)^2</f>
        <v>0.41835024000000004</v>
      </c>
      <c r="S768" s="1">
        <f>(Occurrence!G$3-I768)^2</f>
        <v>1.0000000000000002E-2</v>
      </c>
      <c r="T768" s="1">
        <f>(Occurrence!H$3-J768)^2</f>
        <v>0.28376928999999995</v>
      </c>
      <c r="U768" s="1">
        <f>(Occurrence!I$3-K768)^2</f>
        <v>0.51194024999999999</v>
      </c>
      <c r="V768" s="1">
        <f>(Occurrence!J$3-L768)^2</f>
        <v>1.8171039999999999E-2</v>
      </c>
      <c r="W768" s="1">
        <f>(Occurrence!K$3-M768)^2</f>
        <v>0.36796356000000002</v>
      </c>
      <c r="X768" s="1">
        <f t="shared" si="133"/>
        <v>2.6649386000000002</v>
      </c>
      <c r="Z768" s="1">
        <f t="shared" si="134"/>
        <v>1</v>
      </c>
      <c r="AA768" s="1">
        <f t="shared" si="135"/>
        <v>1</v>
      </c>
      <c r="AB768" s="1">
        <f t="shared" si="136"/>
        <v>0</v>
      </c>
      <c r="AC768" s="1">
        <f t="shared" si="137"/>
        <v>1</v>
      </c>
      <c r="AD768" s="1">
        <f t="shared" si="138"/>
        <v>1</v>
      </c>
      <c r="AE768" s="1">
        <f t="shared" si="139"/>
        <v>0</v>
      </c>
      <c r="AF768" s="1">
        <f t="shared" si="140"/>
        <v>0</v>
      </c>
      <c r="AG768" s="1">
        <f t="shared" si="141"/>
        <v>0</v>
      </c>
      <c r="AH768" s="1">
        <f t="shared" si="142"/>
        <v>0</v>
      </c>
      <c r="AI768" s="1">
        <f t="shared" si="143"/>
        <v>0</v>
      </c>
      <c r="AJ768" s="1">
        <f>SUMXMY2(Z768:AI768, Occurrence!B$3:K$3)</f>
        <v>7</v>
      </c>
      <c r="AK768" s="1">
        <f t="shared" si="144"/>
        <v>3</v>
      </c>
    </row>
    <row r="769" spans="1:37">
      <c r="A769" s="1">
        <v>768</v>
      </c>
      <c r="B769" s="1">
        <v>4252767</v>
      </c>
      <c r="C769" s="6" t="s">
        <v>49</v>
      </c>
      <c r="D769" s="1">
        <v>0.65</v>
      </c>
      <c r="E769" s="1">
        <v>0.85</v>
      </c>
      <c r="F769" s="1">
        <v>0.2</v>
      </c>
      <c r="G769" s="1">
        <v>0.5</v>
      </c>
      <c r="H769" s="1">
        <v>0.85</v>
      </c>
      <c r="I769" s="1">
        <v>0.45</v>
      </c>
      <c r="J769" s="1">
        <v>0.5</v>
      </c>
      <c r="K769" s="1">
        <v>0.45</v>
      </c>
      <c r="L769" s="1">
        <v>0.23</v>
      </c>
      <c r="M769" s="1">
        <v>0.23</v>
      </c>
      <c r="N769" s="1">
        <f>(Occurrence!B$3-D769)^2</f>
        <v>0.42250000000000004</v>
      </c>
      <c r="O769" s="1">
        <f>(Occurrence!C$3-E769)^2</f>
        <v>0.72249999999999992</v>
      </c>
      <c r="P769" s="1">
        <f>(Occurrence!D$3-F769)^2</f>
        <v>0.64000000000000012</v>
      </c>
      <c r="Q769" s="1">
        <f>(Occurrence!E$3-G769)^2</f>
        <v>0.25</v>
      </c>
      <c r="R769" s="1">
        <f>(Occurrence!F$3-H769)^2</f>
        <v>0.72249999999999992</v>
      </c>
      <c r="S769" s="1">
        <f>(Occurrence!G$3-I769)^2</f>
        <v>0.20250000000000001</v>
      </c>
      <c r="T769" s="1">
        <f>(Occurrence!H$3-J769)^2</f>
        <v>0.25</v>
      </c>
      <c r="U769" s="1">
        <f>(Occurrence!I$3-K769)^2</f>
        <v>0.30250000000000005</v>
      </c>
      <c r="V769" s="1">
        <f>(Occurrence!J$3-L769)^2</f>
        <v>5.2900000000000003E-2</v>
      </c>
      <c r="W769" s="1">
        <f>(Occurrence!K$3-M769)^2</f>
        <v>0.59289999999999998</v>
      </c>
      <c r="X769" s="1">
        <f t="shared" si="133"/>
        <v>4.1583000000000006</v>
      </c>
      <c r="Z769" s="1">
        <f t="shared" si="134"/>
        <v>1</v>
      </c>
      <c r="AA769" s="1">
        <f t="shared" si="135"/>
        <v>1</v>
      </c>
      <c r="AB769" s="1">
        <f t="shared" si="136"/>
        <v>0</v>
      </c>
      <c r="AC769" s="1">
        <f t="shared" si="137"/>
        <v>1</v>
      </c>
      <c r="AD769" s="1">
        <f t="shared" si="138"/>
        <v>1</v>
      </c>
      <c r="AE769" s="1">
        <f t="shared" si="139"/>
        <v>0</v>
      </c>
      <c r="AF769" s="1">
        <f t="shared" si="140"/>
        <v>1</v>
      </c>
      <c r="AG769" s="1">
        <f t="shared" si="141"/>
        <v>0</v>
      </c>
      <c r="AH769" s="1">
        <f t="shared" si="142"/>
        <v>0</v>
      </c>
      <c r="AI769" s="1">
        <f t="shared" si="143"/>
        <v>0</v>
      </c>
      <c r="AJ769" s="1">
        <f>SUMXMY2(Z769:AI769, Occurrence!B$3:K$3)</f>
        <v>6</v>
      </c>
      <c r="AK769" s="1">
        <f t="shared" si="144"/>
        <v>4</v>
      </c>
    </row>
    <row r="770" spans="1:37">
      <c r="A770" s="1">
        <v>769</v>
      </c>
      <c r="B770" s="1">
        <v>4252768</v>
      </c>
      <c r="C770" s="6" t="s">
        <v>49</v>
      </c>
      <c r="D770" s="1">
        <v>0.5</v>
      </c>
      <c r="E770" s="1">
        <v>0.6</v>
      </c>
      <c r="F770" s="1">
        <v>0.5</v>
      </c>
      <c r="G770" s="1">
        <v>0.4</v>
      </c>
      <c r="H770" s="1">
        <v>0.6</v>
      </c>
      <c r="I770" s="1">
        <v>0.7</v>
      </c>
      <c r="J770" s="1">
        <v>1</v>
      </c>
      <c r="K770" s="1">
        <v>0.8</v>
      </c>
      <c r="L770" s="1">
        <v>0.2</v>
      </c>
      <c r="M770" s="1">
        <v>0.56000000000000005</v>
      </c>
      <c r="N770" s="1">
        <f>(Occurrence!B$3-D770)^2</f>
        <v>0.25</v>
      </c>
      <c r="O770" s="1">
        <f>(Occurrence!C$3-E770)^2</f>
        <v>0.36</v>
      </c>
      <c r="P770" s="1">
        <f>(Occurrence!D$3-F770)^2</f>
        <v>0.25</v>
      </c>
      <c r="Q770" s="1">
        <f>(Occurrence!E$3-G770)^2</f>
        <v>0.36</v>
      </c>
      <c r="R770" s="1">
        <f>(Occurrence!F$3-H770)^2</f>
        <v>0.36</v>
      </c>
      <c r="S770" s="1">
        <f>(Occurrence!G$3-I770)^2</f>
        <v>0.48999999999999994</v>
      </c>
      <c r="T770" s="1">
        <f>(Occurrence!H$3-J770)^2</f>
        <v>0</v>
      </c>
      <c r="U770" s="1">
        <f>(Occurrence!I$3-K770)^2</f>
        <v>3.999999999999998E-2</v>
      </c>
      <c r="V770" s="1">
        <f>(Occurrence!J$3-L770)^2</f>
        <v>4.0000000000000008E-2</v>
      </c>
      <c r="W770" s="1">
        <f>(Occurrence!K$3-M770)^2</f>
        <v>0.19359999999999997</v>
      </c>
      <c r="X770" s="1">
        <f t="shared" si="133"/>
        <v>2.3435999999999999</v>
      </c>
      <c r="Z770" s="1">
        <f t="shared" si="134"/>
        <v>1</v>
      </c>
      <c r="AA770" s="1">
        <f t="shared" si="135"/>
        <v>1</v>
      </c>
      <c r="AB770" s="1">
        <f t="shared" si="136"/>
        <v>1</v>
      </c>
      <c r="AC770" s="1">
        <f t="shared" si="137"/>
        <v>0</v>
      </c>
      <c r="AD770" s="1">
        <f t="shared" si="138"/>
        <v>1</v>
      </c>
      <c r="AE770" s="1">
        <f t="shared" si="139"/>
        <v>1</v>
      </c>
      <c r="AF770" s="1">
        <f t="shared" si="140"/>
        <v>1</v>
      </c>
      <c r="AG770" s="1">
        <f t="shared" si="141"/>
        <v>1</v>
      </c>
      <c r="AH770" s="1">
        <f t="shared" si="142"/>
        <v>0</v>
      </c>
      <c r="AI770" s="1">
        <f t="shared" si="143"/>
        <v>1</v>
      </c>
      <c r="AJ770" s="1">
        <f>SUMXMY2(Z770:AI770, Occurrence!B$3:K$3)</f>
        <v>5</v>
      </c>
      <c r="AK770" s="1">
        <f t="shared" si="144"/>
        <v>5</v>
      </c>
    </row>
    <row r="771" spans="1:37">
      <c r="A771" s="1">
        <v>770</v>
      </c>
      <c r="B771" s="1">
        <v>4252769</v>
      </c>
      <c r="C771" s="6" t="s">
        <v>49</v>
      </c>
      <c r="D771" s="1">
        <v>0.2</v>
      </c>
      <c r="E771" s="1">
        <v>0.4</v>
      </c>
      <c r="F771" s="1">
        <v>0.2</v>
      </c>
      <c r="G771" s="1">
        <v>0.4</v>
      </c>
      <c r="H771" s="1">
        <v>0.2</v>
      </c>
      <c r="I771" s="1">
        <v>0.5</v>
      </c>
      <c r="J771" s="1">
        <v>0.25</v>
      </c>
      <c r="K771" s="1">
        <v>0.5</v>
      </c>
      <c r="L771" s="1">
        <v>0.5</v>
      </c>
      <c r="M771" s="1">
        <v>0.5</v>
      </c>
      <c r="N771" s="1">
        <f>(Occurrence!B$3-D771)^2</f>
        <v>4.0000000000000008E-2</v>
      </c>
      <c r="O771" s="1">
        <f>(Occurrence!C$3-E771)^2</f>
        <v>0.16000000000000003</v>
      </c>
      <c r="P771" s="1">
        <f>(Occurrence!D$3-F771)^2</f>
        <v>0.64000000000000012</v>
      </c>
      <c r="Q771" s="1">
        <f>(Occurrence!E$3-G771)^2</f>
        <v>0.36</v>
      </c>
      <c r="R771" s="1">
        <f>(Occurrence!F$3-H771)^2</f>
        <v>4.0000000000000008E-2</v>
      </c>
      <c r="S771" s="1">
        <f>(Occurrence!G$3-I771)^2</f>
        <v>0.25</v>
      </c>
      <c r="T771" s="1">
        <f>(Occurrence!H$3-J771)^2</f>
        <v>0.5625</v>
      </c>
      <c r="U771" s="1">
        <f>(Occurrence!I$3-K771)^2</f>
        <v>0.25</v>
      </c>
      <c r="V771" s="1">
        <f>(Occurrence!J$3-L771)^2</f>
        <v>0.25</v>
      </c>
      <c r="W771" s="1">
        <f>(Occurrence!K$3-M771)^2</f>
        <v>0.25</v>
      </c>
      <c r="X771" s="1">
        <f t="shared" ref="X771:X834" si="145">SUM(N771:W771)</f>
        <v>2.8025000000000002</v>
      </c>
      <c r="Z771" s="1">
        <f t="shared" ref="Z771:Z834" si="146">ROUND(D771, 0)</f>
        <v>0</v>
      </c>
      <c r="AA771" s="1">
        <f t="shared" ref="AA771:AA834" si="147">ROUND(E771, 0)</f>
        <v>0</v>
      </c>
      <c r="AB771" s="1">
        <f t="shared" ref="AB771:AB834" si="148">ROUND(F771, 0)</f>
        <v>0</v>
      </c>
      <c r="AC771" s="1">
        <f t="shared" ref="AC771:AC834" si="149">ROUND(G771, 0)</f>
        <v>0</v>
      </c>
      <c r="AD771" s="1">
        <f t="shared" ref="AD771:AD834" si="150">ROUND(H771, 0)</f>
        <v>0</v>
      </c>
      <c r="AE771" s="1">
        <f t="shared" ref="AE771:AE834" si="151">ROUND(I771, 0)</f>
        <v>1</v>
      </c>
      <c r="AF771" s="1">
        <f t="shared" ref="AF771:AF834" si="152">ROUND(J771, 0)</f>
        <v>0</v>
      </c>
      <c r="AG771" s="1">
        <f t="shared" ref="AG771:AG834" si="153">ROUND(K771, 0)</f>
        <v>1</v>
      </c>
      <c r="AH771" s="1">
        <f t="shared" ref="AH771:AH834" si="154">ROUND(L771, 0)</f>
        <v>1</v>
      </c>
      <c r="AI771" s="1">
        <f t="shared" ref="AI771:AI834" si="155">ROUND(M771, 0)</f>
        <v>1</v>
      </c>
      <c r="AJ771" s="1">
        <f>SUMXMY2(Z771:AI771, Occurrence!B$3:K$3)</f>
        <v>5</v>
      </c>
      <c r="AK771" s="1">
        <f t="shared" ref="AK771:AK834" si="156">10-AJ771</f>
        <v>5</v>
      </c>
    </row>
    <row r="772" spans="1:37">
      <c r="A772" s="1">
        <v>771</v>
      </c>
      <c r="B772" s="1">
        <v>4252770</v>
      </c>
      <c r="C772" s="6" t="s">
        <v>49</v>
      </c>
      <c r="D772" s="1">
        <v>0.54</v>
      </c>
      <c r="E772" s="1">
        <v>0.89</v>
      </c>
      <c r="F772" s="1">
        <v>0.4</v>
      </c>
      <c r="G772" s="1">
        <v>0.6</v>
      </c>
      <c r="H772" s="1">
        <v>0.32</v>
      </c>
      <c r="I772" s="1">
        <v>0.6</v>
      </c>
      <c r="J772" s="1">
        <v>0.25</v>
      </c>
      <c r="K772" s="1">
        <v>0.115</v>
      </c>
      <c r="L772" s="1">
        <v>0.56000000000000005</v>
      </c>
      <c r="M772" s="1">
        <v>0.89</v>
      </c>
      <c r="N772" s="1">
        <f>(Occurrence!B$3-D772)^2</f>
        <v>0.29160000000000003</v>
      </c>
      <c r="O772" s="1">
        <f>(Occurrence!C$3-E772)^2</f>
        <v>0.79210000000000003</v>
      </c>
      <c r="P772" s="1">
        <f>(Occurrence!D$3-F772)^2</f>
        <v>0.36</v>
      </c>
      <c r="Q772" s="1">
        <f>(Occurrence!E$3-G772)^2</f>
        <v>0.16000000000000003</v>
      </c>
      <c r="R772" s="1">
        <f>(Occurrence!F$3-H772)^2</f>
        <v>0.1024</v>
      </c>
      <c r="S772" s="1">
        <f>(Occurrence!G$3-I772)^2</f>
        <v>0.36</v>
      </c>
      <c r="T772" s="1">
        <f>(Occurrence!H$3-J772)^2</f>
        <v>0.5625</v>
      </c>
      <c r="U772" s="1">
        <f>(Occurrence!I$3-K772)^2</f>
        <v>0.78322500000000006</v>
      </c>
      <c r="V772" s="1">
        <f>(Occurrence!J$3-L772)^2</f>
        <v>0.31360000000000005</v>
      </c>
      <c r="W772" s="1">
        <f>(Occurrence!K$3-M772)^2</f>
        <v>1.2099999999999998E-2</v>
      </c>
      <c r="X772" s="1">
        <f t="shared" si="145"/>
        <v>3.7375250000000002</v>
      </c>
      <c r="Z772" s="1">
        <f t="shared" si="146"/>
        <v>1</v>
      </c>
      <c r="AA772" s="1">
        <f t="shared" si="147"/>
        <v>1</v>
      </c>
      <c r="AB772" s="1">
        <f t="shared" si="148"/>
        <v>0</v>
      </c>
      <c r="AC772" s="1">
        <f t="shared" si="149"/>
        <v>1</v>
      </c>
      <c r="AD772" s="1">
        <f t="shared" si="150"/>
        <v>0</v>
      </c>
      <c r="AE772" s="1">
        <f t="shared" si="151"/>
        <v>1</v>
      </c>
      <c r="AF772" s="1">
        <f t="shared" si="152"/>
        <v>0</v>
      </c>
      <c r="AG772" s="1">
        <f t="shared" si="153"/>
        <v>0</v>
      </c>
      <c r="AH772" s="1">
        <f t="shared" si="154"/>
        <v>1</v>
      </c>
      <c r="AI772" s="1">
        <f t="shared" si="155"/>
        <v>1</v>
      </c>
      <c r="AJ772" s="1">
        <f>SUMXMY2(Z772:AI772, Occurrence!B$3:K$3)</f>
        <v>7</v>
      </c>
      <c r="AK772" s="1">
        <f t="shared" si="156"/>
        <v>3</v>
      </c>
    </row>
    <row r="773" spans="1:37">
      <c r="A773" s="1">
        <v>772</v>
      </c>
      <c r="B773" s="1">
        <v>4252771</v>
      </c>
      <c r="C773" s="6" t="s">
        <v>49</v>
      </c>
      <c r="D773" s="1">
        <v>0</v>
      </c>
      <c r="E773" s="1">
        <v>0</v>
      </c>
      <c r="F773" s="1">
        <v>1</v>
      </c>
      <c r="G773" s="1">
        <v>1</v>
      </c>
      <c r="H773" s="1">
        <v>0</v>
      </c>
      <c r="I773" s="1">
        <v>1</v>
      </c>
      <c r="J773" s="1">
        <v>0</v>
      </c>
      <c r="K773" s="1">
        <v>1</v>
      </c>
      <c r="L773" s="1">
        <v>1</v>
      </c>
      <c r="M773" s="1">
        <v>0</v>
      </c>
      <c r="N773" s="1">
        <f>(Occurrence!B$3-D773)^2</f>
        <v>0</v>
      </c>
      <c r="O773" s="1">
        <f>(Occurrence!C$3-E773)^2</f>
        <v>0</v>
      </c>
      <c r="P773" s="1">
        <f>(Occurrence!D$3-F773)^2</f>
        <v>0</v>
      </c>
      <c r="Q773" s="1">
        <f>(Occurrence!E$3-G773)^2</f>
        <v>0</v>
      </c>
      <c r="R773" s="1">
        <f>(Occurrence!F$3-H773)^2</f>
        <v>0</v>
      </c>
      <c r="S773" s="1">
        <f>(Occurrence!G$3-I773)^2</f>
        <v>1</v>
      </c>
      <c r="T773" s="1">
        <f>(Occurrence!H$3-J773)^2</f>
        <v>1</v>
      </c>
      <c r="U773" s="1">
        <f>(Occurrence!I$3-K773)^2</f>
        <v>0</v>
      </c>
      <c r="V773" s="1">
        <f>(Occurrence!J$3-L773)^2</f>
        <v>1</v>
      </c>
      <c r="W773" s="1">
        <f>(Occurrence!K$3-M773)^2</f>
        <v>1</v>
      </c>
      <c r="X773" s="1">
        <f t="shared" si="145"/>
        <v>4</v>
      </c>
      <c r="Z773" s="1">
        <f t="shared" si="146"/>
        <v>0</v>
      </c>
      <c r="AA773" s="1">
        <f t="shared" si="147"/>
        <v>0</v>
      </c>
      <c r="AB773" s="1">
        <f t="shared" si="148"/>
        <v>1</v>
      </c>
      <c r="AC773" s="1">
        <f t="shared" si="149"/>
        <v>1</v>
      </c>
      <c r="AD773" s="1">
        <f t="shared" si="150"/>
        <v>0</v>
      </c>
      <c r="AE773" s="1">
        <f t="shared" si="151"/>
        <v>1</v>
      </c>
      <c r="AF773" s="1">
        <f t="shared" si="152"/>
        <v>0</v>
      </c>
      <c r="AG773" s="1">
        <f t="shared" si="153"/>
        <v>1</v>
      </c>
      <c r="AH773" s="1">
        <f t="shared" si="154"/>
        <v>1</v>
      </c>
      <c r="AI773" s="1">
        <f t="shared" si="155"/>
        <v>0</v>
      </c>
      <c r="AJ773" s="1">
        <f>SUMXMY2(Z773:AI773, Occurrence!B$3:K$3)</f>
        <v>4</v>
      </c>
      <c r="AK773" s="1">
        <f t="shared" si="156"/>
        <v>6</v>
      </c>
    </row>
    <row r="774" spans="1:37">
      <c r="A774" s="1">
        <v>773</v>
      </c>
      <c r="B774" s="1">
        <v>4252772</v>
      </c>
      <c r="C774" s="6" t="s">
        <v>49</v>
      </c>
      <c r="D774" s="1">
        <v>0</v>
      </c>
      <c r="E774" s="1">
        <v>0</v>
      </c>
      <c r="F774" s="1">
        <v>1</v>
      </c>
      <c r="G774" s="1">
        <v>1</v>
      </c>
      <c r="H774" s="1">
        <v>0</v>
      </c>
      <c r="I774" s="1">
        <v>0.5</v>
      </c>
      <c r="J774" s="1">
        <v>0.6</v>
      </c>
      <c r="K774" s="1">
        <v>0.7</v>
      </c>
      <c r="L774" s="1">
        <v>0.3</v>
      </c>
      <c r="M774" s="1">
        <v>1</v>
      </c>
      <c r="N774" s="1">
        <f>(Occurrence!B$3-D774)^2</f>
        <v>0</v>
      </c>
      <c r="O774" s="1">
        <f>(Occurrence!C$3-E774)^2</f>
        <v>0</v>
      </c>
      <c r="P774" s="1">
        <f>(Occurrence!D$3-F774)^2</f>
        <v>0</v>
      </c>
      <c r="Q774" s="1">
        <f>(Occurrence!E$3-G774)^2</f>
        <v>0</v>
      </c>
      <c r="R774" s="1">
        <f>(Occurrence!F$3-H774)^2</f>
        <v>0</v>
      </c>
      <c r="S774" s="1">
        <f>(Occurrence!G$3-I774)^2</f>
        <v>0.25</v>
      </c>
      <c r="T774" s="1">
        <f>(Occurrence!H$3-J774)^2</f>
        <v>0.16000000000000003</v>
      </c>
      <c r="U774" s="1">
        <f>(Occurrence!I$3-K774)^2</f>
        <v>9.0000000000000024E-2</v>
      </c>
      <c r="V774" s="1">
        <f>(Occurrence!J$3-L774)^2</f>
        <v>0.09</v>
      </c>
      <c r="W774" s="1">
        <f>(Occurrence!K$3-M774)^2</f>
        <v>0</v>
      </c>
      <c r="X774" s="1">
        <f t="shared" si="145"/>
        <v>0.59</v>
      </c>
      <c r="Z774" s="1">
        <f t="shared" si="146"/>
        <v>0</v>
      </c>
      <c r="AA774" s="1">
        <f t="shared" si="147"/>
        <v>0</v>
      </c>
      <c r="AB774" s="1">
        <f t="shared" si="148"/>
        <v>1</v>
      </c>
      <c r="AC774" s="1">
        <f t="shared" si="149"/>
        <v>1</v>
      </c>
      <c r="AD774" s="1">
        <f t="shared" si="150"/>
        <v>0</v>
      </c>
      <c r="AE774" s="1">
        <f t="shared" si="151"/>
        <v>1</v>
      </c>
      <c r="AF774" s="1">
        <f t="shared" si="152"/>
        <v>1</v>
      </c>
      <c r="AG774" s="1">
        <f t="shared" si="153"/>
        <v>1</v>
      </c>
      <c r="AH774" s="1">
        <f t="shared" si="154"/>
        <v>0</v>
      </c>
      <c r="AI774" s="1">
        <f t="shared" si="155"/>
        <v>1</v>
      </c>
      <c r="AJ774" s="1">
        <f>SUMXMY2(Z774:AI774, Occurrence!B$3:K$3)</f>
        <v>1</v>
      </c>
      <c r="AK774" s="1">
        <f t="shared" si="156"/>
        <v>9</v>
      </c>
    </row>
    <row r="775" spans="1:37">
      <c r="A775" s="1">
        <v>774</v>
      </c>
      <c r="B775" s="1">
        <v>4252773</v>
      </c>
      <c r="C775" s="6" t="s">
        <v>49</v>
      </c>
      <c r="D775" s="1">
        <v>0.25</v>
      </c>
      <c r="E775" s="1">
        <v>0.1</v>
      </c>
      <c r="F775" s="1">
        <v>0.75</v>
      </c>
      <c r="G775" s="1">
        <v>0.75</v>
      </c>
      <c r="H775" s="1">
        <v>1</v>
      </c>
      <c r="I775" s="1">
        <v>0.6</v>
      </c>
      <c r="J775" s="1">
        <v>0.4</v>
      </c>
      <c r="K775" s="1">
        <v>1</v>
      </c>
      <c r="L775" s="1">
        <v>0.1</v>
      </c>
      <c r="M775" s="1">
        <v>0.9</v>
      </c>
      <c r="N775" s="1">
        <f>(Occurrence!B$3-D775)^2</f>
        <v>6.25E-2</v>
      </c>
      <c r="O775" s="1">
        <f>(Occurrence!C$3-E775)^2</f>
        <v>1.0000000000000002E-2</v>
      </c>
      <c r="P775" s="1">
        <f>(Occurrence!D$3-F775)^2</f>
        <v>6.25E-2</v>
      </c>
      <c r="Q775" s="1">
        <f>(Occurrence!E$3-G775)^2</f>
        <v>6.25E-2</v>
      </c>
      <c r="R775" s="1">
        <f>(Occurrence!F$3-H775)^2</f>
        <v>1</v>
      </c>
      <c r="S775" s="1">
        <f>(Occurrence!G$3-I775)^2</f>
        <v>0.36</v>
      </c>
      <c r="T775" s="1">
        <f>(Occurrence!H$3-J775)^2</f>
        <v>0.36</v>
      </c>
      <c r="U775" s="1">
        <f>(Occurrence!I$3-K775)^2</f>
        <v>0</v>
      </c>
      <c r="V775" s="1">
        <f>(Occurrence!J$3-L775)^2</f>
        <v>1.0000000000000002E-2</v>
      </c>
      <c r="W775" s="1">
        <f>(Occurrence!K$3-M775)^2</f>
        <v>9.999999999999995E-3</v>
      </c>
      <c r="X775" s="1">
        <f t="shared" si="145"/>
        <v>1.9375</v>
      </c>
      <c r="Z775" s="1">
        <f t="shared" si="146"/>
        <v>0</v>
      </c>
      <c r="AA775" s="1">
        <f t="shared" si="147"/>
        <v>0</v>
      </c>
      <c r="AB775" s="1">
        <f t="shared" si="148"/>
        <v>1</v>
      </c>
      <c r="AC775" s="1">
        <f t="shared" si="149"/>
        <v>1</v>
      </c>
      <c r="AD775" s="1">
        <f t="shared" si="150"/>
        <v>1</v>
      </c>
      <c r="AE775" s="1">
        <f t="shared" si="151"/>
        <v>1</v>
      </c>
      <c r="AF775" s="1">
        <f t="shared" si="152"/>
        <v>0</v>
      </c>
      <c r="AG775" s="1">
        <f t="shared" si="153"/>
        <v>1</v>
      </c>
      <c r="AH775" s="1">
        <f t="shared" si="154"/>
        <v>0</v>
      </c>
      <c r="AI775" s="1">
        <f t="shared" si="155"/>
        <v>1</v>
      </c>
      <c r="AJ775" s="1">
        <f>SUMXMY2(Z775:AI775, Occurrence!B$3:K$3)</f>
        <v>3</v>
      </c>
      <c r="AK775" s="1">
        <f t="shared" si="156"/>
        <v>7</v>
      </c>
    </row>
    <row r="776" spans="1:37">
      <c r="A776" s="1">
        <v>775</v>
      </c>
      <c r="B776" s="1">
        <v>4252774</v>
      </c>
      <c r="C776" s="6" t="s">
        <v>49</v>
      </c>
      <c r="D776" s="1">
        <v>0</v>
      </c>
      <c r="E776" s="1">
        <v>0</v>
      </c>
      <c r="F776" s="1">
        <v>1</v>
      </c>
      <c r="G776" s="1">
        <v>1</v>
      </c>
      <c r="H776" s="1">
        <v>0.5</v>
      </c>
      <c r="I776" s="1">
        <v>1</v>
      </c>
      <c r="J776" s="1">
        <v>0.2</v>
      </c>
      <c r="K776" s="1">
        <v>0.4</v>
      </c>
      <c r="L776" s="1">
        <v>0.7</v>
      </c>
      <c r="M776" s="1">
        <v>0.6</v>
      </c>
      <c r="N776" s="1">
        <f>(Occurrence!B$3-D776)^2</f>
        <v>0</v>
      </c>
      <c r="O776" s="1">
        <f>(Occurrence!C$3-E776)^2</f>
        <v>0</v>
      </c>
      <c r="P776" s="1">
        <f>(Occurrence!D$3-F776)^2</f>
        <v>0</v>
      </c>
      <c r="Q776" s="1">
        <f>(Occurrence!E$3-G776)^2</f>
        <v>0</v>
      </c>
      <c r="R776" s="1">
        <f>(Occurrence!F$3-H776)^2</f>
        <v>0.25</v>
      </c>
      <c r="S776" s="1">
        <f>(Occurrence!G$3-I776)^2</f>
        <v>1</v>
      </c>
      <c r="T776" s="1">
        <f>(Occurrence!H$3-J776)^2</f>
        <v>0.64000000000000012</v>
      </c>
      <c r="U776" s="1">
        <f>(Occurrence!I$3-K776)^2</f>
        <v>0.36</v>
      </c>
      <c r="V776" s="1">
        <f>(Occurrence!J$3-L776)^2</f>
        <v>0.48999999999999994</v>
      </c>
      <c r="W776" s="1">
        <f>(Occurrence!K$3-M776)^2</f>
        <v>0.16000000000000003</v>
      </c>
      <c r="X776" s="1">
        <f t="shared" si="145"/>
        <v>2.9</v>
      </c>
      <c r="Z776" s="1">
        <f t="shared" si="146"/>
        <v>0</v>
      </c>
      <c r="AA776" s="1">
        <f t="shared" si="147"/>
        <v>0</v>
      </c>
      <c r="AB776" s="1">
        <f t="shared" si="148"/>
        <v>1</v>
      </c>
      <c r="AC776" s="1">
        <f t="shared" si="149"/>
        <v>1</v>
      </c>
      <c r="AD776" s="1">
        <f t="shared" si="150"/>
        <v>1</v>
      </c>
      <c r="AE776" s="1">
        <f t="shared" si="151"/>
        <v>1</v>
      </c>
      <c r="AF776" s="1">
        <f t="shared" si="152"/>
        <v>0</v>
      </c>
      <c r="AG776" s="1">
        <f t="shared" si="153"/>
        <v>0</v>
      </c>
      <c r="AH776" s="1">
        <f t="shared" si="154"/>
        <v>1</v>
      </c>
      <c r="AI776" s="1">
        <f t="shared" si="155"/>
        <v>1</v>
      </c>
      <c r="AJ776" s="1">
        <f>SUMXMY2(Z776:AI776, Occurrence!B$3:K$3)</f>
        <v>5</v>
      </c>
      <c r="AK776" s="1">
        <f t="shared" si="156"/>
        <v>5</v>
      </c>
    </row>
    <row r="777" spans="1:37">
      <c r="A777" s="1">
        <v>776</v>
      </c>
      <c r="B777" s="1">
        <v>4252775</v>
      </c>
      <c r="C777" s="6" t="s">
        <v>49</v>
      </c>
      <c r="D777" s="1">
        <v>0.25</v>
      </c>
      <c r="E777" s="1">
        <v>0.35</v>
      </c>
      <c r="F777" s="1">
        <v>0.75</v>
      </c>
      <c r="G777" s="1">
        <v>0.65</v>
      </c>
      <c r="H777" s="1">
        <v>0.65</v>
      </c>
      <c r="I777" s="1">
        <v>0.28000000000000003</v>
      </c>
      <c r="J777" s="1">
        <v>0.84</v>
      </c>
      <c r="K777" s="1">
        <v>0.52</v>
      </c>
      <c r="L777" s="1">
        <v>0.9</v>
      </c>
      <c r="M777" s="1">
        <v>0.37</v>
      </c>
      <c r="N777" s="1">
        <f>(Occurrence!B$3-D777)^2</f>
        <v>6.25E-2</v>
      </c>
      <c r="O777" s="1">
        <f>(Occurrence!C$3-E777)^2</f>
        <v>0.12249999999999998</v>
      </c>
      <c r="P777" s="1">
        <f>(Occurrence!D$3-F777)^2</f>
        <v>6.25E-2</v>
      </c>
      <c r="Q777" s="1">
        <f>(Occurrence!E$3-G777)^2</f>
        <v>0.12249999999999998</v>
      </c>
      <c r="R777" s="1">
        <f>(Occurrence!F$3-H777)^2</f>
        <v>0.42250000000000004</v>
      </c>
      <c r="S777" s="1">
        <f>(Occurrence!G$3-I777)^2</f>
        <v>7.8400000000000011E-2</v>
      </c>
      <c r="T777" s="1">
        <f>(Occurrence!H$3-J777)^2</f>
        <v>2.5600000000000012E-2</v>
      </c>
      <c r="U777" s="1">
        <f>(Occurrence!I$3-K777)^2</f>
        <v>0.23039999999999999</v>
      </c>
      <c r="V777" s="1">
        <f>(Occurrence!J$3-L777)^2</f>
        <v>0.81</v>
      </c>
      <c r="W777" s="1">
        <f>(Occurrence!K$3-M777)^2</f>
        <v>0.39690000000000003</v>
      </c>
      <c r="X777" s="1">
        <f t="shared" si="145"/>
        <v>2.3338000000000001</v>
      </c>
      <c r="Z777" s="1">
        <f t="shared" si="146"/>
        <v>0</v>
      </c>
      <c r="AA777" s="1">
        <f t="shared" si="147"/>
        <v>0</v>
      </c>
      <c r="AB777" s="1">
        <f t="shared" si="148"/>
        <v>1</v>
      </c>
      <c r="AC777" s="1">
        <f t="shared" si="149"/>
        <v>1</v>
      </c>
      <c r="AD777" s="1">
        <f t="shared" si="150"/>
        <v>1</v>
      </c>
      <c r="AE777" s="1">
        <f t="shared" si="151"/>
        <v>0</v>
      </c>
      <c r="AF777" s="1">
        <f t="shared" si="152"/>
        <v>1</v>
      </c>
      <c r="AG777" s="1">
        <f t="shared" si="153"/>
        <v>1</v>
      </c>
      <c r="AH777" s="1">
        <f t="shared" si="154"/>
        <v>1</v>
      </c>
      <c r="AI777" s="1">
        <f t="shared" si="155"/>
        <v>0</v>
      </c>
      <c r="AJ777" s="1">
        <f>SUMXMY2(Z777:AI777, Occurrence!B$3:K$3)</f>
        <v>3</v>
      </c>
      <c r="AK777" s="1">
        <f t="shared" si="156"/>
        <v>7</v>
      </c>
    </row>
    <row r="778" spans="1:37">
      <c r="A778" s="1">
        <v>777</v>
      </c>
      <c r="B778" s="1">
        <v>4252776</v>
      </c>
      <c r="C778" s="6" t="s">
        <v>49</v>
      </c>
      <c r="D778" s="1">
        <v>0.25</v>
      </c>
      <c r="E778" s="1">
        <v>0.45</v>
      </c>
      <c r="F778" s="1">
        <v>0.25</v>
      </c>
      <c r="G778" s="1">
        <v>0.45</v>
      </c>
      <c r="H778" s="1">
        <v>0.1</v>
      </c>
      <c r="I778" s="1">
        <v>0.4</v>
      </c>
      <c r="J778" s="1">
        <v>0.25</v>
      </c>
      <c r="K778" s="1">
        <v>0.6</v>
      </c>
      <c r="L778" s="1">
        <v>0.2</v>
      </c>
      <c r="M778" s="1">
        <v>0.3</v>
      </c>
      <c r="N778" s="1">
        <f>(Occurrence!B$3-D778)^2</f>
        <v>6.25E-2</v>
      </c>
      <c r="O778" s="1">
        <f>(Occurrence!C$3-E778)^2</f>
        <v>0.20250000000000001</v>
      </c>
      <c r="P778" s="1">
        <f>(Occurrence!D$3-F778)^2</f>
        <v>0.5625</v>
      </c>
      <c r="Q778" s="1">
        <f>(Occurrence!E$3-G778)^2</f>
        <v>0.30250000000000005</v>
      </c>
      <c r="R778" s="1">
        <f>(Occurrence!F$3-H778)^2</f>
        <v>1.0000000000000002E-2</v>
      </c>
      <c r="S778" s="1">
        <f>(Occurrence!G$3-I778)^2</f>
        <v>0.16000000000000003</v>
      </c>
      <c r="T778" s="1">
        <f>(Occurrence!H$3-J778)^2</f>
        <v>0.5625</v>
      </c>
      <c r="U778" s="1">
        <f>(Occurrence!I$3-K778)^2</f>
        <v>0.16000000000000003</v>
      </c>
      <c r="V778" s="1">
        <f>(Occurrence!J$3-L778)^2</f>
        <v>4.0000000000000008E-2</v>
      </c>
      <c r="W778" s="1">
        <f>(Occurrence!K$3-M778)^2</f>
        <v>0.48999999999999994</v>
      </c>
      <c r="X778" s="1">
        <f t="shared" si="145"/>
        <v>2.5525000000000002</v>
      </c>
      <c r="Z778" s="1">
        <f t="shared" si="146"/>
        <v>0</v>
      </c>
      <c r="AA778" s="1">
        <f t="shared" si="147"/>
        <v>0</v>
      </c>
      <c r="AB778" s="1">
        <f t="shared" si="148"/>
        <v>0</v>
      </c>
      <c r="AC778" s="1">
        <f t="shared" si="149"/>
        <v>0</v>
      </c>
      <c r="AD778" s="1">
        <f t="shared" si="150"/>
        <v>0</v>
      </c>
      <c r="AE778" s="1">
        <f t="shared" si="151"/>
        <v>0</v>
      </c>
      <c r="AF778" s="1">
        <f t="shared" si="152"/>
        <v>0</v>
      </c>
      <c r="AG778" s="1">
        <f t="shared" si="153"/>
        <v>1</v>
      </c>
      <c r="AH778" s="1">
        <f t="shared" si="154"/>
        <v>0</v>
      </c>
      <c r="AI778" s="1">
        <f t="shared" si="155"/>
        <v>0</v>
      </c>
      <c r="AJ778" s="1">
        <f>SUMXMY2(Z778:AI778, Occurrence!B$3:K$3)</f>
        <v>4</v>
      </c>
      <c r="AK778" s="1">
        <f t="shared" si="156"/>
        <v>6</v>
      </c>
    </row>
    <row r="779" spans="1:37">
      <c r="A779" s="1">
        <v>778</v>
      </c>
      <c r="B779" s="1">
        <v>4252777</v>
      </c>
      <c r="C779" s="6" t="s">
        <v>49</v>
      </c>
      <c r="D779" s="1">
        <v>0.25</v>
      </c>
      <c r="E779" s="1">
        <v>0.35</v>
      </c>
      <c r="F779" s="1">
        <v>0.2</v>
      </c>
      <c r="G779" s="1">
        <v>0.45</v>
      </c>
      <c r="H779" s="1">
        <v>0.2</v>
      </c>
      <c r="I779" s="1">
        <v>0.55000000000000004</v>
      </c>
      <c r="J779" s="1">
        <v>0.25</v>
      </c>
      <c r="K779" s="1">
        <v>0.6</v>
      </c>
      <c r="L779" s="1">
        <v>0.7</v>
      </c>
      <c r="M779" s="1">
        <v>0.85</v>
      </c>
      <c r="N779" s="1">
        <f>(Occurrence!B$3-D779)^2</f>
        <v>6.25E-2</v>
      </c>
      <c r="O779" s="1">
        <f>(Occurrence!C$3-E779)^2</f>
        <v>0.12249999999999998</v>
      </c>
      <c r="P779" s="1">
        <f>(Occurrence!D$3-F779)^2</f>
        <v>0.64000000000000012</v>
      </c>
      <c r="Q779" s="1">
        <f>(Occurrence!E$3-G779)^2</f>
        <v>0.30250000000000005</v>
      </c>
      <c r="R779" s="1">
        <f>(Occurrence!F$3-H779)^2</f>
        <v>4.0000000000000008E-2</v>
      </c>
      <c r="S779" s="1">
        <f>(Occurrence!G$3-I779)^2</f>
        <v>0.30250000000000005</v>
      </c>
      <c r="T779" s="1">
        <f>(Occurrence!H$3-J779)^2</f>
        <v>0.5625</v>
      </c>
      <c r="U779" s="1">
        <f>(Occurrence!I$3-K779)^2</f>
        <v>0.16000000000000003</v>
      </c>
      <c r="V779" s="1">
        <f>(Occurrence!J$3-L779)^2</f>
        <v>0.48999999999999994</v>
      </c>
      <c r="W779" s="1">
        <f>(Occurrence!K$3-M779)^2</f>
        <v>2.2500000000000006E-2</v>
      </c>
      <c r="X779" s="1">
        <f t="shared" si="145"/>
        <v>2.7050000000000001</v>
      </c>
      <c r="Z779" s="1">
        <f t="shared" si="146"/>
        <v>0</v>
      </c>
      <c r="AA779" s="1">
        <f t="shared" si="147"/>
        <v>0</v>
      </c>
      <c r="AB779" s="1">
        <f t="shared" si="148"/>
        <v>0</v>
      </c>
      <c r="AC779" s="1">
        <f t="shared" si="149"/>
        <v>0</v>
      </c>
      <c r="AD779" s="1">
        <f t="shared" si="150"/>
        <v>0</v>
      </c>
      <c r="AE779" s="1">
        <f t="shared" si="151"/>
        <v>1</v>
      </c>
      <c r="AF779" s="1">
        <f t="shared" si="152"/>
        <v>0</v>
      </c>
      <c r="AG779" s="1">
        <f t="shared" si="153"/>
        <v>1</v>
      </c>
      <c r="AH779" s="1">
        <f t="shared" si="154"/>
        <v>1</v>
      </c>
      <c r="AI779" s="1">
        <f t="shared" si="155"/>
        <v>1</v>
      </c>
      <c r="AJ779" s="1">
        <f>SUMXMY2(Z779:AI779, Occurrence!B$3:K$3)</f>
        <v>5</v>
      </c>
      <c r="AK779" s="1">
        <f t="shared" si="156"/>
        <v>5</v>
      </c>
    </row>
    <row r="780" spans="1:37">
      <c r="A780" s="1">
        <v>779</v>
      </c>
      <c r="B780" s="1">
        <v>4252778</v>
      </c>
      <c r="C780" s="6" t="s">
        <v>49</v>
      </c>
      <c r="D780" s="1">
        <v>0.25</v>
      </c>
      <c r="E780" s="1">
        <v>0.45</v>
      </c>
      <c r="F780" s="1">
        <v>0.25</v>
      </c>
      <c r="G780" s="1">
        <v>0.45</v>
      </c>
      <c r="H780" s="1">
        <v>0.1</v>
      </c>
      <c r="I780" s="1">
        <v>0.45</v>
      </c>
      <c r="J780" s="1">
        <v>0.25</v>
      </c>
      <c r="K780" s="1">
        <v>0.45</v>
      </c>
      <c r="L780" s="1">
        <v>0.2</v>
      </c>
      <c r="M780" s="1">
        <v>0.3</v>
      </c>
      <c r="N780" s="1">
        <f>(Occurrence!B$3-D780)^2</f>
        <v>6.25E-2</v>
      </c>
      <c r="O780" s="1">
        <f>(Occurrence!C$3-E780)^2</f>
        <v>0.20250000000000001</v>
      </c>
      <c r="P780" s="1">
        <f>(Occurrence!D$3-F780)^2</f>
        <v>0.5625</v>
      </c>
      <c r="Q780" s="1">
        <f>(Occurrence!E$3-G780)^2</f>
        <v>0.30250000000000005</v>
      </c>
      <c r="R780" s="1">
        <f>(Occurrence!F$3-H780)^2</f>
        <v>1.0000000000000002E-2</v>
      </c>
      <c r="S780" s="1">
        <f>(Occurrence!G$3-I780)^2</f>
        <v>0.20250000000000001</v>
      </c>
      <c r="T780" s="1">
        <f>(Occurrence!H$3-J780)^2</f>
        <v>0.5625</v>
      </c>
      <c r="U780" s="1">
        <f>(Occurrence!I$3-K780)^2</f>
        <v>0.30250000000000005</v>
      </c>
      <c r="V780" s="1">
        <f>(Occurrence!J$3-L780)^2</f>
        <v>4.0000000000000008E-2</v>
      </c>
      <c r="W780" s="1">
        <f>(Occurrence!K$3-M780)^2</f>
        <v>0.48999999999999994</v>
      </c>
      <c r="X780" s="1">
        <f t="shared" si="145"/>
        <v>2.7375000000000003</v>
      </c>
      <c r="Z780" s="1">
        <f t="shared" si="146"/>
        <v>0</v>
      </c>
      <c r="AA780" s="1">
        <f t="shared" si="147"/>
        <v>0</v>
      </c>
      <c r="AB780" s="1">
        <f t="shared" si="148"/>
        <v>0</v>
      </c>
      <c r="AC780" s="1">
        <f t="shared" si="149"/>
        <v>0</v>
      </c>
      <c r="AD780" s="1">
        <f t="shared" si="150"/>
        <v>0</v>
      </c>
      <c r="AE780" s="1">
        <f t="shared" si="151"/>
        <v>0</v>
      </c>
      <c r="AF780" s="1">
        <f t="shared" si="152"/>
        <v>0</v>
      </c>
      <c r="AG780" s="1">
        <f t="shared" si="153"/>
        <v>0</v>
      </c>
      <c r="AH780" s="1">
        <f t="shared" si="154"/>
        <v>0</v>
      </c>
      <c r="AI780" s="1">
        <f t="shared" si="155"/>
        <v>0</v>
      </c>
      <c r="AJ780" s="1">
        <f>SUMXMY2(Z780:AI780, Occurrence!B$3:K$3)</f>
        <v>5</v>
      </c>
      <c r="AK780" s="1">
        <f t="shared" si="156"/>
        <v>5</v>
      </c>
    </row>
    <row r="781" spans="1:37">
      <c r="A781" s="1">
        <v>780</v>
      </c>
      <c r="B781" s="1">
        <v>4252779</v>
      </c>
      <c r="C781" s="6" t="s">
        <v>49</v>
      </c>
      <c r="D781" s="1">
        <v>0.88</v>
      </c>
      <c r="E781" s="1">
        <v>0.88</v>
      </c>
      <c r="F781" s="1">
        <v>0.1</v>
      </c>
      <c r="G781" s="1">
        <v>0.1</v>
      </c>
      <c r="H781" s="1">
        <v>0.02</v>
      </c>
      <c r="I781" s="1">
        <v>0.34</v>
      </c>
      <c r="J781" s="1">
        <v>0.45</v>
      </c>
      <c r="K781" s="1">
        <v>0.23</v>
      </c>
      <c r="L781" s="1">
        <v>0.9</v>
      </c>
      <c r="M781" s="1">
        <v>0.78</v>
      </c>
      <c r="N781" s="1">
        <f>(Occurrence!B$3-D781)^2</f>
        <v>0.77439999999999998</v>
      </c>
      <c r="O781" s="1">
        <f>(Occurrence!C$3-E781)^2</f>
        <v>0.77439999999999998</v>
      </c>
      <c r="P781" s="1">
        <f>(Occurrence!D$3-F781)^2</f>
        <v>0.81</v>
      </c>
      <c r="Q781" s="1">
        <f>(Occurrence!E$3-G781)^2</f>
        <v>0.81</v>
      </c>
      <c r="R781" s="1">
        <f>(Occurrence!F$3-H781)^2</f>
        <v>4.0000000000000002E-4</v>
      </c>
      <c r="S781" s="1">
        <f>(Occurrence!G$3-I781)^2</f>
        <v>0.11560000000000002</v>
      </c>
      <c r="T781" s="1">
        <f>(Occurrence!H$3-J781)^2</f>
        <v>0.30250000000000005</v>
      </c>
      <c r="U781" s="1">
        <f>(Occurrence!I$3-K781)^2</f>
        <v>0.59289999999999998</v>
      </c>
      <c r="V781" s="1">
        <f>(Occurrence!J$3-L781)^2</f>
        <v>0.81</v>
      </c>
      <c r="W781" s="1">
        <f>(Occurrence!K$3-M781)^2</f>
        <v>4.8399999999999992E-2</v>
      </c>
      <c r="X781" s="1">
        <f t="shared" si="145"/>
        <v>5.0385999999999997</v>
      </c>
      <c r="Z781" s="1">
        <f t="shared" si="146"/>
        <v>1</v>
      </c>
      <c r="AA781" s="1">
        <f t="shared" si="147"/>
        <v>1</v>
      </c>
      <c r="AB781" s="1">
        <f t="shared" si="148"/>
        <v>0</v>
      </c>
      <c r="AC781" s="1">
        <f t="shared" si="149"/>
        <v>0</v>
      </c>
      <c r="AD781" s="1">
        <f t="shared" si="150"/>
        <v>0</v>
      </c>
      <c r="AE781" s="1">
        <f t="shared" si="151"/>
        <v>0</v>
      </c>
      <c r="AF781" s="1">
        <f t="shared" si="152"/>
        <v>0</v>
      </c>
      <c r="AG781" s="1">
        <f t="shared" si="153"/>
        <v>0</v>
      </c>
      <c r="AH781" s="1">
        <f t="shared" si="154"/>
        <v>1</v>
      </c>
      <c r="AI781" s="1">
        <f t="shared" si="155"/>
        <v>1</v>
      </c>
      <c r="AJ781" s="1">
        <f>SUMXMY2(Z781:AI781, Occurrence!B$3:K$3)</f>
        <v>7</v>
      </c>
      <c r="AK781" s="1">
        <f t="shared" si="156"/>
        <v>3</v>
      </c>
    </row>
    <row r="782" spans="1:37">
      <c r="A782" s="1">
        <v>781</v>
      </c>
      <c r="B782" s="1">
        <v>4252780</v>
      </c>
      <c r="C782" s="6" t="s">
        <v>49</v>
      </c>
      <c r="D782" s="1">
        <v>0.2</v>
      </c>
      <c r="E782" s="1">
        <v>0.25</v>
      </c>
      <c r="F782" s="1">
        <v>0.2</v>
      </c>
      <c r="G782" s="1">
        <v>0.25</v>
      </c>
      <c r="H782" s="1">
        <v>0.15</v>
      </c>
      <c r="I782" s="1">
        <v>0.5</v>
      </c>
      <c r="J782" s="1">
        <v>0.6</v>
      </c>
      <c r="K782" s="1">
        <v>0.5</v>
      </c>
      <c r="L782" s="1">
        <v>0.2</v>
      </c>
      <c r="M782" s="1">
        <v>0.4</v>
      </c>
      <c r="N782" s="1">
        <f>(Occurrence!B$3-D782)^2</f>
        <v>4.0000000000000008E-2</v>
      </c>
      <c r="O782" s="1">
        <f>(Occurrence!C$3-E782)^2</f>
        <v>6.25E-2</v>
      </c>
      <c r="P782" s="1">
        <f>(Occurrence!D$3-F782)^2</f>
        <v>0.64000000000000012</v>
      </c>
      <c r="Q782" s="1">
        <f>(Occurrence!E$3-G782)^2</f>
        <v>0.5625</v>
      </c>
      <c r="R782" s="1">
        <f>(Occurrence!F$3-H782)^2</f>
        <v>2.2499999999999999E-2</v>
      </c>
      <c r="S782" s="1">
        <f>(Occurrence!G$3-I782)^2</f>
        <v>0.25</v>
      </c>
      <c r="T782" s="1">
        <f>(Occurrence!H$3-J782)^2</f>
        <v>0.16000000000000003</v>
      </c>
      <c r="U782" s="1">
        <f>(Occurrence!I$3-K782)^2</f>
        <v>0.25</v>
      </c>
      <c r="V782" s="1">
        <f>(Occurrence!J$3-L782)^2</f>
        <v>4.0000000000000008E-2</v>
      </c>
      <c r="W782" s="1">
        <f>(Occurrence!K$3-M782)^2</f>
        <v>0.36</v>
      </c>
      <c r="X782" s="1">
        <f t="shared" si="145"/>
        <v>2.3875000000000002</v>
      </c>
      <c r="Z782" s="1">
        <f t="shared" si="146"/>
        <v>0</v>
      </c>
      <c r="AA782" s="1">
        <f t="shared" si="147"/>
        <v>0</v>
      </c>
      <c r="AB782" s="1">
        <f t="shared" si="148"/>
        <v>0</v>
      </c>
      <c r="AC782" s="1">
        <f t="shared" si="149"/>
        <v>0</v>
      </c>
      <c r="AD782" s="1">
        <f t="shared" si="150"/>
        <v>0</v>
      </c>
      <c r="AE782" s="1">
        <f t="shared" si="151"/>
        <v>1</v>
      </c>
      <c r="AF782" s="1">
        <f t="shared" si="152"/>
        <v>1</v>
      </c>
      <c r="AG782" s="1">
        <f t="shared" si="153"/>
        <v>1</v>
      </c>
      <c r="AH782" s="1">
        <f t="shared" si="154"/>
        <v>0</v>
      </c>
      <c r="AI782" s="1">
        <f t="shared" si="155"/>
        <v>0</v>
      </c>
      <c r="AJ782" s="1">
        <f>SUMXMY2(Z782:AI782, Occurrence!B$3:K$3)</f>
        <v>4</v>
      </c>
      <c r="AK782" s="1">
        <f t="shared" si="156"/>
        <v>6</v>
      </c>
    </row>
    <row r="783" spans="1:37">
      <c r="A783" s="1">
        <v>782</v>
      </c>
      <c r="B783" s="1">
        <v>4252781</v>
      </c>
      <c r="C783" s="6" t="s">
        <v>49</v>
      </c>
      <c r="D783" s="1">
        <v>0.15</v>
      </c>
      <c r="E783" s="1">
        <v>0.3</v>
      </c>
      <c r="F783" s="1">
        <v>0.15</v>
      </c>
      <c r="G783" s="1">
        <v>0.3</v>
      </c>
      <c r="H783" s="1">
        <v>0.7</v>
      </c>
      <c r="I783" s="1">
        <v>0.5</v>
      </c>
      <c r="J783" s="1">
        <v>0.69</v>
      </c>
      <c r="K783" s="1">
        <v>0.5</v>
      </c>
      <c r="L783" s="1">
        <v>0.22</v>
      </c>
      <c r="M783" s="1">
        <v>0.1</v>
      </c>
      <c r="N783" s="1">
        <f>(Occurrence!B$3-D783)^2</f>
        <v>2.2499999999999999E-2</v>
      </c>
      <c r="O783" s="1">
        <f>(Occurrence!C$3-E783)^2</f>
        <v>0.09</v>
      </c>
      <c r="P783" s="1">
        <f>(Occurrence!D$3-F783)^2</f>
        <v>0.72249999999999992</v>
      </c>
      <c r="Q783" s="1">
        <f>(Occurrence!E$3-G783)^2</f>
        <v>0.48999999999999994</v>
      </c>
      <c r="R783" s="1">
        <f>(Occurrence!F$3-H783)^2</f>
        <v>0.48999999999999994</v>
      </c>
      <c r="S783" s="1">
        <f>(Occurrence!G$3-I783)^2</f>
        <v>0.25</v>
      </c>
      <c r="T783" s="1">
        <f>(Occurrence!H$3-J783)^2</f>
        <v>9.6100000000000033E-2</v>
      </c>
      <c r="U783" s="1">
        <f>(Occurrence!I$3-K783)^2</f>
        <v>0.25</v>
      </c>
      <c r="V783" s="1">
        <f>(Occurrence!J$3-L783)^2</f>
        <v>4.8399999999999999E-2</v>
      </c>
      <c r="W783" s="1">
        <f>(Occurrence!K$3-M783)^2</f>
        <v>0.81</v>
      </c>
      <c r="X783" s="1">
        <f t="shared" si="145"/>
        <v>3.2694999999999999</v>
      </c>
      <c r="Z783" s="1">
        <f t="shared" si="146"/>
        <v>0</v>
      </c>
      <c r="AA783" s="1">
        <f t="shared" si="147"/>
        <v>0</v>
      </c>
      <c r="AB783" s="1">
        <f t="shared" si="148"/>
        <v>0</v>
      </c>
      <c r="AC783" s="1">
        <f t="shared" si="149"/>
        <v>0</v>
      </c>
      <c r="AD783" s="1">
        <f t="shared" si="150"/>
        <v>1</v>
      </c>
      <c r="AE783" s="1">
        <f t="shared" si="151"/>
        <v>1</v>
      </c>
      <c r="AF783" s="1">
        <f t="shared" si="152"/>
        <v>1</v>
      </c>
      <c r="AG783" s="1">
        <f t="shared" si="153"/>
        <v>1</v>
      </c>
      <c r="AH783" s="1">
        <f t="shared" si="154"/>
        <v>0</v>
      </c>
      <c r="AI783" s="1">
        <f t="shared" si="155"/>
        <v>0</v>
      </c>
      <c r="AJ783" s="1">
        <f>SUMXMY2(Z783:AI783, Occurrence!B$3:K$3)</f>
        <v>5</v>
      </c>
      <c r="AK783" s="1">
        <f t="shared" si="156"/>
        <v>5</v>
      </c>
    </row>
    <row r="784" spans="1:37">
      <c r="A784" s="1">
        <v>783</v>
      </c>
      <c r="B784" s="1">
        <v>4252782</v>
      </c>
      <c r="C784" s="6" t="s">
        <v>49</v>
      </c>
      <c r="D784" s="1">
        <v>0.4</v>
      </c>
      <c r="E784" s="1">
        <v>0.2</v>
      </c>
      <c r="F784" s="1">
        <v>0.6</v>
      </c>
      <c r="G784" s="1">
        <v>0.5</v>
      </c>
      <c r="H784" s="1">
        <v>0.4</v>
      </c>
      <c r="I784" s="1">
        <v>0.2</v>
      </c>
      <c r="J784" s="1">
        <v>0.8</v>
      </c>
      <c r="K784" s="1">
        <v>0.9</v>
      </c>
      <c r="L784" s="1">
        <v>0.5</v>
      </c>
      <c r="M784" s="1">
        <v>0.6</v>
      </c>
      <c r="N784" s="1">
        <f>(Occurrence!B$3-D784)^2</f>
        <v>0.16000000000000003</v>
      </c>
      <c r="O784" s="1">
        <f>(Occurrence!C$3-E784)^2</f>
        <v>4.0000000000000008E-2</v>
      </c>
      <c r="P784" s="1">
        <f>(Occurrence!D$3-F784)^2</f>
        <v>0.16000000000000003</v>
      </c>
      <c r="Q784" s="1">
        <f>(Occurrence!E$3-G784)^2</f>
        <v>0.25</v>
      </c>
      <c r="R784" s="1">
        <f>(Occurrence!F$3-H784)^2</f>
        <v>0.16000000000000003</v>
      </c>
      <c r="S784" s="1">
        <f>(Occurrence!G$3-I784)^2</f>
        <v>4.0000000000000008E-2</v>
      </c>
      <c r="T784" s="1">
        <f>(Occurrence!H$3-J784)^2</f>
        <v>3.999999999999998E-2</v>
      </c>
      <c r="U784" s="1">
        <f>(Occurrence!I$3-K784)^2</f>
        <v>9.999999999999995E-3</v>
      </c>
      <c r="V784" s="1">
        <f>(Occurrence!J$3-L784)^2</f>
        <v>0.25</v>
      </c>
      <c r="W784" s="1">
        <f>(Occurrence!K$3-M784)^2</f>
        <v>0.16000000000000003</v>
      </c>
      <c r="X784" s="1">
        <f t="shared" si="145"/>
        <v>1.27</v>
      </c>
      <c r="Z784" s="1">
        <f t="shared" si="146"/>
        <v>0</v>
      </c>
      <c r="AA784" s="1">
        <f t="shared" si="147"/>
        <v>0</v>
      </c>
      <c r="AB784" s="1">
        <f t="shared" si="148"/>
        <v>1</v>
      </c>
      <c r="AC784" s="1">
        <f t="shared" si="149"/>
        <v>1</v>
      </c>
      <c r="AD784" s="1">
        <f t="shared" si="150"/>
        <v>0</v>
      </c>
      <c r="AE784" s="1">
        <f t="shared" si="151"/>
        <v>0</v>
      </c>
      <c r="AF784" s="1">
        <f t="shared" si="152"/>
        <v>1</v>
      </c>
      <c r="AG784" s="1">
        <f t="shared" si="153"/>
        <v>1</v>
      </c>
      <c r="AH784" s="1">
        <f t="shared" si="154"/>
        <v>1</v>
      </c>
      <c r="AI784" s="1">
        <f t="shared" si="155"/>
        <v>1</v>
      </c>
      <c r="AJ784" s="1">
        <f>SUMXMY2(Z784:AI784, Occurrence!B$3:K$3)</f>
        <v>1</v>
      </c>
      <c r="AK784" s="1">
        <f t="shared" si="156"/>
        <v>9</v>
      </c>
    </row>
    <row r="785" spans="1:37">
      <c r="A785" s="1">
        <v>784</v>
      </c>
      <c r="B785" s="1">
        <v>4252783</v>
      </c>
      <c r="C785" s="6" t="s">
        <v>49</v>
      </c>
      <c r="D785" s="1">
        <v>0.55000000000000004</v>
      </c>
      <c r="E785" s="1">
        <v>0.8</v>
      </c>
      <c r="F785" s="1">
        <v>0.65</v>
      </c>
      <c r="G785" s="1">
        <v>0.44500000000000001</v>
      </c>
      <c r="H785" s="1">
        <v>0.7</v>
      </c>
      <c r="I785" s="1">
        <v>0.5</v>
      </c>
      <c r="J785" s="1">
        <v>0.45</v>
      </c>
      <c r="K785" s="1">
        <v>0.46</v>
      </c>
      <c r="L785" s="1">
        <v>0.4</v>
      </c>
      <c r="M785" s="1">
        <v>0.33</v>
      </c>
      <c r="N785" s="1">
        <f>(Occurrence!B$3-D785)^2</f>
        <v>0.30250000000000005</v>
      </c>
      <c r="O785" s="1">
        <f>(Occurrence!C$3-E785)^2</f>
        <v>0.64000000000000012</v>
      </c>
      <c r="P785" s="1">
        <f>(Occurrence!D$3-F785)^2</f>
        <v>0.12249999999999998</v>
      </c>
      <c r="Q785" s="1">
        <f>(Occurrence!E$3-G785)^2</f>
        <v>0.30802499999999994</v>
      </c>
      <c r="R785" s="1">
        <f>(Occurrence!F$3-H785)^2</f>
        <v>0.48999999999999994</v>
      </c>
      <c r="S785" s="1">
        <f>(Occurrence!G$3-I785)^2</f>
        <v>0.25</v>
      </c>
      <c r="T785" s="1">
        <f>(Occurrence!H$3-J785)^2</f>
        <v>0.30250000000000005</v>
      </c>
      <c r="U785" s="1">
        <f>(Occurrence!I$3-K785)^2</f>
        <v>0.29160000000000003</v>
      </c>
      <c r="V785" s="1">
        <f>(Occurrence!J$3-L785)^2</f>
        <v>0.16000000000000003</v>
      </c>
      <c r="W785" s="1">
        <f>(Occurrence!K$3-M785)^2</f>
        <v>0.44889999999999991</v>
      </c>
      <c r="X785" s="1">
        <f t="shared" si="145"/>
        <v>3.3160250000000007</v>
      </c>
      <c r="Z785" s="1">
        <f t="shared" si="146"/>
        <v>1</v>
      </c>
      <c r="AA785" s="1">
        <f t="shared" si="147"/>
        <v>1</v>
      </c>
      <c r="AB785" s="1">
        <f t="shared" si="148"/>
        <v>1</v>
      </c>
      <c r="AC785" s="1">
        <f t="shared" si="149"/>
        <v>0</v>
      </c>
      <c r="AD785" s="1">
        <f t="shared" si="150"/>
        <v>1</v>
      </c>
      <c r="AE785" s="1">
        <f t="shared" si="151"/>
        <v>1</v>
      </c>
      <c r="AF785" s="1">
        <f t="shared" si="152"/>
        <v>0</v>
      </c>
      <c r="AG785" s="1">
        <f t="shared" si="153"/>
        <v>0</v>
      </c>
      <c r="AH785" s="1">
        <f t="shared" si="154"/>
        <v>0</v>
      </c>
      <c r="AI785" s="1">
        <f t="shared" si="155"/>
        <v>0</v>
      </c>
      <c r="AJ785" s="1">
        <f>SUMXMY2(Z785:AI785, Occurrence!B$3:K$3)</f>
        <v>8</v>
      </c>
      <c r="AK785" s="1">
        <f t="shared" si="156"/>
        <v>2</v>
      </c>
    </row>
    <row r="786" spans="1:37">
      <c r="A786" s="1">
        <v>785</v>
      </c>
      <c r="B786" s="1">
        <v>4252784</v>
      </c>
      <c r="C786" s="6" t="s">
        <v>49</v>
      </c>
      <c r="D786" s="1">
        <v>0.2</v>
      </c>
      <c r="E786" s="1">
        <v>0.3</v>
      </c>
      <c r="F786" s="1">
        <v>0.2</v>
      </c>
      <c r="G786" s="1">
        <v>0.3</v>
      </c>
      <c r="H786" s="1">
        <v>0.4</v>
      </c>
      <c r="I786" s="1">
        <v>0.2</v>
      </c>
      <c r="J786" s="1">
        <v>0.4</v>
      </c>
      <c r="K786" s="1">
        <v>0.3</v>
      </c>
      <c r="L786" s="1">
        <v>0.8</v>
      </c>
      <c r="M786" s="1">
        <v>0.5</v>
      </c>
      <c r="N786" s="1">
        <f>(Occurrence!B$3-D786)^2</f>
        <v>4.0000000000000008E-2</v>
      </c>
      <c r="O786" s="1">
        <f>(Occurrence!C$3-E786)^2</f>
        <v>0.09</v>
      </c>
      <c r="P786" s="1">
        <f>(Occurrence!D$3-F786)^2</f>
        <v>0.64000000000000012</v>
      </c>
      <c r="Q786" s="1">
        <f>(Occurrence!E$3-G786)^2</f>
        <v>0.48999999999999994</v>
      </c>
      <c r="R786" s="1">
        <f>(Occurrence!F$3-H786)^2</f>
        <v>0.16000000000000003</v>
      </c>
      <c r="S786" s="1">
        <f>(Occurrence!G$3-I786)^2</f>
        <v>4.0000000000000008E-2</v>
      </c>
      <c r="T786" s="1">
        <f>(Occurrence!H$3-J786)^2</f>
        <v>0.36</v>
      </c>
      <c r="U786" s="1">
        <f>(Occurrence!I$3-K786)^2</f>
        <v>0.48999999999999994</v>
      </c>
      <c r="V786" s="1">
        <f>(Occurrence!J$3-L786)^2</f>
        <v>0.64000000000000012</v>
      </c>
      <c r="W786" s="1">
        <f>(Occurrence!K$3-M786)^2</f>
        <v>0.25</v>
      </c>
      <c r="X786" s="1">
        <f t="shared" si="145"/>
        <v>3.1999999999999997</v>
      </c>
      <c r="Z786" s="1">
        <f t="shared" si="146"/>
        <v>0</v>
      </c>
      <c r="AA786" s="1">
        <f t="shared" si="147"/>
        <v>0</v>
      </c>
      <c r="AB786" s="1">
        <f t="shared" si="148"/>
        <v>0</v>
      </c>
      <c r="AC786" s="1">
        <f t="shared" si="149"/>
        <v>0</v>
      </c>
      <c r="AD786" s="1">
        <f t="shared" si="150"/>
        <v>0</v>
      </c>
      <c r="AE786" s="1">
        <f t="shared" si="151"/>
        <v>0</v>
      </c>
      <c r="AF786" s="1">
        <f t="shared" si="152"/>
        <v>0</v>
      </c>
      <c r="AG786" s="1">
        <f t="shared" si="153"/>
        <v>0</v>
      </c>
      <c r="AH786" s="1">
        <f t="shared" si="154"/>
        <v>1</v>
      </c>
      <c r="AI786" s="1">
        <f t="shared" si="155"/>
        <v>1</v>
      </c>
      <c r="AJ786" s="1">
        <f>SUMXMY2(Z786:AI786, Occurrence!B$3:K$3)</f>
        <v>5</v>
      </c>
      <c r="AK786" s="1">
        <f t="shared" si="156"/>
        <v>5</v>
      </c>
    </row>
    <row r="787" spans="1:37">
      <c r="A787" s="1">
        <v>786</v>
      </c>
      <c r="B787" s="1">
        <v>4252785</v>
      </c>
      <c r="C787" s="6" t="s">
        <v>49</v>
      </c>
      <c r="D787" s="1">
        <v>0.7</v>
      </c>
      <c r="E787" s="1">
        <v>0.4</v>
      </c>
      <c r="F787" s="1">
        <v>0.3</v>
      </c>
      <c r="G787" s="1">
        <v>0.6</v>
      </c>
      <c r="H787" s="1">
        <v>0.4</v>
      </c>
      <c r="I787" s="1">
        <v>0.7</v>
      </c>
      <c r="J787" s="1">
        <v>0.9</v>
      </c>
      <c r="K787" s="1">
        <v>0.4</v>
      </c>
      <c r="L787" s="1">
        <v>0.3</v>
      </c>
      <c r="M787" s="1">
        <v>0.6</v>
      </c>
      <c r="N787" s="1">
        <f>(Occurrence!B$3-D787)^2</f>
        <v>0.48999999999999994</v>
      </c>
      <c r="O787" s="1">
        <f>(Occurrence!C$3-E787)^2</f>
        <v>0.16000000000000003</v>
      </c>
      <c r="P787" s="1">
        <f>(Occurrence!D$3-F787)^2</f>
        <v>0.48999999999999994</v>
      </c>
      <c r="Q787" s="1">
        <f>(Occurrence!E$3-G787)^2</f>
        <v>0.16000000000000003</v>
      </c>
      <c r="R787" s="1">
        <f>(Occurrence!F$3-H787)^2</f>
        <v>0.16000000000000003</v>
      </c>
      <c r="S787" s="1">
        <f>(Occurrence!G$3-I787)^2</f>
        <v>0.48999999999999994</v>
      </c>
      <c r="T787" s="1">
        <f>(Occurrence!H$3-J787)^2</f>
        <v>9.999999999999995E-3</v>
      </c>
      <c r="U787" s="1">
        <f>(Occurrence!I$3-K787)^2</f>
        <v>0.36</v>
      </c>
      <c r="V787" s="1">
        <f>(Occurrence!J$3-L787)^2</f>
        <v>0.09</v>
      </c>
      <c r="W787" s="1">
        <f>(Occurrence!K$3-M787)^2</f>
        <v>0.16000000000000003</v>
      </c>
      <c r="X787" s="1">
        <f t="shared" si="145"/>
        <v>2.57</v>
      </c>
      <c r="Z787" s="1">
        <f t="shared" si="146"/>
        <v>1</v>
      </c>
      <c r="AA787" s="1">
        <f t="shared" si="147"/>
        <v>0</v>
      </c>
      <c r="AB787" s="1">
        <f t="shared" si="148"/>
        <v>0</v>
      </c>
      <c r="AC787" s="1">
        <f t="shared" si="149"/>
        <v>1</v>
      </c>
      <c r="AD787" s="1">
        <f t="shared" si="150"/>
        <v>0</v>
      </c>
      <c r="AE787" s="1">
        <f t="shared" si="151"/>
        <v>1</v>
      </c>
      <c r="AF787" s="1">
        <f t="shared" si="152"/>
        <v>1</v>
      </c>
      <c r="AG787" s="1">
        <f t="shared" si="153"/>
        <v>0</v>
      </c>
      <c r="AH787" s="1">
        <f t="shared" si="154"/>
        <v>0</v>
      </c>
      <c r="AI787" s="1">
        <f t="shared" si="155"/>
        <v>1</v>
      </c>
      <c r="AJ787" s="1">
        <f>SUMXMY2(Z787:AI787, Occurrence!B$3:K$3)</f>
        <v>4</v>
      </c>
      <c r="AK787" s="1">
        <f t="shared" si="156"/>
        <v>6</v>
      </c>
    </row>
    <row r="788" spans="1:37">
      <c r="A788" s="1">
        <v>787</v>
      </c>
      <c r="B788" s="1">
        <v>4252786</v>
      </c>
      <c r="C788" s="6" t="s">
        <v>49</v>
      </c>
      <c r="D788" s="1">
        <v>0.64</v>
      </c>
      <c r="E788" s="1">
        <v>0.15</v>
      </c>
      <c r="F788" s="1">
        <v>0.73</v>
      </c>
      <c r="G788" s="1">
        <v>0.32</v>
      </c>
      <c r="H788" s="1">
        <v>0.19</v>
      </c>
      <c r="I788" s="1">
        <v>0.5</v>
      </c>
      <c r="J788" s="1">
        <v>0.3</v>
      </c>
      <c r="K788" s="1">
        <v>0.44</v>
      </c>
      <c r="L788" s="1">
        <v>0.1</v>
      </c>
      <c r="M788" s="1">
        <v>0.22</v>
      </c>
      <c r="N788" s="1">
        <f>(Occurrence!B$3-D788)^2</f>
        <v>0.40960000000000002</v>
      </c>
      <c r="O788" s="1">
        <f>(Occurrence!C$3-E788)^2</f>
        <v>2.2499999999999999E-2</v>
      </c>
      <c r="P788" s="1">
        <f>(Occurrence!D$3-F788)^2</f>
        <v>7.2900000000000006E-2</v>
      </c>
      <c r="Q788" s="1">
        <f>(Occurrence!E$3-G788)^2</f>
        <v>0.46239999999999992</v>
      </c>
      <c r="R788" s="1">
        <f>(Occurrence!F$3-H788)^2</f>
        <v>3.61E-2</v>
      </c>
      <c r="S788" s="1">
        <f>(Occurrence!G$3-I788)^2</f>
        <v>0.25</v>
      </c>
      <c r="T788" s="1">
        <f>(Occurrence!H$3-J788)^2</f>
        <v>0.48999999999999994</v>
      </c>
      <c r="U788" s="1">
        <f>(Occurrence!I$3-K788)^2</f>
        <v>0.31360000000000005</v>
      </c>
      <c r="V788" s="1">
        <f>(Occurrence!J$3-L788)^2</f>
        <v>1.0000000000000002E-2</v>
      </c>
      <c r="W788" s="1">
        <f>(Occurrence!K$3-M788)^2</f>
        <v>0.60840000000000005</v>
      </c>
      <c r="X788" s="1">
        <f t="shared" si="145"/>
        <v>2.6754999999999995</v>
      </c>
      <c r="Z788" s="1">
        <f t="shared" si="146"/>
        <v>1</v>
      </c>
      <c r="AA788" s="1">
        <f t="shared" si="147"/>
        <v>0</v>
      </c>
      <c r="AB788" s="1">
        <f t="shared" si="148"/>
        <v>1</v>
      </c>
      <c r="AC788" s="1">
        <f t="shared" si="149"/>
        <v>0</v>
      </c>
      <c r="AD788" s="1">
        <f t="shared" si="150"/>
        <v>0</v>
      </c>
      <c r="AE788" s="1">
        <f t="shared" si="151"/>
        <v>1</v>
      </c>
      <c r="AF788" s="1">
        <f t="shared" si="152"/>
        <v>0</v>
      </c>
      <c r="AG788" s="1">
        <f t="shared" si="153"/>
        <v>0</v>
      </c>
      <c r="AH788" s="1">
        <f t="shared" si="154"/>
        <v>0</v>
      </c>
      <c r="AI788" s="1">
        <f t="shared" si="155"/>
        <v>0</v>
      </c>
      <c r="AJ788" s="1">
        <f>SUMXMY2(Z788:AI788, Occurrence!B$3:K$3)</f>
        <v>6</v>
      </c>
      <c r="AK788" s="1">
        <f t="shared" si="156"/>
        <v>4</v>
      </c>
    </row>
    <row r="789" spans="1:37">
      <c r="A789" s="1">
        <v>788</v>
      </c>
      <c r="B789" s="1">
        <v>4252787</v>
      </c>
      <c r="C789" s="6" t="s">
        <v>49</v>
      </c>
      <c r="D789" s="1">
        <v>0.15</v>
      </c>
      <c r="E789" s="1">
        <v>0.25</v>
      </c>
      <c r="F789" s="1">
        <v>0.15</v>
      </c>
      <c r="G789" s="1">
        <v>0.25</v>
      </c>
      <c r="H789" s="1">
        <v>0.7</v>
      </c>
      <c r="I789" s="1">
        <v>0.14000000000000001</v>
      </c>
      <c r="J789" s="1">
        <v>0.7</v>
      </c>
      <c r="K789" s="1">
        <v>0.15</v>
      </c>
      <c r="L789" s="1">
        <v>0.84</v>
      </c>
      <c r="M789" s="1">
        <v>0.35</v>
      </c>
      <c r="N789" s="1">
        <f>(Occurrence!B$3-D789)^2</f>
        <v>2.2499999999999999E-2</v>
      </c>
      <c r="O789" s="1">
        <f>(Occurrence!C$3-E789)^2</f>
        <v>6.25E-2</v>
      </c>
      <c r="P789" s="1">
        <f>(Occurrence!D$3-F789)^2</f>
        <v>0.72249999999999992</v>
      </c>
      <c r="Q789" s="1">
        <f>(Occurrence!E$3-G789)^2</f>
        <v>0.5625</v>
      </c>
      <c r="R789" s="1">
        <f>(Occurrence!F$3-H789)^2</f>
        <v>0.48999999999999994</v>
      </c>
      <c r="S789" s="1">
        <f>(Occurrence!G$3-I789)^2</f>
        <v>1.9600000000000003E-2</v>
      </c>
      <c r="T789" s="1">
        <f>(Occurrence!H$3-J789)^2</f>
        <v>9.0000000000000024E-2</v>
      </c>
      <c r="U789" s="1">
        <f>(Occurrence!I$3-K789)^2</f>
        <v>0.72249999999999992</v>
      </c>
      <c r="V789" s="1">
        <f>(Occurrence!J$3-L789)^2</f>
        <v>0.70559999999999989</v>
      </c>
      <c r="W789" s="1">
        <f>(Occurrence!K$3-M789)^2</f>
        <v>0.42250000000000004</v>
      </c>
      <c r="X789" s="1">
        <f t="shared" si="145"/>
        <v>3.8201999999999998</v>
      </c>
      <c r="Z789" s="1">
        <f t="shared" si="146"/>
        <v>0</v>
      </c>
      <c r="AA789" s="1">
        <f t="shared" si="147"/>
        <v>0</v>
      </c>
      <c r="AB789" s="1">
        <f t="shared" si="148"/>
        <v>0</v>
      </c>
      <c r="AC789" s="1">
        <f t="shared" si="149"/>
        <v>0</v>
      </c>
      <c r="AD789" s="1">
        <f t="shared" si="150"/>
        <v>1</v>
      </c>
      <c r="AE789" s="1">
        <f t="shared" si="151"/>
        <v>0</v>
      </c>
      <c r="AF789" s="1">
        <f t="shared" si="152"/>
        <v>1</v>
      </c>
      <c r="AG789" s="1">
        <f t="shared" si="153"/>
        <v>0</v>
      </c>
      <c r="AH789" s="1">
        <f t="shared" si="154"/>
        <v>1</v>
      </c>
      <c r="AI789" s="1">
        <f t="shared" si="155"/>
        <v>0</v>
      </c>
      <c r="AJ789" s="1">
        <f>SUMXMY2(Z789:AI789, Occurrence!B$3:K$3)</f>
        <v>6</v>
      </c>
      <c r="AK789" s="1">
        <f t="shared" si="156"/>
        <v>4</v>
      </c>
    </row>
    <row r="790" spans="1:37">
      <c r="A790" s="1">
        <v>789</v>
      </c>
      <c r="B790" s="1">
        <v>4252788</v>
      </c>
      <c r="C790" s="6" t="s">
        <v>49</v>
      </c>
      <c r="D790" s="1">
        <v>0.15</v>
      </c>
      <c r="E790" s="1">
        <v>0.25</v>
      </c>
      <c r="F790" s="1">
        <v>0.15</v>
      </c>
      <c r="G790" s="1">
        <v>0.25</v>
      </c>
      <c r="H790" s="1">
        <v>0.7</v>
      </c>
      <c r="I790" s="1">
        <v>0.5</v>
      </c>
      <c r="J790" s="1">
        <v>0</v>
      </c>
      <c r="K790" s="1">
        <v>0.5</v>
      </c>
      <c r="L790" s="1">
        <v>0.5</v>
      </c>
      <c r="M790" s="1">
        <v>0.5</v>
      </c>
      <c r="N790" s="1">
        <f>(Occurrence!B$3-D790)^2</f>
        <v>2.2499999999999999E-2</v>
      </c>
      <c r="O790" s="1">
        <f>(Occurrence!C$3-E790)^2</f>
        <v>6.25E-2</v>
      </c>
      <c r="P790" s="1">
        <f>(Occurrence!D$3-F790)^2</f>
        <v>0.72249999999999992</v>
      </c>
      <c r="Q790" s="1">
        <f>(Occurrence!E$3-G790)^2</f>
        <v>0.5625</v>
      </c>
      <c r="R790" s="1">
        <f>(Occurrence!F$3-H790)^2</f>
        <v>0.48999999999999994</v>
      </c>
      <c r="S790" s="1">
        <f>(Occurrence!G$3-I790)^2</f>
        <v>0.25</v>
      </c>
      <c r="T790" s="1">
        <f>(Occurrence!H$3-J790)^2</f>
        <v>1</v>
      </c>
      <c r="U790" s="1">
        <f>(Occurrence!I$3-K790)^2</f>
        <v>0.25</v>
      </c>
      <c r="V790" s="1">
        <f>(Occurrence!J$3-L790)^2</f>
        <v>0.25</v>
      </c>
      <c r="W790" s="1">
        <f>(Occurrence!K$3-M790)^2</f>
        <v>0.25</v>
      </c>
      <c r="X790" s="1">
        <f t="shared" si="145"/>
        <v>3.86</v>
      </c>
      <c r="Z790" s="1">
        <f t="shared" si="146"/>
        <v>0</v>
      </c>
      <c r="AA790" s="1">
        <f t="shared" si="147"/>
        <v>0</v>
      </c>
      <c r="AB790" s="1">
        <f t="shared" si="148"/>
        <v>0</v>
      </c>
      <c r="AC790" s="1">
        <f t="shared" si="149"/>
        <v>0</v>
      </c>
      <c r="AD790" s="1">
        <f t="shared" si="150"/>
        <v>1</v>
      </c>
      <c r="AE790" s="1">
        <f t="shared" si="151"/>
        <v>1</v>
      </c>
      <c r="AF790" s="1">
        <f t="shared" si="152"/>
        <v>0</v>
      </c>
      <c r="AG790" s="1">
        <f t="shared" si="153"/>
        <v>1</v>
      </c>
      <c r="AH790" s="1">
        <f t="shared" si="154"/>
        <v>1</v>
      </c>
      <c r="AI790" s="1">
        <f t="shared" si="155"/>
        <v>1</v>
      </c>
      <c r="AJ790" s="1">
        <f>SUMXMY2(Z790:AI790, Occurrence!B$3:K$3)</f>
        <v>6</v>
      </c>
      <c r="AK790" s="1">
        <f t="shared" si="156"/>
        <v>4</v>
      </c>
    </row>
    <row r="791" spans="1:37">
      <c r="A791" s="1">
        <v>790</v>
      </c>
      <c r="B791" s="1">
        <v>4252789</v>
      </c>
      <c r="C791" s="6" t="s">
        <v>49</v>
      </c>
      <c r="D791" s="1">
        <v>0.15</v>
      </c>
      <c r="E791" s="1">
        <v>0.25</v>
      </c>
      <c r="F791" s="1">
        <v>0.15</v>
      </c>
      <c r="G791" s="1">
        <v>0.25</v>
      </c>
      <c r="H791" s="1">
        <v>0.7</v>
      </c>
      <c r="I791" s="1">
        <v>0.14000000000000001</v>
      </c>
      <c r="J791" s="1">
        <v>0.2</v>
      </c>
      <c r="K791" s="1">
        <v>0.22</v>
      </c>
      <c r="L791" s="1">
        <v>0.15</v>
      </c>
      <c r="M791" s="1">
        <v>0.12</v>
      </c>
      <c r="N791" s="1">
        <f>(Occurrence!B$3-D791)^2</f>
        <v>2.2499999999999999E-2</v>
      </c>
      <c r="O791" s="1">
        <f>(Occurrence!C$3-E791)^2</f>
        <v>6.25E-2</v>
      </c>
      <c r="P791" s="1">
        <f>(Occurrence!D$3-F791)^2</f>
        <v>0.72249999999999992</v>
      </c>
      <c r="Q791" s="1">
        <f>(Occurrence!E$3-G791)^2</f>
        <v>0.5625</v>
      </c>
      <c r="R791" s="1">
        <f>(Occurrence!F$3-H791)^2</f>
        <v>0.48999999999999994</v>
      </c>
      <c r="S791" s="1">
        <f>(Occurrence!G$3-I791)^2</f>
        <v>1.9600000000000003E-2</v>
      </c>
      <c r="T791" s="1">
        <f>(Occurrence!H$3-J791)^2</f>
        <v>0.64000000000000012</v>
      </c>
      <c r="U791" s="1">
        <f>(Occurrence!I$3-K791)^2</f>
        <v>0.60840000000000005</v>
      </c>
      <c r="V791" s="1">
        <f>(Occurrence!J$3-L791)^2</f>
        <v>2.2499999999999999E-2</v>
      </c>
      <c r="W791" s="1">
        <f>(Occurrence!K$3-M791)^2</f>
        <v>0.77439999999999998</v>
      </c>
      <c r="X791" s="1">
        <f t="shared" si="145"/>
        <v>3.9249000000000001</v>
      </c>
      <c r="Z791" s="1">
        <f t="shared" si="146"/>
        <v>0</v>
      </c>
      <c r="AA791" s="1">
        <f t="shared" si="147"/>
        <v>0</v>
      </c>
      <c r="AB791" s="1">
        <f t="shared" si="148"/>
        <v>0</v>
      </c>
      <c r="AC791" s="1">
        <f t="shared" si="149"/>
        <v>0</v>
      </c>
      <c r="AD791" s="1">
        <f t="shared" si="150"/>
        <v>1</v>
      </c>
      <c r="AE791" s="1">
        <f t="shared" si="151"/>
        <v>0</v>
      </c>
      <c r="AF791" s="1">
        <f t="shared" si="152"/>
        <v>0</v>
      </c>
      <c r="AG791" s="1">
        <f t="shared" si="153"/>
        <v>0</v>
      </c>
      <c r="AH791" s="1">
        <f t="shared" si="154"/>
        <v>0</v>
      </c>
      <c r="AI791" s="1">
        <f t="shared" si="155"/>
        <v>0</v>
      </c>
      <c r="AJ791" s="1">
        <f>SUMXMY2(Z791:AI791, Occurrence!B$3:K$3)</f>
        <v>6</v>
      </c>
      <c r="AK791" s="1">
        <f t="shared" si="156"/>
        <v>4</v>
      </c>
    </row>
    <row r="792" spans="1:37">
      <c r="A792" s="1">
        <v>791</v>
      </c>
      <c r="B792" s="1">
        <v>4252790</v>
      </c>
      <c r="C792" s="6" t="s">
        <v>49</v>
      </c>
      <c r="D792" s="1">
        <v>0.63219999999999998</v>
      </c>
      <c r="E792" s="1">
        <v>0.54620000000000002</v>
      </c>
      <c r="F792" s="1">
        <v>0.38740000000000002</v>
      </c>
      <c r="G792" s="1">
        <v>0.87119999999999997</v>
      </c>
      <c r="H792" s="1">
        <v>0.76219999999999999</v>
      </c>
      <c r="I792" s="1">
        <v>0.80910000000000004</v>
      </c>
      <c r="J792" s="1">
        <v>0.65639999999999998</v>
      </c>
      <c r="K792" s="1">
        <v>0.98129999999999995</v>
      </c>
      <c r="L792" s="1">
        <v>0.12909999999999999</v>
      </c>
      <c r="M792" s="1">
        <v>0.3211</v>
      </c>
      <c r="N792" s="1">
        <f>(Occurrence!B$3-D792)^2</f>
        <v>0.39967683999999998</v>
      </c>
      <c r="O792" s="1">
        <f>(Occurrence!C$3-E792)^2</f>
        <v>0.29833444000000003</v>
      </c>
      <c r="P792" s="1">
        <f>(Occurrence!D$3-F792)^2</f>
        <v>0.37527876000000004</v>
      </c>
      <c r="Q792" s="1">
        <f>(Occurrence!E$3-G792)^2</f>
        <v>1.6589440000000007E-2</v>
      </c>
      <c r="R792" s="1">
        <f>(Occurrence!F$3-H792)^2</f>
        <v>0.58094884000000002</v>
      </c>
      <c r="S792" s="1">
        <f>(Occurrence!G$3-I792)^2</f>
        <v>0.65464281000000002</v>
      </c>
      <c r="T792" s="1">
        <f>(Occurrence!H$3-J792)^2</f>
        <v>0.11806096000000001</v>
      </c>
      <c r="U792" s="1">
        <f>(Occurrence!I$3-K792)^2</f>
        <v>3.4969000000000189E-4</v>
      </c>
      <c r="V792" s="1">
        <f>(Occurrence!J$3-L792)^2</f>
        <v>1.6666809999999997E-2</v>
      </c>
      <c r="W792" s="1">
        <f>(Occurrence!K$3-M792)^2</f>
        <v>0.46090521000000007</v>
      </c>
      <c r="X792" s="1">
        <f t="shared" si="145"/>
        <v>2.9214538000000001</v>
      </c>
      <c r="Z792" s="1">
        <f t="shared" si="146"/>
        <v>1</v>
      </c>
      <c r="AA792" s="1">
        <f t="shared" si="147"/>
        <v>1</v>
      </c>
      <c r="AB792" s="1">
        <f t="shared" si="148"/>
        <v>0</v>
      </c>
      <c r="AC792" s="1">
        <f t="shared" si="149"/>
        <v>1</v>
      </c>
      <c r="AD792" s="1">
        <f t="shared" si="150"/>
        <v>1</v>
      </c>
      <c r="AE792" s="1">
        <f t="shared" si="151"/>
        <v>1</v>
      </c>
      <c r="AF792" s="1">
        <f t="shared" si="152"/>
        <v>1</v>
      </c>
      <c r="AG792" s="1">
        <f t="shared" si="153"/>
        <v>1</v>
      </c>
      <c r="AH792" s="1">
        <f t="shared" si="154"/>
        <v>0</v>
      </c>
      <c r="AI792" s="1">
        <f t="shared" si="155"/>
        <v>0</v>
      </c>
      <c r="AJ792" s="1">
        <f>SUMXMY2(Z792:AI792, Occurrence!B$3:K$3)</f>
        <v>6</v>
      </c>
      <c r="AK792" s="1">
        <f t="shared" si="156"/>
        <v>4</v>
      </c>
    </row>
    <row r="793" spans="1:37">
      <c r="A793" s="1">
        <v>792</v>
      </c>
      <c r="B793" s="1">
        <v>4252791</v>
      </c>
      <c r="C793" s="6" t="s">
        <v>49</v>
      </c>
      <c r="D793" s="1">
        <v>0.15079999999999999</v>
      </c>
      <c r="E793" s="1">
        <v>0.17860000000000001</v>
      </c>
      <c r="F793" s="1">
        <v>0.64680000000000004</v>
      </c>
      <c r="G793" s="1">
        <v>0.78169999999999995</v>
      </c>
      <c r="H793" s="1">
        <v>0.2024</v>
      </c>
      <c r="I793" s="1">
        <v>0.2</v>
      </c>
      <c r="J793" s="1">
        <v>0.3</v>
      </c>
      <c r="K793" s="1">
        <v>0.4</v>
      </c>
      <c r="L793" s="1">
        <v>0.34</v>
      </c>
      <c r="M793" s="1">
        <v>0.112</v>
      </c>
      <c r="N793" s="1">
        <f>(Occurrence!B$3-D793)^2</f>
        <v>2.2740639999999996E-2</v>
      </c>
      <c r="O793" s="1">
        <f>(Occurrence!C$3-E793)^2</f>
        <v>3.1897960000000003E-2</v>
      </c>
      <c r="P793" s="1">
        <f>(Occurrence!D$3-F793)^2</f>
        <v>0.12475023999999997</v>
      </c>
      <c r="Q793" s="1">
        <f>(Occurrence!E$3-G793)^2</f>
        <v>4.7654890000000019E-2</v>
      </c>
      <c r="R793" s="1">
        <f>(Occurrence!F$3-H793)^2</f>
        <v>4.0965759999999997E-2</v>
      </c>
      <c r="S793" s="1">
        <f>(Occurrence!G$3-I793)^2</f>
        <v>4.0000000000000008E-2</v>
      </c>
      <c r="T793" s="1">
        <f>(Occurrence!H$3-J793)^2</f>
        <v>0.48999999999999994</v>
      </c>
      <c r="U793" s="1">
        <f>(Occurrence!I$3-K793)^2</f>
        <v>0.36</v>
      </c>
      <c r="V793" s="1">
        <f>(Occurrence!J$3-L793)^2</f>
        <v>0.11560000000000002</v>
      </c>
      <c r="W793" s="1">
        <f>(Occurrence!K$3-M793)^2</f>
        <v>0.78854400000000002</v>
      </c>
      <c r="X793" s="1">
        <f t="shared" si="145"/>
        <v>2.06215349</v>
      </c>
      <c r="Z793" s="1">
        <f t="shared" si="146"/>
        <v>0</v>
      </c>
      <c r="AA793" s="1">
        <f t="shared" si="147"/>
        <v>0</v>
      </c>
      <c r="AB793" s="1">
        <f t="shared" si="148"/>
        <v>1</v>
      </c>
      <c r="AC793" s="1">
        <f t="shared" si="149"/>
        <v>1</v>
      </c>
      <c r="AD793" s="1">
        <f t="shared" si="150"/>
        <v>0</v>
      </c>
      <c r="AE793" s="1">
        <f t="shared" si="151"/>
        <v>0</v>
      </c>
      <c r="AF793" s="1">
        <f t="shared" si="152"/>
        <v>0</v>
      </c>
      <c r="AG793" s="1">
        <f t="shared" si="153"/>
        <v>0</v>
      </c>
      <c r="AH793" s="1">
        <f t="shared" si="154"/>
        <v>0</v>
      </c>
      <c r="AI793" s="1">
        <f t="shared" si="155"/>
        <v>0</v>
      </c>
      <c r="AJ793" s="1">
        <f>SUMXMY2(Z793:AI793, Occurrence!B$3:K$3)</f>
        <v>3</v>
      </c>
      <c r="AK793" s="1">
        <f t="shared" si="156"/>
        <v>7</v>
      </c>
    </row>
    <row r="794" spans="1:37">
      <c r="A794" s="1">
        <v>793</v>
      </c>
      <c r="B794" s="1">
        <v>4252792</v>
      </c>
      <c r="C794" s="6" t="s">
        <v>49</v>
      </c>
      <c r="D794" s="1">
        <v>0.42649999999999999</v>
      </c>
      <c r="E794" s="1">
        <v>0.54930000000000001</v>
      </c>
      <c r="F794" s="1">
        <v>0.57240000000000002</v>
      </c>
      <c r="G794" s="1">
        <v>0.61280000000000001</v>
      </c>
      <c r="H794" s="1">
        <v>0.72430000000000005</v>
      </c>
      <c r="I794" s="1">
        <v>0.64549999999999996</v>
      </c>
      <c r="J794" s="1">
        <v>0.73440000000000005</v>
      </c>
      <c r="K794" s="1">
        <v>0.76339999999999997</v>
      </c>
      <c r="L794" s="1">
        <v>0.84509999999999996</v>
      </c>
      <c r="M794" s="1">
        <v>0.47349999999999998</v>
      </c>
      <c r="N794" s="1">
        <f>(Occurrence!B$3-D794)^2</f>
        <v>0.18190224999999999</v>
      </c>
      <c r="O794" s="1">
        <f>(Occurrence!C$3-E794)^2</f>
        <v>0.30173049000000002</v>
      </c>
      <c r="P794" s="1">
        <f>(Occurrence!D$3-F794)^2</f>
        <v>0.18284175999999999</v>
      </c>
      <c r="Q794" s="1">
        <f>(Occurrence!E$3-G794)^2</f>
        <v>0.14992384</v>
      </c>
      <c r="R794" s="1">
        <f>(Occurrence!F$3-H794)^2</f>
        <v>0.52461049000000004</v>
      </c>
      <c r="S794" s="1">
        <f>(Occurrence!G$3-I794)^2</f>
        <v>0.41667024999999996</v>
      </c>
      <c r="T794" s="1">
        <f>(Occurrence!H$3-J794)^2</f>
        <v>7.0543359999999972E-2</v>
      </c>
      <c r="U794" s="1">
        <f>(Occurrence!I$3-K794)^2</f>
        <v>5.5979560000000018E-2</v>
      </c>
      <c r="V794" s="1">
        <f>(Occurrence!J$3-L794)^2</f>
        <v>0.71419400999999993</v>
      </c>
      <c r="W794" s="1">
        <f>(Occurrence!K$3-M794)^2</f>
        <v>0.27720224999999998</v>
      </c>
      <c r="X794" s="1">
        <f t="shared" si="145"/>
        <v>2.8755982600000003</v>
      </c>
      <c r="Z794" s="1">
        <f t="shared" si="146"/>
        <v>0</v>
      </c>
      <c r="AA794" s="1">
        <f t="shared" si="147"/>
        <v>1</v>
      </c>
      <c r="AB794" s="1">
        <f t="shared" si="148"/>
        <v>1</v>
      </c>
      <c r="AC794" s="1">
        <f t="shared" si="149"/>
        <v>1</v>
      </c>
      <c r="AD794" s="1">
        <f t="shared" si="150"/>
        <v>1</v>
      </c>
      <c r="AE794" s="1">
        <f t="shared" si="151"/>
        <v>1</v>
      </c>
      <c r="AF794" s="1">
        <f t="shared" si="152"/>
        <v>1</v>
      </c>
      <c r="AG794" s="1">
        <f t="shared" si="153"/>
        <v>1</v>
      </c>
      <c r="AH794" s="1">
        <f t="shared" si="154"/>
        <v>1</v>
      </c>
      <c r="AI794" s="1">
        <f t="shared" si="155"/>
        <v>0</v>
      </c>
      <c r="AJ794" s="1">
        <f>SUMXMY2(Z794:AI794, Occurrence!B$3:K$3)</f>
        <v>5</v>
      </c>
      <c r="AK794" s="1">
        <f t="shared" si="156"/>
        <v>5</v>
      </c>
    </row>
    <row r="795" spans="1:37">
      <c r="A795" s="1">
        <v>794</v>
      </c>
      <c r="B795" s="1">
        <v>4252793</v>
      </c>
      <c r="C795" s="6" t="s">
        <v>49</v>
      </c>
      <c r="D795" s="1">
        <v>0.3</v>
      </c>
      <c r="E795" s="1">
        <v>0.4</v>
      </c>
      <c r="F795" s="1">
        <v>0.3</v>
      </c>
      <c r="G795" s="1">
        <v>0.4</v>
      </c>
      <c r="H795" s="1">
        <v>0.5</v>
      </c>
      <c r="I795" s="1">
        <v>0.4</v>
      </c>
      <c r="J795" s="1">
        <v>0.6</v>
      </c>
      <c r="K795" s="1">
        <v>0.7</v>
      </c>
      <c r="L795" s="1">
        <v>0.3</v>
      </c>
      <c r="M795" s="1">
        <v>0.4</v>
      </c>
      <c r="N795" s="1">
        <f>(Occurrence!B$3-D795)^2</f>
        <v>0.09</v>
      </c>
      <c r="O795" s="1">
        <f>(Occurrence!C$3-E795)^2</f>
        <v>0.16000000000000003</v>
      </c>
      <c r="P795" s="1">
        <f>(Occurrence!D$3-F795)^2</f>
        <v>0.48999999999999994</v>
      </c>
      <c r="Q795" s="1">
        <f>(Occurrence!E$3-G795)^2</f>
        <v>0.36</v>
      </c>
      <c r="R795" s="1">
        <f>(Occurrence!F$3-H795)^2</f>
        <v>0.25</v>
      </c>
      <c r="S795" s="1">
        <f>(Occurrence!G$3-I795)^2</f>
        <v>0.16000000000000003</v>
      </c>
      <c r="T795" s="1">
        <f>(Occurrence!H$3-J795)^2</f>
        <v>0.16000000000000003</v>
      </c>
      <c r="U795" s="1">
        <f>(Occurrence!I$3-K795)^2</f>
        <v>9.0000000000000024E-2</v>
      </c>
      <c r="V795" s="1">
        <f>(Occurrence!J$3-L795)^2</f>
        <v>0.09</v>
      </c>
      <c r="W795" s="1">
        <f>(Occurrence!K$3-M795)^2</f>
        <v>0.36</v>
      </c>
      <c r="X795" s="1">
        <f t="shared" si="145"/>
        <v>2.2100000000000004</v>
      </c>
      <c r="Z795" s="1">
        <f t="shared" si="146"/>
        <v>0</v>
      </c>
      <c r="AA795" s="1">
        <f t="shared" si="147"/>
        <v>0</v>
      </c>
      <c r="AB795" s="1">
        <f t="shared" si="148"/>
        <v>0</v>
      </c>
      <c r="AC795" s="1">
        <f t="shared" si="149"/>
        <v>0</v>
      </c>
      <c r="AD795" s="1">
        <f t="shared" si="150"/>
        <v>1</v>
      </c>
      <c r="AE795" s="1">
        <f t="shared" si="151"/>
        <v>0</v>
      </c>
      <c r="AF795" s="1">
        <f t="shared" si="152"/>
        <v>1</v>
      </c>
      <c r="AG795" s="1">
        <f t="shared" si="153"/>
        <v>1</v>
      </c>
      <c r="AH795" s="1">
        <f t="shared" si="154"/>
        <v>0</v>
      </c>
      <c r="AI795" s="1">
        <f t="shared" si="155"/>
        <v>0</v>
      </c>
      <c r="AJ795" s="1">
        <f>SUMXMY2(Z795:AI795, Occurrence!B$3:K$3)</f>
        <v>4</v>
      </c>
      <c r="AK795" s="1">
        <f t="shared" si="156"/>
        <v>6</v>
      </c>
    </row>
    <row r="796" spans="1:37">
      <c r="A796" s="1">
        <v>795</v>
      </c>
      <c r="B796" s="1">
        <v>4252794</v>
      </c>
      <c r="C796" s="6" t="s">
        <v>49</v>
      </c>
      <c r="D796" s="1">
        <v>0.2</v>
      </c>
      <c r="E796" s="1">
        <v>0.5</v>
      </c>
      <c r="F796" s="1">
        <v>0.28000000000000003</v>
      </c>
      <c r="G796" s="1">
        <v>0.15</v>
      </c>
      <c r="H796" s="1">
        <v>0.7</v>
      </c>
      <c r="I796" s="1">
        <v>0.5</v>
      </c>
      <c r="J796" s="1">
        <v>0.3</v>
      </c>
      <c r="K796" s="1">
        <v>0.35</v>
      </c>
      <c r="L796" s="1">
        <v>0.6</v>
      </c>
      <c r="M796" s="1">
        <v>0.3</v>
      </c>
      <c r="N796" s="1">
        <f>(Occurrence!B$3-D796)^2</f>
        <v>4.0000000000000008E-2</v>
      </c>
      <c r="O796" s="1">
        <f>(Occurrence!C$3-E796)^2</f>
        <v>0.25</v>
      </c>
      <c r="P796" s="1">
        <f>(Occurrence!D$3-F796)^2</f>
        <v>0.51839999999999997</v>
      </c>
      <c r="Q796" s="1">
        <f>(Occurrence!E$3-G796)^2</f>
        <v>0.72249999999999992</v>
      </c>
      <c r="R796" s="1">
        <f>(Occurrence!F$3-H796)^2</f>
        <v>0.48999999999999994</v>
      </c>
      <c r="S796" s="1">
        <f>(Occurrence!G$3-I796)^2</f>
        <v>0.25</v>
      </c>
      <c r="T796" s="1">
        <f>(Occurrence!H$3-J796)^2</f>
        <v>0.48999999999999994</v>
      </c>
      <c r="U796" s="1">
        <f>(Occurrence!I$3-K796)^2</f>
        <v>0.42250000000000004</v>
      </c>
      <c r="V796" s="1">
        <f>(Occurrence!J$3-L796)^2</f>
        <v>0.36</v>
      </c>
      <c r="W796" s="1">
        <f>(Occurrence!K$3-M796)^2</f>
        <v>0.48999999999999994</v>
      </c>
      <c r="X796" s="1">
        <f t="shared" si="145"/>
        <v>4.0333999999999994</v>
      </c>
      <c r="Z796" s="1">
        <f t="shared" si="146"/>
        <v>0</v>
      </c>
      <c r="AA796" s="1">
        <f t="shared" si="147"/>
        <v>1</v>
      </c>
      <c r="AB796" s="1">
        <f t="shared" si="148"/>
        <v>0</v>
      </c>
      <c r="AC796" s="1">
        <f t="shared" si="149"/>
        <v>0</v>
      </c>
      <c r="AD796" s="1">
        <f t="shared" si="150"/>
        <v>1</v>
      </c>
      <c r="AE796" s="1">
        <f t="shared" si="151"/>
        <v>1</v>
      </c>
      <c r="AF796" s="1">
        <f t="shared" si="152"/>
        <v>0</v>
      </c>
      <c r="AG796" s="1">
        <f t="shared" si="153"/>
        <v>0</v>
      </c>
      <c r="AH796" s="1">
        <f t="shared" si="154"/>
        <v>1</v>
      </c>
      <c r="AI796" s="1">
        <f t="shared" si="155"/>
        <v>0</v>
      </c>
      <c r="AJ796" s="1">
        <f>SUMXMY2(Z796:AI796, Occurrence!B$3:K$3)</f>
        <v>9</v>
      </c>
      <c r="AK796" s="1">
        <f t="shared" si="156"/>
        <v>1</v>
      </c>
    </row>
    <row r="797" spans="1:37">
      <c r="A797" s="1">
        <v>796</v>
      </c>
      <c r="B797" s="1">
        <v>4252795</v>
      </c>
      <c r="C797" s="6" t="s">
        <v>49</v>
      </c>
      <c r="D797" s="1">
        <v>0.35320000000000001</v>
      </c>
      <c r="E797" s="1">
        <v>0.21829999999999999</v>
      </c>
      <c r="F797" s="1">
        <v>0.64680000000000004</v>
      </c>
      <c r="G797" s="1">
        <v>0.78169999999999995</v>
      </c>
      <c r="H797" s="1">
        <v>0.23</v>
      </c>
      <c r="I797" s="1">
        <v>0.65</v>
      </c>
      <c r="J797" s="1">
        <v>1</v>
      </c>
      <c r="K797" s="1">
        <v>0.38</v>
      </c>
      <c r="L797" s="1">
        <v>0.72</v>
      </c>
      <c r="M797" s="1">
        <v>0.47</v>
      </c>
      <c r="N797" s="1">
        <f>(Occurrence!B$3-D797)^2</f>
        <v>0.12475024000000001</v>
      </c>
      <c r="O797" s="1">
        <f>(Occurrence!C$3-E797)^2</f>
        <v>4.7654889999999998E-2</v>
      </c>
      <c r="P797" s="1">
        <f>(Occurrence!D$3-F797)^2</f>
        <v>0.12475023999999997</v>
      </c>
      <c r="Q797" s="1">
        <f>(Occurrence!E$3-G797)^2</f>
        <v>4.7654890000000019E-2</v>
      </c>
      <c r="R797" s="1">
        <f>(Occurrence!F$3-H797)^2</f>
        <v>5.2900000000000003E-2</v>
      </c>
      <c r="S797" s="1">
        <f>(Occurrence!G$3-I797)^2</f>
        <v>0.42250000000000004</v>
      </c>
      <c r="T797" s="1">
        <f>(Occurrence!H$3-J797)^2</f>
        <v>0</v>
      </c>
      <c r="U797" s="1">
        <f>(Occurrence!I$3-K797)^2</f>
        <v>0.38440000000000002</v>
      </c>
      <c r="V797" s="1">
        <f>(Occurrence!J$3-L797)^2</f>
        <v>0.51839999999999997</v>
      </c>
      <c r="W797" s="1">
        <f>(Occurrence!K$3-M797)^2</f>
        <v>0.28090000000000004</v>
      </c>
      <c r="X797" s="1">
        <f t="shared" si="145"/>
        <v>2.0039102600000001</v>
      </c>
      <c r="Z797" s="1">
        <f t="shared" si="146"/>
        <v>0</v>
      </c>
      <c r="AA797" s="1">
        <f t="shared" si="147"/>
        <v>0</v>
      </c>
      <c r="AB797" s="1">
        <f t="shared" si="148"/>
        <v>1</v>
      </c>
      <c r="AC797" s="1">
        <f t="shared" si="149"/>
        <v>1</v>
      </c>
      <c r="AD797" s="1">
        <f t="shared" si="150"/>
        <v>0</v>
      </c>
      <c r="AE797" s="1">
        <f t="shared" si="151"/>
        <v>1</v>
      </c>
      <c r="AF797" s="1">
        <f t="shared" si="152"/>
        <v>1</v>
      </c>
      <c r="AG797" s="1">
        <f t="shared" si="153"/>
        <v>0</v>
      </c>
      <c r="AH797" s="1">
        <f t="shared" si="154"/>
        <v>1</v>
      </c>
      <c r="AI797" s="1">
        <f t="shared" si="155"/>
        <v>0</v>
      </c>
      <c r="AJ797" s="1">
        <f>SUMXMY2(Z797:AI797, Occurrence!B$3:K$3)</f>
        <v>4</v>
      </c>
      <c r="AK797" s="1">
        <f t="shared" si="156"/>
        <v>6</v>
      </c>
    </row>
    <row r="798" spans="1:37">
      <c r="A798" s="1">
        <v>797</v>
      </c>
      <c r="B798" s="1">
        <v>4252796</v>
      </c>
      <c r="C798" s="6" t="s">
        <v>50</v>
      </c>
      <c r="D798" s="1">
        <v>0.15</v>
      </c>
      <c r="E798" s="1">
        <v>0.25</v>
      </c>
      <c r="F798" s="1">
        <v>0.85</v>
      </c>
      <c r="G798" s="1">
        <v>0.75</v>
      </c>
      <c r="H798" s="1">
        <v>0.45</v>
      </c>
      <c r="I798" s="1">
        <v>0.35</v>
      </c>
      <c r="J798" s="1">
        <v>0.6</v>
      </c>
      <c r="K798" s="1">
        <v>0.55000000000000004</v>
      </c>
      <c r="L798" s="1">
        <v>0.2</v>
      </c>
      <c r="M798" s="1">
        <v>0.35</v>
      </c>
      <c r="N798" s="1">
        <f>(Occurrence!B$3-D798)^2</f>
        <v>2.2499999999999999E-2</v>
      </c>
      <c r="O798" s="1">
        <f>(Occurrence!C$3-E798)^2</f>
        <v>6.25E-2</v>
      </c>
      <c r="P798" s="1">
        <f>(Occurrence!D$3-F798)^2</f>
        <v>2.2500000000000006E-2</v>
      </c>
      <c r="Q798" s="1">
        <f>(Occurrence!E$3-G798)^2</f>
        <v>6.25E-2</v>
      </c>
      <c r="R798" s="1">
        <f>(Occurrence!F$3-H798)^2</f>
        <v>0.20250000000000001</v>
      </c>
      <c r="S798" s="1">
        <f>(Occurrence!G$3-I798)^2</f>
        <v>0.12249999999999998</v>
      </c>
      <c r="T798" s="1">
        <f>(Occurrence!H$3-J798)^2</f>
        <v>0.16000000000000003</v>
      </c>
      <c r="U798" s="1">
        <f>(Occurrence!I$3-K798)^2</f>
        <v>0.20249999999999996</v>
      </c>
      <c r="V798" s="1">
        <f>(Occurrence!J$3-L798)^2</f>
        <v>4.0000000000000008E-2</v>
      </c>
      <c r="W798" s="1">
        <f>(Occurrence!K$3-M798)^2</f>
        <v>0.42250000000000004</v>
      </c>
      <c r="X798" s="1">
        <f t="shared" si="145"/>
        <v>1.32</v>
      </c>
      <c r="Z798" s="1">
        <f t="shared" si="146"/>
        <v>0</v>
      </c>
      <c r="AA798" s="1">
        <f t="shared" si="147"/>
        <v>0</v>
      </c>
      <c r="AB798" s="1">
        <f t="shared" si="148"/>
        <v>1</v>
      </c>
      <c r="AC798" s="1">
        <f t="shared" si="149"/>
        <v>1</v>
      </c>
      <c r="AD798" s="1">
        <f t="shared" si="150"/>
        <v>0</v>
      </c>
      <c r="AE798" s="1">
        <f t="shared" si="151"/>
        <v>0</v>
      </c>
      <c r="AF798" s="1">
        <f t="shared" si="152"/>
        <v>1</v>
      </c>
      <c r="AG798" s="1">
        <f t="shared" si="153"/>
        <v>1</v>
      </c>
      <c r="AH798" s="1">
        <f t="shared" si="154"/>
        <v>0</v>
      </c>
      <c r="AI798" s="1">
        <f t="shared" si="155"/>
        <v>0</v>
      </c>
      <c r="AJ798" s="1">
        <f>SUMXMY2(Z798:AI798, Occurrence!B$3:K$3)</f>
        <v>1</v>
      </c>
      <c r="AK798" s="1">
        <f t="shared" si="156"/>
        <v>9</v>
      </c>
    </row>
    <row r="799" spans="1:37">
      <c r="A799" s="1">
        <v>798</v>
      </c>
      <c r="B799" s="1">
        <v>4252797</v>
      </c>
      <c r="C799" s="6" t="s">
        <v>50</v>
      </c>
      <c r="D799" s="1">
        <v>0.1</v>
      </c>
      <c r="E799" s="1">
        <v>0.2</v>
      </c>
      <c r="F799" s="1">
        <v>0.8</v>
      </c>
      <c r="G799" s="1">
        <v>0.9</v>
      </c>
      <c r="H799" s="1">
        <v>0.1</v>
      </c>
      <c r="I799" s="1">
        <v>0.5</v>
      </c>
      <c r="J799" s="1">
        <v>0.95</v>
      </c>
      <c r="K799" s="1">
        <v>0.3</v>
      </c>
      <c r="L799" s="1">
        <v>0.2</v>
      </c>
      <c r="M799" s="1">
        <v>0.4</v>
      </c>
      <c r="N799" s="1">
        <f>(Occurrence!B$3-D799)^2</f>
        <v>1.0000000000000002E-2</v>
      </c>
      <c r="O799" s="1">
        <f>(Occurrence!C$3-E799)^2</f>
        <v>4.0000000000000008E-2</v>
      </c>
      <c r="P799" s="1">
        <f>(Occurrence!D$3-F799)^2</f>
        <v>3.999999999999998E-2</v>
      </c>
      <c r="Q799" s="1">
        <f>(Occurrence!E$3-G799)^2</f>
        <v>9.999999999999995E-3</v>
      </c>
      <c r="R799" s="1">
        <f>(Occurrence!F$3-H799)^2</f>
        <v>1.0000000000000002E-2</v>
      </c>
      <c r="S799" s="1">
        <f>(Occurrence!G$3-I799)^2</f>
        <v>0.25</v>
      </c>
      <c r="T799" s="1">
        <f>(Occurrence!H$3-J799)^2</f>
        <v>2.5000000000000044E-3</v>
      </c>
      <c r="U799" s="1">
        <f>(Occurrence!I$3-K799)^2</f>
        <v>0.48999999999999994</v>
      </c>
      <c r="V799" s="1">
        <f>(Occurrence!J$3-L799)^2</f>
        <v>4.0000000000000008E-2</v>
      </c>
      <c r="W799" s="1">
        <f>(Occurrence!K$3-M799)^2</f>
        <v>0.36</v>
      </c>
      <c r="X799" s="1">
        <f t="shared" si="145"/>
        <v>1.2524999999999999</v>
      </c>
      <c r="Z799" s="1">
        <f t="shared" si="146"/>
        <v>0</v>
      </c>
      <c r="AA799" s="1">
        <f t="shared" si="147"/>
        <v>0</v>
      </c>
      <c r="AB799" s="1">
        <f t="shared" si="148"/>
        <v>1</v>
      </c>
      <c r="AC799" s="1">
        <f t="shared" si="149"/>
        <v>1</v>
      </c>
      <c r="AD799" s="1">
        <f t="shared" si="150"/>
        <v>0</v>
      </c>
      <c r="AE799" s="1">
        <f t="shared" si="151"/>
        <v>1</v>
      </c>
      <c r="AF799" s="1">
        <f t="shared" si="152"/>
        <v>1</v>
      </c>
      <c r="AG799" s="1">
        <f t="shared" si="153"/>
        <v>0</v>
      </c>
      <c r="AH799" s="1">
        <f t="shared" si="154"/>
        <v>0</v>
      </c>
      <c r="AI799" s="1">
        <f t="shared" si="155"/>
        <v>0</v>
      </c>
      <c r="AJ799" s="1">
        <f>SUMXMY2(Z799:AI799, Occurrence!B$3:K$3)</f>
        <v>3</v>
      </c>
      <c r="AK799" s="1">
        <f t="shared" si="156"/>
        <v>7</v>
      </c>
    </row>
    <row r="800" spans="1:37">
      <c r="A800" s="1">
        <v>799</v>
      </c>
      <c r="B800" s="1">
        <v>4252798</v>
      </c>
      <c r="C800" s="6" t="s">
        <v>50</v>
      </c>
      <c r="D800" s="1">
        <v>0.1</v>
      </c>
      <c r="E800" s="1">
        <v>0.2</v>
      </c>
      <c r="F800" s="1">
        <v>0.8</v>
      </c>
      <c r="G800" s="1">
        <v>0.99</v>
      </c>
      <c r="H800" s="1">
        <v>0.5</v>
      </c>
      <c r="I800" s="1">
        <v>0.92</v>
      </c>
      <c r="J800" s="1">
        <v>0.8</v>
      </c>
      <c r="K800" s="1">
        <v>0.9</v>
      </c>
      <c r="L800" s="1">
        <v>0.5</v>
      </c>
      <c r="M800" s="1">
        <v>0.4</v>
      </c>
      <c r="N800" s="1">
        <f>(Occurrence!B$3-D800)^2</f>
        <v>1.0000000000000002E-2</v>
      </c>
      <c r="O800" s="1">
        <f>(Occurrence!C$3-E800)^2</f>
        <v>4.0000000000000008E-2</v>
      </c>
      <c r="P800" s="1">
        <f>(Occurrence!D$3-F800)^2</f>
        <v>3.999999999999998E-2</v>
      </c>
      <c r="Q800" s="1">
        <f>(Occurrence!E$3-G800)^2</f>
        <v>1.0000000000000018E-4</v>
      </c>
      <c r="R800" s="1">
        <f>(Occurrence!F$3-H800)^2</f>
        <v>0.25</v>
      </c>
      <c r="S800" s="1">
        <f>(Occurrence!G$3-I800)^2</f>
        <v>0.84640000000000004</v>
      </c>
      <c r="T800" s="1">
        <f>(Occurrence!H$3-J800)^2</f>
        <v>3.999999999999998E-2</v>
      </c>
      <c r="U800" s="1">
        <f>(Occurrence!I$3-K800)^2</f>
        <v>9.999999999999995E-3</v>
      </c>
      <c r="V800" s="1">
        <f>(Occurrence!J$3-L800)^2</f>
        <v>0.25</v>
      </c>
      <c r="W800" s="1">
        <f>(Occurrence!K$3-M800)^2</f>
        <v>0.36</v>
      </c>
      <c r="X800" s="1">
        <f t="shared" si="145"/>
        <v>1.8465000000000003</v>
      </c>
      <c r="Z800" s="1">
        <f t="shared" si="146"/>
        <v>0</v>
      </c>
      <c r="AA800" s="1">
        <f t="shared" si="147"/>
        <v>0</v>
      </c>
      <c r="AB800" s="1">
        <f t="shared" si="148"/>
        <v>1</v>
      </c>
      <c r="AC800" s="1">
        <f t="shared" si="149"/>
        <v>1</v>
      </c>
      <c r="AD800" s="1">
        <f t="shared" si="150"/>
        <v>1</v>
      </c>
      <c r="AE800" s="1">
        <f t="shared" si="151"/>
        <v>1</v>
      </c>
      <c r="AF800" s="1">
        <f t="shared" si="152"/>
        <v>1</v>
      </c>
      <c r="AG800" s="1">
        <f t="shared" si="153"/>
        <v>1</v>
      </c>
      <c r="AH800" s="1">
        <f t="shared" si="154"/>
        <v>1</v>
      </c>
      <c r="AI800" s="1">
        <f t="shared" si="155"/>
        <v>0</v>
      </c>
      <c r="AJ800" s="1">
        <f>SUMXMY2(Z800:AI800, Occurrence!B$3:K$3)</f>
        <v>4</v>
      </c>
      <c r="AK800" s="1">
        <f t="shared" si="156"/>
        <v>6</v>
      </c>
    </row>
    <row r="801" spans="1:37">
      <c r="A801" s="1">
        <v>800</v>
      </c>
      <c r="B801" s="1">
        <v>4252799</v>
      </c>
      <c r="C801" s="6" t="s">
        <v>50</v>
      </c>
      <c r="D801" s="1">
        <v>0.1</v>
      </c>
      <c r="E801" s="1">
        <v>0.2</v>
      </c>
      <c r="F801" s="1">
        <v>0.8</v>
      </c>
      <c r="G801" s="1">
        <v>0.9</v>
      </c>
      <c r="H801" s="1">
        <v>0.1</v>
      </c>
      <c r="I801" s="1">
        <v>0.7</v>
      </c>
      <c r="J801" s="1">
        <v>1</v>
      </c>
      <c r="K801" s="1">
        <v>1</v>
      </c>
      <c r="L801" s="1">
        <v>0.1</v>
      </c>
      <c r="M801" s="1">
        <v>0.3</v>
      </c>
      <c r="N801" s="1">
        <f>(Occurrence!B$3-D801)^2</f>
        <v>1.0000000000000002E-2</v>
      </c>
      <c r="O801" s="1">
        <f>(Occurrence!C$3-E801)^2</f>
        <v>4.0000000000000008E-2</v>
      </c>
      <c r="P801" s="1">
        <f>(Occurrence!D$3-F801)^2</f>
        <v>3.999999999999998E-2</v>
      </c>
      <c r="Q801" s="1">
        <f>(Occurrence!E$3-G801)^2</f>
        <v>9.999999999999995E-3</v>
      </c>
      <c r="R801" s="1">
        <f>(Occurrence!F$3-H801)^2</f>
        <v>1.0000000000000002E-2</v>
      </c>
      <c r="S801" s="1">
        <f>(Occurrence!G$3-I801)^2</f>
        <v>0.48999999999999994</v>
      </c>
      <c r="T801" s="1">
        <f>(Occurrence!H$3-J801)^2</f>
        <v>0</v>
      </c>
      <c r="U801" s="1">
        <f>(Occurrence!I$3-K801)^2</f>
        <v>0</v>
      </c>
      <c r="V801" s="1">
        <f>(Occurrence!J$3-L801)^2</f>
        <v>1.0000000000000002E-2</v>
      </c>
      <c r="W801" s="1">
        <f>(Occurrence!K$3-M801)^2</f>
        <v>0.48999999999999994</v>
      </c>
      <c r="X801" s="1">
        <f t="shared" si="145"/>
        <v>1.0999999999999999</v>
      </c>
      <c r="Z801" s="1">
        <f t="shared" si="146"/>
        <v>0</v>
      </c>
      <c r="AA801" s="1">
        <f t="shared" si="147"/>
        <v>0</v>
      </c>
      <c r="AB801" s="1">
        <f t="shared" si="148"/>
        <v>1</v>
      </c>
      <c r="AC801" s="1">
        <f t="shared" si="149"/>
        <v>1</v>
      </c>
      <c r="AD801" s="1">
        <f t="shared" si="150"/>
        <v>0</v>
      </c>
      <c r="AE801" s="1">
        <f t="shared" si="151"/>
        <v>1</v>
      </c>
      <c r="AF801" s="1">
        <f t="shared" si="152"/>
        <v>1</v>
      </c>
      <c r="AG801" s="1">
        <f t="shared" si="153"/>
        <v>1</v>
      </c>
      <c r="AH801" s="1">
        <f t="shared" si="154"/>
        <v>0</v>
      </c>
      <c r="AI801" s="1">
        <f t="shared" si="155"/>
        <v>0</v>
      </c>
      <c r="AJ801" s="1">
        <f>SUMXMY2(Z801:AI801, Occurrence!B$3:K$3)</f>
        <v>2</v>
      </c>
      <c r="AK801" s="1">
        <f t="shared" si="156"/>
        <v>8</v>
      </c>
    </row>
    <row r="802" spans="1:37">
      <c r="A802" s="1">
        <v>801</v>
      </c>
      <c r="B802" s="1">
        <v>4252800</v>
      </c>
      <c r="C802" s="6" t="s">
        <v>50</v>
      </c>
      <c r="D802" s="1">
        <v>0.1</v>
      </c>
      <c r="E802" s="1">
        <v>0.2</v>
      </c>
      <c r="F802" s="1">
        <v>0.8</v>
      </c>
      <c r="G802" s="1">
        <v>0.9</v>
      </c>
      <c r="H802" s="1">
        <v>0.1</v>
      </c>
      <c r="I802" s="1">
        <v>0.7</v>
      </c>
      <c r="J802" s="1">
        <v>1</v>
      </c>
      <c r="K802" s="1">
        <v>1</v>
      </c>
      <c r="L802" s="1">
        <v>0.1</v>
      </c>
      <c r="M802" s="1">
        <v>0.3</v>
      </c>
      <c r="N802" s="1">
        <f>(Occurrence!B$3-D802)^2</f>
        <v>1.0000000000000002E-2</v>
      </c>
      <c r="O802" s="1">
        <f>(Occurrence!C$3-E802)^2</f>
        <v>4.0000000000000008E-2</v>
      </c>
      <c r="P802" s="1">
        <f>(Occurrence!D$3-F802)^2</f>
        <v>3.999999999999998E-2</v>
      </c>
      <c r="Q802" s="1">
        <f>(Occurrence!E$3-G802)^2</f>
        <v>9.999999999999995E-3</v>
      </c>
      <c r="R802" s="1">
        <f>(Occurrence!F$3-H802)^2</f>
        <v>1.0000000000000002E-2</v>
      </c>
      <c r="S802" s="1">
        <f>(Occurrence!G$3-I802)^2</f>
        <v>0.48999999999999994</v>
      </c>
      <c r="T802" s="1">
        <f>(Occurrence!H$3-J802)^2</f>
        <v>0</v>
      </c>
      <c r="U802" s="1">
        <f>(Occurrence!I$3-K802)^2</f>
        <v>0</v>
      </c>
      <c r="V802" s="1">
        <f>(Occurrence!J$3-L802)^2</f>
        <v>1.0000000000000002E-2</v>
      </c>
      <c r="W802" s="1">
        <f>(Occurrence!K$3-M802)^2</f>
        <v>0.48999999999999994</v>
      </c>
      <c r="X802" s="1">
        <f t="shared" si="145"/>
        <v>1.0999999999999999</v>
      </c>
      <c r="Z802" s="1">
        <f t="shared" si="146"/>
        <v>0</v>
      </c>
      <c r="AA802" s="1">
        <f t="shared" si="147"/>
        <v>0</v>
      </c>
      <c r="AB802" s="1">
        <f t="shared" si="148"/>
        <v>1</v>
      </c>
      <c r="AC802" s="1">
        <f t="shared" si="149"/>
        <v>1</v>
      </c>
      <c r="AD802" s="1">
        <f t="shared" si="150"/>
        <v>0</v>
      </c>
      <c r="AE802" s="1">
        <f t="shared" si="151"/>
        <v>1</v>
      </c>
      <c r="AF802" s="1">
        <f t="shared" si="152"/>
        <v>1</v>
      </c>
      <c r="AG802" s="1">
        <f t="shared" si="153"/>
        <v>1</v>
      </c>
      <c r="AH802" s="1">
        <f t="shared" si="154"/>
        <v>0</v>
      </c>
      <c r="AI802" s="1">
        <f t="shared" si="155"/>
        <v>0</v>
      </c>
      <c r="AJ802" s="1">
        <f>SUMXMY2(Z802:AI802, Occurrence!B$3:K$3)</f>
        <v>2</v>
      </c>
      <c r="AK802" s="1">
        <f t="shared" si="156"/>
        <v>8</v>
      </c>
    </row>
    <row r="803" spans="1:37">
      <c r="A803" s="1">
        <v>802</v>
      </c>
      <c r="B803" s="1">
        <v>4252801</v>
      </c>
      <c r="C803" s="6" t="s">
        <v>50</v>
      </c>
      <c r="D803" s="1">
        <v>2.9999999999999997E-4</v>
      </c>
      <c r="E803" s="1">
        <v>4.4999999999999997E-3</v>
      </c>
      <c r="F803" s="1">
        <v>0.65</v>
      </c>
      <c r="G803" s="1">
        <v>0.98329999999999995</v>
      </c>
      <c r="H803" s="1">
        <v>0.05</v>
      </c>
      <c r="I803" s="1">
        <v>0.96419999999999995</v>
      </c>
      <c r="J803" s="1">
        <v>0.92100000000000004</v>
      </c>
      <c r="K803" s="1">
        <v>0.5444</v>
      </c>
      <c r="L803" s="1">
        <v>4.3E-3</v>
      </c>
      <c r="M803" s="1">
        <v>0.52129999999999999</v>
      </c>
      <c r="N803" s="1">
        <f>(Occurrence!B$3-D803)^2</f>
        <v>8.9999999999999985E-8</v>
      </c>
      <c r="O803" s="1">
        <f>(Occurrence!C$3-E803)^2</f>
        <v>2.0249999999999998E-5</v>
      </c>
      <c r="P803" s="1">
        <f>(Occurrence!D$3-F803)^2</f>
        <v>0.12249999999999998</v>
      </c>
      <c r="Q803" s="1">
        <f>(Occurrence!E$3-G803)^2</f>
        <v>2.7889000000000163E-4</v>
      </c>
      <c r="R803" s="1">
        <f>(Occurrence!F$3-H803)^2</f>
        <v>2.5000000000000005E-3</v>
      </c>
      <c r="S803" s="1">
        <f>(Occurrence!G$3-I803)^2</f>
        <v>0.92968163999999986</v>
      </c>
      <c r="T803" s="1">
        <f>(Occurrence!H$3-J803)^2</f>
        <v>6.2409999999999939E-3</v>
      </c>
      <c r="U803" s="1">
        <f>(Occurrence!I$3-K803)^2</f>
        <v>0.20757136000000001</v>
      </c>
      <c r="V803" s="1">
        <f>(Occurrence!J$3-L803)^2</f>
        <v>1.8490000000000001E-5</v>
      </c>
      <c r="W803" s="1">
        <f>(Occurrence!K$3-M803)^2</f>
        <v>0.22915369000000002</v>
      </c>
      <c r="X803" s="1">
        <f t="shared" si="145"/>
        <v>1.4979654099999997</v>
      </c>
      <c r="Z803" s="1">
        <f t="shared" si="146"/>
        <v>0</v>
      </c>
      <c r="AA803" s="1">
        <f t="shared" si="147"/>
        <v>0</v>
      </c>
      <c r="AB803" s="1">
        <f t="shared" si="148"/>
        <v>1</v>
      </c>
      <c r="AC803" s="1">
        <f t="shared" si="149"/>
        <v>1</v>
      </c>
      <c r="AD803" s="1">
        <f t="shared" si="150"/>
        <v>0</v>
      </c>
      <c r="AE803" s="1">
        <f t="shared" si="151"/>
        <v>1</v>
      </c>
      <c r="AF803" s="1">
        <f t="shared" si="152"/>
        <v>1</v>
      </c>
      <c r="AG803" s="1">
        <f t="shared" si="153"/>
        <v>1</v>
      </c>
      <c r="AH803" s="1">
        <f t="shared" si="154"/>
        <v>0</v>
      </c>
      <c r="AI803" s="1">
        <f t="shared" si="155"/>
        <v>1</v>
      </c>
      <c r="AJ803" s="1">
        <f>SUMXMY2(Z803:AI803, Occurrence!B$3:K$3)</f>
        <v>1</v>
      </c>
      <c r="AK803" s="1">
        <f t="shared" si="156"/>
        <v>9</v>
      </c>
    </row>
    <row r="804" spans="1:37">
      <c r="A804" s="1">
        <v>803</v>
      </c>
      <c r="B804" s="1">
        <v>4252802</v>
      </c>
      <c r="C804" s="6" t="s">
        <v>50</v>
      </c>
      <c r="D804" s="1">
        <v>0.1</v>
      </c>
      <c r="E804" s="1">
        <v>0.2</v>
      </c>
      <c r="F804" s="1">
        <v>0.8</v>
      </c>
      <c r="G804" s="1">
        <v>0.9</v>
      </c>
      <c r="H804" s="1">
        <v>0.1</v>
      </c>
      <c r="I804" s="1">
        <v>0.6</v>
      </c>
      <c r="J804" s="1">
        <v>1</v>
      </c>
      <c r="K804" s="1">
        <v>1</v>
      </c>
      <c r="L804" s="1">
        <v>0.01</v>
      </c>
      <c r="M804" s="1">
        <v>0.8</v>
      </c>
      <c r="N804" s="1">
        <f>(Occurrence!B$3-D804)^2</f>
        <v>1.0000000000000002E-2</v>
      </c>
      <c r="O804" s="1">
        <f>(Occurrence!C$3-E804)^2</f>
        <v>4.0000000000000008E-2</v>
      </c>
      <c r="P804" s="1">
        <f>(Occurrence!D$3-F804)^2</f>
        <v>3.999999999999998E-2</v>
      </c>
      <c r="Q804" s="1">
        <f>(Occurrence!E$3-G804)^2</f>
        <v>9.999999999999995E-3</v>
      </c>
      <c r="R804" s="1">
        <f>(Occurrence!F$3-H804)^2</f>
        <v>1.0000000000000002E-2</v>
      </c>
      <c r="S804" s="1">
        <f>(Occurrence!G$3-I804)^2</f>
        <v>0.36</v>
      </c>
      <c r="T804" s="1">
        <f>(Occurrence!H$3-J804)^2</f>
        <v>0</v>
      </c>
      <c r="U804" s="1">
        <f>(Occurrence!I$3-K804)^2</f>
        <v>0</v>
      </c>
      <c r="V804" s="1">
        <f>(Occurrence!J$3-L804)^2</f>
        <v>1E-4</v>
      </c>
      <c r="W804" s="1">
        <f>(Occurrence!K$3-M804)^2</f>
        <v>3.999999999999998E-2</v>
      </c>
      <c r="X804" s="1">
        <f t="shared" si="145"/>
        <v>0.5101</v>
      </c>
      <c r="Z804" s="1">
        <f t="shared" si="146"/>
        <v>0</v>
      </c>
      <c r="AA804" s="1">
        <f t="shared" si="147"/>
        <v>0</v>
      </c>
      <c r="AB804" s="1">
        <f t="shared" si="148"/>
        <v>1</v>
      </c>
      <c r="AC804" s="1">
        <f t="shared" si="149"/>
        <v>1</v>
      </c>
      <c r="AD804" s="1">
        <f t="shared" si="150"/>
        <v>0</v>
      </c>
      <c r="AE804" s="1">
        <f t="shared" si="151"/>
        <v>1</v>
      </c>
      <c r="AF804" s="1">
        <f t="shared" si="152"/>
        <v>1</v>
      </c>
      <c r="AG804" s="1">
        <f t="shared" si="153"/>
        <v>1</v>
      </c>
      <c r="AH804" s="1">
        <f t="shared" si="154"/>
        <v>0</v>
      </c>
      <c r="AI804" s="1">
        <f t="shared" si="155"/>
        <v>1</v>
      </c>
      <c r="AJ804" s="1">
        <f>SUMXMY2(Z804:AI804, Occurrence!B$3:K$3)</f>
        <v>1</v>
      </c>
      <c r="AK804" s="1">
        <f t="shared" si="156"/>
        <v>9</v>
      </c>
    </row>
    <row r="805" spans="1:37">
      <c r="A805" s="1">
        <v>804</v>
      </c>
      <c r="B805" s="1">
        <v>4252803</v>
      </c>
      <c r="C805" s="6" t="s">
        <v>50</v>
      </c>
      <c r="D805" s="1">
        <v>0.25</v>
      </c>
      <c r="E805" s="1">
        <v>0.15</v>
      </c>
      <c r="F805" s="1">
        <v>0.85</v>
      </c>
      <c r="G805" s="1">
        <v>0.91</v>
      </c>
      <c r="H805" s="1">
        <v>0.62</v>
      </c>
      <c r="I805" s="1">
        <v>0.62</v>
      </c>
      <c r="J805" s="1">
        <v>0.5</v>
      </c>
      <c r="K805" s="1">
        <v>0.3</v>
      </c>
      <c r="L805" s="1">
        <v>0.35</v>
      </c>
      <c r="M805" s="1">
        <v>0.48</v>
      </c>
      <c r="N805" s="1">
        <f>(Occurrence!B$3-D805)^2</f>
        <v>6.25E-2</v>
      </c>
      <c r="O805" s="1">
        <f>(Occurrence!C$3-E805)^2</f>
        <v>2.2499999999999999E-2</v>
      </c>
      <c r="P805" s="1">
        <f>(Occurrence!D$3-F805)^2</f>
        <v>2.2500000000000006E-2</v>
      </c>
      <c r="Q805" s="1">
        <f>(Occurrence!E$3-G805)^2</f>
        <v>8.0999999999999944E-3</v>
      </c>
      <c r="R805" s="1">
        <f>(Occurrence!F$3-H805)^2</f>
        <v>0.38440000000000002</v>
      </c>
      <c r="S805" s="1">
        <f>(Occurrence!G$3-I805)^2</f>
        <v>0.38440000000000002</v>
      </c>
      <c r="T805" s="1">
        <f>(Occurrence!H$3-J805)^2</f>
        <v>0.25</v>
      </c>
      <c r="U805" s="1">
        <f>(Occurrence!I$3-K805)^2</f>
        <v>0.48999999999999994</v>
      </c>
      <c r="V805" s="1">
        <f>(Occurrence!J$3-L805)^2</f>
        <v>0.12249999999999998</v>
      </c>
      <c r="W805" s="1">
        <f>(Occurrence!K$3-M805)^2</f>
        <v>0.27040000000000003</v>
      </c>
      <c r="X805" s="1">
        <f t="shared" si="145"/>
        <v>2.0173000000000001</v>
      </c>
      <c r="Z805" s="1">
        <f t="shared" si="146"/>
        <v>0</v>
      </c>
      <c r="AA805" s="1">
        <f t="shared" si="147"/>
        <v>0</v>
      </c>
      <c r="AB805" s="1">
        <f t="shared" si="148"/>
        <v>1</v>
      </c>
      <c r="AC805" s="1">
        <f t="shared" si="149"/>
        <v>1</v>
      </c>
      <c r="AD805" s="1">
        <f t="shared" si="150"/>
        <v>1</v>
      </c>
      <c r="AE805" s="1">
        <f t="shared" si="151"/>
        <v>1</v>
      </c>
      <c r="AF805" s="1">
        <f t="shared" si="152"/>
        <v>1</v>
      </c>
      <c r="AG805" s="1">
        <f t="shared" si="153"/>
        <v>0</v>
      </c>
      <c r="AH805" s="1">
        <f t="shared" si="154"/>
        <v>0</v>
      </c>
      <c r="AI805" s="1">
        <f t="shared" si="155"/>
        <v>0</v>
      </c>
      <c r="AJ805" s="1">
        <f>SUMXMY2(Z805:AI805, Occurrence!B$3:K$3)</f>
        <v>4</v>
      </c>
      <c r="AK805" s="1">
        <f t="shared" si="156"/>
        <v>6</v>
      </c>
    </row>
    <row r="806" spans="1:37">
      <c r="A806" s="1">
        <v>805</v>
      </c>
      <c r="B806" s="1">
        <v>4252804</v>
      </c>
      <c r="C806" s="6" t="s">
        <v>50</v>
      </c>
      <c r="D806" s="1">
        <v>0.01</v>
      </c>
      <c r="E806" s="1">
        <v>0.08</v>
      </c>
      <c r="F806" s="1">
        <v>0.03</v>
      </c>
      <c r="G806" s="1">
        <v>0.45</v>
      </c>
      <c r="H806" s="1">
        <v>0.85</v>
      </c>
      <c r="I806" s="1">
        <v>0.57999999999999996</v>
      </c>
      <c r="J806" s="1">
        <v>0.98</v>
      </c>
      <c r="K806" s="1">
        <v>0.98</v>
      </c>
      <c r="L806" s="1">
        <v>1</v>
      </c>
      <c r="M806" s="1">
        <v>0.87</v>
      </c>
      <c r="N806" s="1">
        <f>(Occurrence!B$3-D806)^2</f>
        <v>1E-4</v>
      </c>
      <c r="O806" s="1">
        <f>(Occurrence!C$3-E806)^2</f>
        <v>6.4000000000000003E-3</v>
      </c>
      <c r="P806" s="1">
        <f>(Occurrence!D$3-F806)^2</f>
        <v>0.94089999999999996</v>
      </c>
      <c r="Q806" s="1">
        <f>(Occurrence!E$3-G806)^2</f>
        <v>0.30250000000000005</v>
      </c>
      <c r="R806" s="1">
        <f>(Occurrence!F$3-H806)^2</f>
        <v>0.72249999999999992</v>
      </c>
      <c r="S806" s="1">
        <f>(Occurrence!G$3-I806)^2</f>
        <v>0.33639999999999998</v>
      </c>
      <c r="T806" s="1">
        <f>(Occurrence!H$3-J806)^2</f>
        <v>4.0000000000000072E-4</v>
      </c>
      <c r="U806" s="1">
        <f>(Occurrence!I$3-K806)^2</f>
        <v>4.0000000000000072E-4</v>
      </c>
      <c r="V806" s="1">
        <f>(Occurrence!J$3-L806)^2</f>
        <v>1</v>
      </c>
      <c r="W806" s="1">
        <f>(Occurrence!K$3-M806)^2</f>
        <v>1.6900000000000002E-2</v>
      </c>
      <c r="X806" s="1">
        <f t="shared" si="145"/>
        <v>3.3264999999999998</v>
      </c>
      <c r="Z806" s="1">
        <f t="shared" si="146"/>
        <v>0</v>
      </c>
      <c r="AA806" s="1">
        <f t="shared" si="147"/>
        <v>0</v>
      </c>
      <c r="AB806" s="1">
        <f t="shared" si="148"/>
        <v>0</v>
      </c>
      <c r="AC806" s="1">
        <f t="shared" si="149"/>
        <v>0</v>
      </c>
      <c r="AD806" s="1">
        <f t="shared" si="150"/>
        <v>1</v>
      </c>
      <c r="AE806" s="1">
        <f t="shared" si="151"/>
        <v>1</v>
      </c>
      <c r="AF806" s="1">
        <f t="shared" si="152"/>
        <v>1</v>
      </c>
      <c r="AG806" s="1">
        <f t="shared" si="153"/>
        <v>1</v>
      </c>
      <c r="AH806" s="1">
        <f t="shared" si="154"/>
        <v>1</v>
      </c>
      <c r="AI806" s="1">
        <f t="shared" si="155"/>
        <v>1</v>
      </c>
      <c r="AJ806" s="1">
        <f>SUMXMY2(Z806:AI806, Occurrence!B$3:K$3)</f>
        <v>5</v>
      </c>
      <c r="AK806" s="1">
        <f t="shared" si="156"/>
        <v>5</v>
      </c>
    </row>
    <row r="807" spans="1:37">
      <c r="A807" s="1">
        <v>806</v>
      </c>
      <c r="B807" s="1">
        <v>4252805</v>
      </c>
      <c r="C807" s="6" t="s">
        <v>50</v>
      </c>
      <c r="D807" s="1">
        <v>0.25</v>
      </c>
      <c r="E807" s="1">
        <v>0.05</v>
      </c>
      <c r="F807" s="1">
        <v>0.75</v>
      </c>
      <c r="G807" s="1">
        <v>0.95</v>
      </c>
      <c r="H807" s="1">
        <v>0.5</v>
      </c>
      <c r="I807" s="1">
        <v>0.2</v>
      </c>
      <c r="J807" s="1">
        <v>1</v>
      </c>
      <c r="K807" s="1">
        <v>1</v>
      </c>
      <c r="L807" s="1">
        <v>0.9</v>
      </c>
      <c r="M807" s="1">
        <v>0.75</v>
      </c>
      <c r="N807" s="1">
        <f>(Occurrence!B$3-D807)^2</f>
        <v>6.25E-2</v>
      </c>
      <c r="O807" s="1">
        <f>(Occurrence!C$3-E807)^2</f>
        <v>2.5000000000000005E-3</v>
      </c>
      <c r="P807" s="1">
        <f>(Occurrence!D$3-F807)^2</f>
        <v>6.25E-2</v>
      </c>
      <c r="Q807" s="1">
        <f>(Occurrence!E$3-G807)^2</f>
        <v>2.5000000000000044E-3</v>
      </c>
      <c r="R807" s="1">
        <f>(Occurrence!F$3-H807)^2</f>
        <v>0.25</v>
      </c>
      <c r="S807" s="1">
        <f>(Occurrence!G$3-I807)^2</f>
        <v>4.0000000000000008E-2</v>
      </c>
      <c r="T807" s="1">
        <f>(Occurrence!H$3-J807)^2</f>
        <v>0</v>
      </c>
      <c r="U807" s="1">
        <f>(Occurrence!I$3-K807)^2</f>
        <v>0</v>
      </c>
      <c r="V807" s="1">
        <f>(Occurrence!J$3-L807)^2</f>
        <v>0.81</v>
      </c>
      <c r="W807" s="1">
        <f>(Occurrence!K$3-M807)^2</f>
        <v>6.25E-2</v>
      </c>
      <c r="X807" s="1">
        <f t="shared" si="145"/>
        <v>1.2925</v>
      </c>
      <c r="Z807" s="1">
        <f t="shared" si="146"/>
        <v>0</v>
      </c>
      <c r="AA807" s="1">
        <f t="shared" si="147"/>
        <v>0</v>
      </c>
      <c r="AB807" s="1">
        <f t="shared" si="148"/>
        <v>1</v>
      </c>
      <c r="AC807" s="1">
        <f t="shared" si="149"/>
        <v>1</v>
      </c>
      <c r="AD807" s="1">
        <f t="shared" si="150"/>
        <v>1</v>
      </c>
      <c r="AE807" s="1">
        <f t="shared" si="151"/>
        <v>0</v>
      </c>
      <c r="AF807" s="1">
        <f t="shared" si="152"/>
        <v>1</v>
      </c>
      <c r="AG807" s="1">
        <f t="shared" si="153"/>
        <v>1</v>
      </c>
      <c r="AH807" s="1">
        <f t="shared" si="154"/>
        <v>1</v>
      </c>
      <c r="AI807" s="1">
        <f t="shared" si="155"/>
        <v>1</v>
      </c>
      <c r="AJ807" s="1">
        <f>SUMXMY2(Z807:AI807, Occurrence!B$3:K$3)</f>
        <v>2</v>
      </c>
      <c r="AK807" s="1">
        <f t="shared" si="156"/>
        <v>8</v>
      </c>
    </row>
    <row r="808" spans="1:37">
      <c r="A808" s="1">
        <v>807</v>
      </c>
      <c r="B808" s="1">
        <v>4252806</v>
      </c>
      <c r="C808" s="6" t="s">
        <v>50</v>
      </c>
      <c r="D808" s="1">
        <v>0.2</v>
      </c>
      <c r="E808" s="1">
        <v>0.4</v>
      </c>
      <c r="F808" s="1">
        <v>0.3</v>
      </c>
      <c r="G808" s="1">
        <v>0.6</v>
      </c>
      <c r="H808" s="1">
        <v>0.5</v>
      </c>
      <c r="I808" s="1">
        <v>1E-3</v>
      </c>
      <c r="J808" s="1">
        <v>2E-3</v>
      </c>
      <c r="K808" s="1">
        <v>1</v>
      </c>
      <c r="L808" s="1">
        <v>0.4</v>
      </c>
      <c r="M808" s="1">
        <v>1</v>
      </c>
      <c r="N808" s="1">
        <f>(Occurrence!B$3-D808)^2</f>
        <v>4.0000000000000008E-2</v>
      </c>
      <c r="O808" s="1">
        <f>(Occurrence!C$3-E808)^2</f>
        <v>0.16000000000000003</v>
      </c>
      <c r="P808" s="1">
        <f>(Occurrence!D$3-F808)^2</f>
        <v>0.48999999999999994</v>
      </c>
      <c r="Q808" s="1">
        <f>(Occurrence!E$3-G808)^2</f>
        <v>0.16000000000000003</v>
      </c>
      <c r="R808" s="1">
        <f>(Occurrence!F$3-H808)^2</f>
        <v>0.25</v>
      </c>
      <c r="S808" s="1">
        <f>(Occurrence!G$3-I808)^2</f>
        <v>9.9999999999999995E-7</v>
      </c>
      <c r="T808" s="1">
        <f>(Occurrence!H$3-J808)^2</f>
        <v>0.996004</v>
      </c>
      <c r="U808" s="1">
        <f>(Occurrence!I$3-K808)^2</f>
        <v>0</v>
      </c>
      <c r="V808" s="1">
        <f>(Occurrence!J$3-L808)^2</f>
        <v>0.16000000000000003</v>
      </c>
      <c r="W808" s="1">
        <f>(Occurrence!K$3-M808)^2</f>
        <v>0</v>
      </c>
      <c r="X808" s="1">
        <f t="shared" si="145"/>
        <v>2.256005</v>
      </c>
      <c r="Z808" s="1">
        <f t="shared" si="146"/>
        <v>0</v>
      </c>
      <c r="AA808" s="1">
        <f t="shared" si="147"/>
        <v>0</v>
      </c>
      <c r="AB808" s="1">
        <f t="shared" si="148"/>
        <v>0</v>
      </c>
      <c r="AC808" s="1">
        <f t="shared" si="149"/>
        <v>1</v>
      </c>
      <c r="AD808" s="1">
        <f t="shared" si="150"/>
        <v>1</v>
      </c>
      <c r="AE808" s="1">
        <f t="shared" si="151"/>
        <v>0</v>
      </c>
      <c r="AF808" s="1">
        <f t="shared" si="152"/>
        <v>0</v>
      </c>
      <c r="AG808" s="1">
        <f t="shared" si="153"/>
        <v>1</v>
      </c>
      <c r="AH808" s="1">
        <f t="shared" si="154"/>
        <v>0</v>
      </c>
      <c r="AI808" s="1">
        <f t="shared" si="155"/>
        <v>1</v>
      </c>
      <c r="AJ808" s="1">
        <f>SUMXMY2(Z808:AI808, Occurrence!B$3:K$3)</f>
        <v>3</v>
      </c>
      <c r="AK808" s="1">
        <f t="shared" si="156"/>
        <v>7</v>
      </c>
    </row>
    <row r="809" spans="1:37">
      <c r="A809" s="1">
        <v>808</v>
      </c>
      <c r="B809" s="1">
        <v>4252807</v>
      </c>
      <c r="C809" s="6" t="s">
        <v>50</v>
      </c>
      <c r="D809" s="1">
        <v>0.01</v>
      </c>
      <c r="E809" s="1">
        <v>0.01</v>
      </c>
      <c r="F809" s="1">
        <v>0.33</v>
      </c>
      <c r="G809" s="1">
        <v>0.56000000000000005</v>
      </c>
      <c r="H809" s="1">
        <v>0.73</v>
      </c>
      <c r="I809" s="1">
        <v>0.75</v>
      </c>
      <c r="J809" s="1">
        <v>1</v>
      </c>
      <c r="K809" s="1">
        <v>0.8</v>
      </c>
      <c r="L809" s="1">
        <v>0.11</v>
      </c>
      <c r="M809" s="1">
        <v>0.42</v>
      </c>
      <c r="N809" s="1">
        <f>(Occurrence!B$3-D809)^2</f>
        <v>1E-4</v>
      </c>
      <c r="O809" s="1">
        <f>(Occurrence!C$3-E809)^2</f>
        <v>1E-4</v>
      </c>
      <c r="P809" s="1">
        <f>(Occurrence!D$3-F809)^2</f>
        <v>0.44889999999999991</v>
      </c>
      <c r="Q809" s="1">
        <f>(Occurrence!E$3-G809)^2</f>
        <v>0.19359999999999997</v>
      </c>
      <c r="R809" s="1">
        <f>(Occurrence!F$3-H809)^2</f>
        <v>0.53289999999999993</v>
      </c>
      <c r="S809" s="1">
        <f>(Occurrence!G$3-I809)^2</f>
        <v>0.5625</v>
      </c>
      <c r="T809" s="1">
        <f>(Occurrence!H$3-J809)^2</f>
        <v>0</v>
      </c>
      <c r="U809" s="1">
        <f>(Occurrence!I$3-K809)^2</f>
        <v>3.999999999999998E-2</v>
      </c>
      <c r="V809" s="1">
        <f>(Occurrence!J$3-L809)^2</f>
        <v>1.21E-2</v>
      </c>
      <c r="W809" s="1">
        <f>(Occurrence!K$3-M809)^2</f>
        <v>0.33640000000000009</v>
      </c>
      <c r="X809" s="1">
        <f t="shared" si="145"/>
        <v>2.1265999999999998</v>
      </c>
      <c r="Z809" s="1">
        <f t="shared" si="146"/>
        <v>0</v>
      </c>
      <c r="AA809" s="1">
        <f t="shared" si="147"/>
        <v>0</v>
      </c>
      <c r="AB809" s="1">
        <f t="shared" si="148"/>
        <v>0</v>
      </c>
      <c r="AC809" s="1">
        <f t="shared" si="149"/>
        <v>1</v>
      </c>
      <c r="AD809" s="1">
        <f t="shared" si="150"/>
        <v>1</v>
      </c>
      <c r="AE809" s="1">
        <f t="shared" si="151"/>
        <v>1</v>
      </c>
      <c r="AF809" s="1">
        <f t="shared" si="152"/>
        <v>1</v>
      </c>
      <c r="AG809" s="1">
        <f t="shared" si="153"/>
        <v>1</v>
      </c>
      <c r="AH809" s="1">
        <f t="shared" si="154"/>
        <v>0</v>
      </c>
      <c r="AI809" s="1">
        <f t="shared" si="155"/>
        <v>0</v>
      </c>
      <c r="AJ809" s="1">
        <f>SUMXMY2(Z809:AI809, Occurrence!B$3:K$3)</f>
        <v>4</v>
      </c>
      <c r="AK809" s="1">
        <f t="shared" si="156"/>
        <v>6</v>
      </c>
    </row>
    <row r="810" spans="1:37">
      <c r="A810" s="1">
        <v>809</v>
      </c>
      <c r="B810" s="1">
        <v>4252808</v>
      </c>
      <c r="C810" s="6" t="s">
        <v>50</v>
      </c>
      <c r="D810" s="1">
        <v>0.25</v>
      </c>
      <c r="E810" s="1">
        <v>0.05</v>
      </c>
      <c r="F810" s="1">
        <v>0.75</v>
      </c>
      <c r="G810" s="1">
        <v>0.95</v>
      </c>
      <c r="H810" s="1">
        <v>0.5</v>
      </c>
      <c r="I810" s="1">
        <v>0.15</v>
      </c>
      <c r="J810" s="1">
        <v>1</v>
      </c>
      <c r="K810" s="1">
        <v>1</v>
      </c>
      <c r="L810" s="1">
        <v>0.25</v>
      </c>
      <c r="M810" s="1">
        <v>0.3</v>
      </c>
      <c r="N810" s="1">
        <f>(Occurrence!B$3-D810)^2</f>
        <v>6.25E-2</v>
      </c>
      <c r="O810" s="1">
        <f>(Occurrence!C$3-E810)^2</f>
        <v>2.5000000000000005E-3</v>
      </c>
      <c r="P810" s="1">
        <f>(Occurrence!D$3-F810)^2</f>
        <v>6.25E-2</v>
      </c>
      <c r="Q810" s="1">
        <f>(Occurrence!E$3-G810)^2</f>
        <v>2.5000000000000044E-3</v>
      </c>
      <c r="R810" s="1">
        <f>(Occurrence!F$3-H810)^2</f>
        <v>0.25</v>
      </c>
      <c r="S810" s="1">
        <f>(Occurrence!G$3-I810)^2</f>
        <v>2.2499999999999999E-2</v>
      </c>
      <c r="T810" s="1">
        <f>(Occurrence!H$3-J810)^2</f>
        <v>0</v>
      </c>
      <c r="U810" s="1">
        <f>(Occurrence!I$3-K810)^2</f>
        <v>0</v>
      </c>
      <c r="V810" s="1">
        <f>(Occurrence!J$3-L810)^2</f>
        <v>6.25E-2</v>
      </c>
      <c r="W810" s="1">
        <f>(Occurrence!K$3-M810)^2</f>
        <v>0.48999999999999994</v>
      </c>
      <c r="X810" s="1">
        <f t="shared" si="145"/>
        <v>0.95499999999999996</v>
      </c>
      <c r="Z810" s="1">
        <f t="shared" si="146"/>
        <v>0</v>
      </c>
      <c r="AA810" s="1">
        <f t="shared" si="147"/>
        <v>0</v>
      </c>
      <c r="AB810" s="1">
        <f t="shared" si="148"/>
        <v>1</v>
      </c>
      <c r="AC810" s="1">
        <f t="shared" si="149"/>
        <v>1</v>
      </c>
      <c r="AD810" s="1">
        <f t="shared" si="150"/>
        <v>1</v>
      </c>
      <c r="AE810" s="1">
        <f t="shared" si="151"/>
        <v>0</v>
      </c>
      <c r="AF810" s="1">
        <f t="shared" si="152"/>
        <v>1</v>
      </c>
      <c r="AG810" s="1">
        <f t="shared" si="153"/>
        <v>1</v>
      </c>
      <c r="AH810" s="1">
        <f t="shared" si="154"/>
        <v>0</v>
      </c>
      <c r="AI810" s="1">
        <f t="shared" si="155"/>
        <v>0</v>
      </c>
      <c r="AJ810" s="1">
        <f>SUMXMY2(Z810:AI810, Occurrence!B$3:K$3)</f>
        <v>2</v>
      </c>
      <c r="AK810" s="1">
        <f t="shared" si="156"/>
        <v>8</v>
      </c>
    </row>
    <row r="811" spans="1:37">
      <c r="A811" s="1">
        <v>810</v>
      </c>
      <c r="B811" s="1">
        <v>4252809</v>
      </c>
      <c r="C811" s="6" t="s">
        <v>50</v>
      </c>
      <c r="D811" s="1">
        <v>0.3</v>
      </c>
      <c r="E811" s="1">
        <v>0.6</v>
      </c>
      <c r="F811" s="1">
        <v>0.3</v>
      </c>
      <c r="G811" s="1">
        <v>0.4</v>
      </c>
      <c r="H811" s="1">
        <v>0.4</v>
      </c>
      <c r="I811" s="1">
        <v>0.01</v>
      </c>
      <c r="J811" s="1">
        <v>0.1</v>
      </c>
      <c r="K811" s="1">
        <v>0.5</v>
      </c>
      <c r="L811" s="1">
        <v>0.5</v>
      </c>
      <c r="M811" s="1">
        <v>0.7</v>
      </c>
      <c r="N811" s="1">
        <f>(Occurrence!B$3-D811)^2</f>
        <v>0.09</v>
      </c>
      <c r="O811" s="1">
        <f>(Occurrence!C$3-E811)^2</f>
        <v>0.36</v>
      </c>
      <c r="P811" s="1">
        <f>(Occurrence!D$3-F811)^2</f>
        <v>0.48999999999999994</v>
      </c>
      <c r="Q811" s="1">
        <f>(Occurrence!E$3-G811)^2</f>
        <v>0.36</v>
      </c>
      <c r="R811" s="1">
        <f>(Occurrence!F$3-H811)^2</f>
        <v>0.16000000000000003</v>
      </c>
      <c r="S811" s="1">
        <f>(Occurrence!G$3-I811)^2</f>
        <v>1E-4</v>
      </c>
      <c r="T811" s="1">
        <f>(Occurrence!H$3-J811)^2</f>
        <v>0.81</v>
      </c>
      <c r="U811" s="1">
        <f>(Occurrence!I$3-K811)^2</f>
        <v>0.25</v>
      </c>
      <c r="V811" s="1">
        <f>(Occurrence!J$3-L811)^2</f>
        <v>0.25</v>
      </c>
      <c r="W811" s="1">
        <f>(Occurrence!K$3-M811)^2</f>
        <v>9.0000000000000024E-2</v>
      </c>
      <c r="X811" s="1">
        <f t="shared" si="145"/>
        <v>2.8601000000000001</v>
      </c>
      <c r="Z811" s="1">
        <f t="shared" si="146"/>
        <v>0</v>
      </c>
      <c r="AA811" s="1">
        <f t="shared" si="147"/>
        <v>1</v>
      </c>
      <c r="AB811" s="1">
        <f t="shared" si="148"/>
        <v>0</v>
      </c>
      <c r="AC811" s="1">
        <f t="shared" si="149"/>
        <v>0</v>
      </c>
      <c r="AD811" s="1">
        <f t="shared" si="150"/>
        <v>0</v>
      </c>
      <c r="AE811" s="1">
        <f t="shared" si="151"/>
        <v>0</v>
      </c>
      <c r="AF811" s="1">
        <f t="shared" si="152"/>
        <v>0</v>
      </c>
      <c r="AG811" s="1">
        <f t="shared" si="153"/>
        <v>1</v>
      </c>
      <c r="AH811" s="1">
        <f t="shared" si="154"/>
        <v>1</v>
      </c>
      <c r="AI811" s="1">
        <f t="shared" si="155"/>
        <v>1</v>
      </c>
      <c r="AJ811" s="1">
        <f>SUMXMY2(Z811:AI811, Occurrence!B$3:K$3)</f>
        <v>5</v>
      </c>
      <c r="AK811" s="1">
        <f t="shared" si="156"/>
        <v>5</v>
      </c>
    </row>
    <row r="812" spans="1:37">
      <c r="A812" s="1">
        <v>811</v>
      </c>
      <c r="B812" s="1">
        <v>4252810</v>
      </c>
      <c r="C812" s="6" t="s">
        <v>50</v>
      </c>
      <c r="D812" s="1">
        <v>0.1</v>
      </c>
      <c r="E812" s="1">
        <v>0.2</v>
      </c>
      <c r="F812" s="1">
        <v>0.25</v>
      </c>
      <c r="G812" s="1">
        <v>0.45</v>
      </c>
      <c r="H812" s="1">
        <v>0.85</v>
      </c>
      <c r="I812" s="1">
        <v>0.15</v>
      </c>
      <c r="J812" s="1">
        <v>0.95</v>
      </c>
      <c r="K812" s="1">
        <v>0.9</v>
      </c>
      <c r="L812" s="1">
        <v>0.35</v>
      </c>
      <c r="M812" s="1">
        <v>0.75</v>
      </c>
      <c r="N812" s="1">
        <f>(Occurrence!B$3-D812)^2</f>
        <v>1.0000000000000002E-2</v>
      </c>
      <c r="O812" s="1">
        <f>(Occurrence!C$3-E812)^2</f>
        <v>4.0000000000000008E-2</v>
      </c>
      <c r="P812" s="1">
        <f>(Occurrence!D$3-F812)^2</f>
        <v>0.5625</v>
      </c>
      <c r="Q812" s="1">
        <f>(Occurrence!E$3-G812)^2</f>
        <v>0.30250000000000005</v>
      </c>
      <c r="R812" s="1">
        <f>(Occurrence!F$3-H812)^2</f>
        <v>0.72249999999999992</v>
      </c>
      <c r="S812" s="1">
        <f>(Occurrence!G$3-I812)^2</f>
        <v>2.2499999999999999E-2</v>
      </c>
      <c r="T812" s="1">
        <f>(Occurrence!H$3-J812)^2</f>
        <v>2.5000000000000044E-3</v>
      </c>
      <c r="U812" s="1">
        <f>(Occurrence!I$3-K812)^2</f>
        <v>9.999999999999995E-3</v>
      </c>
      <c r="V812" s="1">
        <f>(Occurrence!J$3-L812)^2</f>
        <v>0.12249999999999998</v>
      </c>
      <c r="W812" s="1">
        <f>(Occurrence!K$3-M812)^2</f>
        <v>6.25E-2</v>
      </c>
      <c r="X812" s="1">
        <f t="shared" si="145"/>
        <v>1.8574999999999999</v>
      </c>
      <c r="Z812" s="1">
        <f t="shared" si="146"/>
        <v>0</v>
      </c>
      <c r="AA812" s="1">
        <f t="shared" si="147"/>
        <v>0</v>
      </c>
      <c r="AB812" s="1">
        <f t="shared" si="148"/>
        <v>0</v>
      </c>
      <c r="AC812" s="1">
        <f t="shared" si="149"/>
        <v>0</v>
      </c>
      <c r="AD812" s="1">
        <f t="shared" si="150"/>
        <v>1</v>
      </c>
      <c r="AE812" s="1">
        <f t="shared" si="151"/>
        <v>0</v>
      </c>
      <c r="AF812" s="1">
        <f t="shared" si="152"/>
        <v>1</v>
      </c>
      <c r="AG812" s="1">
        <f t="shared" si="153"/>
        <v>1</v>
      </c>
      <c r="AH812" s="1">
        <f t="shared" si="154"/>
        <v>0</v>
      </c>
      <c r="AI812" s="1">
        <f t="shared" si="155"/>
        <v>1</v>
      </c>
      <c r="AJ812" s="1">
        <f>SUMXMY2(Z812:AI812, Occurrence!B$3:K$3)</f>
        <v>3</v>
      </c>
      <c r="AK812" s="1">
        <f t="shared" si="156"/>
        <v>7</v>
      </c>
    </row>
    <row r="813" spans="1:37">
      <c r="A813" s="1">
        <v>812</v>
      </c>
      <c r="B813" s="1">
        <v>4252811</v>
      </c>
      <c r="C813" s="6" t="s">
        <v>50</v>
      </c>
      <c r="D813" s="1">
        <v>0.03</v>
      </c>
      <c r="E813" s="1">
        <v>0.01</v>
      </c>
      <c r="F813" s="1">
        <v>0.5</v>
      </c>
      <c r="G813" s="1">
        <v>0.6</v>
      </c>
      <c r="H813" s="1">
        <v>0.8</v>
      </c>
      <c r="I813" s="1">
        <v>0.6</v>
      </c>
      <c r="J813" s="1">
        <v>0.99</v>
      </c>
      <c r="K813" s="1">
        <v>0.65</v>
      </c>
      <c r="L813" s="1">
        <v>0.8</v>
      </c>
      <c r="M813" s="1">
        <v>0.67</v>
      </c>
      <c r="N813" s="1">
        <f>(Occurrence!B$3-D813)^2</f>
        <v>8.9999999999999998E-4</v>
      </c>
      <c r="O813" s="1">
        <f>(Occurrence!C$3-E813)^2</f>
        <v>1E-4</v>
      </c>
      <c r="P813" s="1">
        <f>(Occurrence!D$3-F813)^2</f>
        <v>0.25</v>
      </c>
      <c r="Q813" s="1">
        <f>(Occurrence!E$3-G813)^2</f>
        <v>0.16000000000000003</v>
      </c>
      <c r="R813" s="1">
        <f>(Occurrence!F$3-H813)^2</f>
        <v>0.64000000000000012</v>
      </c>
      <c r="S813" s="1">
        <f>(Occurrence!G$3-I813)^2</f>
        <v>0.36</v>
      </c>
      <c r="T813" s="1">
        <f>(Occurrence!H$3-J813)^2</f>
        <v>1.0000000000000018E-4</v>
      </c>
      <c r="U813" s="1">
        <f>(Occurrence!I$3-K813)^2</f>
        <v>0.12249999999999998</v>
      </c>
      <c r="V813" s="1">
        <f>(Occurrence!J$3-L813)^2</f>
        <v>0.64000000000000012</v>
      </c>
      <c r="W813" s="1">
        <f>(Occurrence!K$3-M813)^2</f>
        <v>0.10889999999999997</v>
      </c>
      <c r="X813" s="1">
        <f t="shared" si="145"/>
        <v>2.2825000000000002</v>
      </c>
      <c r="Z813" s="1">
        <f t="shared" si="146"/>
        <v>0</v>
      </c>
      <c r="AA813" s="1">
        <f t="shared" si="147"/>
        <v>0</v>
      </c>
      <c r="AB813" s="1">
        <f t="shared" si="148"/>
        <v>1</v>
      </c>
      <c r="AC813" s="1">
        <f t="shared" si="149"/>
        <v>1</v>
      </c>
      <c r="AD813" s="1">
        <f t="shared" si="150"/>
        <v>1</v>
      </c>
      <c r="AE813" s="1">
        <f t="shared" si="151"/>
        <v>1</v>
      </c>
      <c r="AF813" s="1">
        <f t="shared" si="152"/>
        <v>1</v>
      </c>
      <c r="AG813" s="1">
        <f t="shared" si="153"/>
        <v>1</v>
      </c>
      <c r="AH813" s="1">
        <f t="shared" si="154"/>
        <v>1</v>
      </c>
      <c r="AI813" s="1">
        <f t="shared" si="155"/>
        <v>1</v>
      </c>
      <c r="AJ813" s="1">
        <f>SUMXMY2(Z813:AI813, Occurrence!B$3:K$3)</f>
        <v>3</v>
      </c>
      <c r="AK813" s="1">
        <f t="shared" si="156"/>
        <v>7</v>
      </c>
    </row>
    <row r="814" spans="1:37">
      <c r="A814" s="1">
        <v>813</v>
      </c>
      <c r="B814" s="1">
        <v>4252812</v>
      </c>
      <c r="C814" s="6" t="s">
        <v>50</v>
      </c>
      <c r="D814" s="1">
        <v>0</v>
      </c>
      <c r="E814" s="1">
        <v>0.2</v>
      </c>
      <c r="F814" s="1">
        <v>0.2</v>
      </c>
      <c r="G814" s="1">
        <v>0.25</v>
      </c>
      <c r="H814" s="1">
        <v>0.35</v>
      </c>
      <c r="I814" s="1">
        <v>0.5</v>
      </c>
      <c r="J814" s="1">
        <v>1</v>
      </c>
      <c r="K814" s="1">
        <v>0.1</v>
      </c>
      <c r="L814" s="1">
        <v>0.5</v>
      </c>
      <c r="M814" s="1">
        <v>0.4</v>
      </c>
      <c r="N814" s="1">
        <f>(Occurrence!B$3-D814)^2</f>
        <v>0</v>
      </c>
      <c r="O814" s="1">
        <f>(Occurrence!C$3-E814)^2</f>
        <v>4.0000000000000008E-2</v>
      </c>
      <c r="P814" s="1">
        <f>(Occurrence!D$3-F814)^2</f>
        <v>0.64000000000000012</v>
      </c>
      <c r="Q814" s="1">
        <f>(Occurrence!E$3-G814)^2</f>
        <v>0.5625</v>
      </c>
      <c r="R814" s="1">
        <f>(Occurrence!F$3-H814)^2</f>
        <v>0.12249999999999998</v>
      </c>
      <c r="S814" s="1">
        <f>(Occurrence!G$3-I814)^2</f>
        <v>0.25</v>
      </c>
      <c r="T814" s="1">
        <f>(Occurrence!H$3-J814)^2</f>
        <v>0</v>
      </c>
      <c r="U814" s="1">
        <f>(Occurrence!I$3-K814)^2</f>
        <v>0.81</v>
      </c>
      <c r="V814" s="1">
        <f>(Occurrence!J$3-L814)^2</f>
        <v>0.25</v>
      </c>
      <c r="W814" s="1">
        <f>(Occurrence!K$3-M814)^2</f>
        <v>0.36</v>
      </c>
      <c r="X814" s="1">
        <f t="shared" si="145"/>
        <v>3.0350000000000001</v>
      </c>
      <c r="Z814" s="1">
        <f t="shared" si="146"/>
        <v>0</v>
      </c>
      <c r="AA814" s="1">
        <f t="shared" si="147"/>
        <v>0</v>
      </c>
      <c r="AB814" s="1">
        <f t="shared" si="148"/>
        <v>0</v>
      </c>
      <c r="AC814" s="1">
        <f t="shared" si="149"/>
        <v>0</v>
      </c>
      <c r="AD814" s="1">
        <f t="shared" si="150"/>
        <v>0</v>
      </c>
      <c r="AE814" s="1">
        <f t="shared" si="151"/>
        <v>1</v>
      </c>
      <c r="AF814" s="1">
        <f t="shared" si="152"/>
        <v>1</v>
      </c>
      <c r="AG814" s="1">
        <f t="shared" si="153"/>
        <v>0</v>
      </c>
      <c r="AH814" s="1">
        <f t="shared" si="154"/>
        <v>1</v>
      </c>
      <c r="AI814" s="1">
        <f t="shared" si="155"/>
        <v>0</v>
      </c>
      <c r="AJ814" s="1">
        <f>SUMXMY2(Z814:AI814, Occurrence!B$3:K$3)</f>
        <v>6</v>
      </c>
      <c r="AK814" s="1">
        <f t="shared" si="156"/>
        <v>4</v>
      </c>
    </row>
    <row r="815" spans="1:37">
      <c r="A815" s="1">
        <v>814</v>
      </c>
      <c r="B815" s="1">
        <v>4252813</v>
      </c>
      <c r="C815" s="6" t="s">
        <v>50</v>
      </c>
      <c r="D815" s="1">
        <v>0</v>
      </c>
      <c r="E815" s="1">
        <v>0</v>
      </c>
      <c r="F815" s="1">
        <v>0.38</v>
      </c>
      <c r="G815" s="1">
        <v>0.56000000000000005</v>
      </c>
      <c r="H815" s="1">
        <v>0.85</v>
      </c>
      <c r="I815" s="1">
        <v>0.8</v>
      </c>
      <c r="J815" s="1">
        <v>1</v>
      </c>
      <c r="K815" s="1">
        <v>0.3</v>
      </c>
      <c r="L815" s="1">
        <v>0.8</v>
      </c>
      <c r="M815" s="1">
        <v>0.42</v>
      </c>
      <c r="N815" s="1">
        <f>(Occurrence!B$3-D815)^2</f>
        <v>0</v>
      </c>
      <c r="O815" s="1">
        <f>(Occurrence!C$3-E815)^2</f>
        <v>0</v>
      </c>
      <c r="P815" s="1">
        <f>(Occurrence!D$3-F815)^2</f>
        <v>0.38440000000000002</v>
      </c>
      <c r="Q815" s="1">
        <f>(Occurrence!E$3-G815)^2</f>
        <v>0.19359999999999997</v>
      </c>
      <c r="R815" s="1">
        <f>(Occurrence!F$3-H815)^2</f>
        <v>0.72249999999999992</v>
      </c>
      <c r="S815" s="1">
        <f>(Occurrence!G$3-I815)^2</f>
        <v>0.64000000000000012</v>
      </c>
      <c r="T815" s="1">
        <f>(Occurrence!H$3-J815)^2</f>
        <v>0</v>
      </c>
      <c r="U815" s="1">
        <f>(Occurrence!I$3-K815)^2</f>
        <v>0.48999999999999994</v>
      </c>
      <c r="V815" s="1">
        <f>(Occurrence!J$3-L815)^2</f>
        <v>0.64000000000000012</v>
      </c>
      <c r="W815" s="1">
        <f>(Occurrence!K$3-M815)^2</f>
        <v>0.33640000000000009</v>
      </c>
      <c r="X815" s="1">
        <f t="shared" si="145"/>
        <v>3.4069000000000003</v>
      </c>
      <c r="Z815" s="1">
        <f t="shared" si="146"/>
        <v>0</v>
      </c>
      <c r="AA815" s="1">
        <f t="shared" si="147"/>
        <v>0</v>
      </c>
      <c r="AB815" s="1">
        <f t="shared" si="148"/>
        <v>0</v>
      </c>
      <c r="AC815" s="1">
        <f t="shared" si="149"/>
        <v>1</v>
      </c>
      <c r="AD815" s="1">
        <f t="shared" si="150"/>
        <v>1</v>
      </c>
      <c r="AE815" s="1">
        <f t="shared" si="151"/>
        <v>1</v>
      </c>
      <c r="AF815" s="1">
        <f t="shared" si="152"/>
        <v>1</v>
      </c>
      <c r="AG815" s="1">
        <f t="shared" si="153"/>
        <v>0</v>
      </c>
      <c r="AH815" s="1">
        <f t="shared" si="154"/>
        <v>1</v>
      </c>
      <c r="AI815" s="1">
        <f t="shared" si="155"/>
        <v>0</v>
      </c>
      <c r="AJ815" s="1">
        <f>SUMXMY2(Z815:AI815, Occurrence!B$3:K$3)</f>
        <v>6</v>
      </c>
      <c r="AK815" s="1">
        <f t="shared" si="156"/>
        <v>4</v>
      </c>
    </row>
    <row r="816" spans="1:37">
      <c r="A816" s="1">
        <v>815</v>
      </c>
      <c r="B816" s="1">
        <v>4252814</v>
      </c>
      <c r="C816" s="6" t="s">
        <v>50</v>
      </c>
      <c r="D816" s="1">
        <v>0.2</v>
      </c>
      <c r="E816" s="1">
        <v>0.4</v>
      </c>
      <c r="F816" s="1">
        <v>0.1</v>
      </c>
      <c r="G816" s="1">
        <v>0.2</v>
      </c>
      <c r="H816" s="1">
        <v>0.7</v>
      </c>
      <c r="I816" s="1">
        <v>0.1</v>
      </c>
      <c r="J816" s="1">
        <v>1</v>
      </c>
      <c r="K816" s="1">
        <v>0.4</v>
      </c>
      <c r="L816" s="1">
        <v>0.8</v>
      </c>
      <c r="M816" s="1">
        <v>0.4</v>
      </c>
      <c r="N816" s="1">
        <f>(Occurrence!B$3-D816)^2</f>
        <v>4.0000000000000008E-2</v>
      </c>
      <c r="O816" s="1">
        <f>(Occurrence!C$3-E816)^2</f>
        <v>0.16000000000000003</v>
      </c>
      <c r="P816" s="1">
        <f>(Occurrence!D$3-F816)^2</f>
        <v>0.81</v>
      </c>
      <c r="Q816" s="1">
        <f>(Occurrence!E$3-G816)^2</f>
        <v>0.64000000000000012</v>
      </c>
      <c r="R816" s="1">
        <f>(Occurrence!F$3-H816)^2</f>
        <v>0.48999999999999994</v>
      </c>
      <c r="S816" s="1">
        <f>(Occurrence!G$3-I816)^2</f>
        <v>1.0000000000000002E-2</v>
      </c>
      <c r="T816" s="1">
        <f>(Occurrence!H$3-J816)^2</f>
        <v>0</v>
      </c>
      <c r="U816" s="1">
        <f>(Occurrence!I$3-K816)^2</f>
        <v>0.36</v>
      </c>
      <c r="V816" s="1">
        <f>(Occurrence!J$3-L816)^2</f>
        <v>0.64000000000000012</v>
      </c>
      <c r="W816" s="1">
        <f>(Occurrence!K$3-M816)^2</f>
        <v>0.36</v>
      </c>
      <c r="X816" s="1">
        <f t="shared" si="145"/>
        <v>3.51</v>
      </c>
      <c r="Z816" s="1">
        <f t="shared" si="146"/>
        <v>0</v>
      </c>
      <c r="AA816" s="1">
        <f t="shared" si="147"/>
        <v>0</v>
      </c>
      <c r="AB816" s="1">
        <f t="shared" si="148"/>
        <v>0</v>
      </c>
      <c r="AC816" s="1">
        <f t="shared" si="149"/>
        <v>0</v>
      </c>
      <c r="AD816" s="1">
        <f t="shared" si="150"/>
        <v>1</v>
      </c>
      <c r="AE816" s="1">
        <f t="shared" si="151"/>
        <v>0</v>
      </c>
      <c r="AF816" s="1">
        <f t="shared" si="152"/>
        <v>1</v>
      </c>
      <c r="AG816" s="1">
        <f t="shared" si="153"/>
        <v>0</v>
      </c>
      <c r="AH816" s="1">
        <f t="shared" si="154"/>
        <v>1</v>
      </c>
      <c r="AI816" s="1">
        <f t="shared" si="155"/>
        <v>0</v>
      </c>
      <c r="AJ816" s="1">
        <f>SUMXMY2(Z816:AI816, Occurrence!B$3:K$3)</f>
        <v>6</v>
      </c>
      <c r="AK816" s="1">
        <f t="shared" si="156"/>
        <v>4</v>
      </c>
    </row>
    <row r="817" spans="1:37">
      <c r="A817" s="1">
        <v>816</v>
      </c>
      <c r="B817" s="1">
        <v>4252815</v>
      </c>
      <c r="C817" s="6" t="s">
        <v>50</v>
      </c>
      <c r="D817" s="1">
        <v>0</v>
      </c>
      <c r="E817" s="1">
        <v>0.01</v>
      </c>
      <c r="F817" s="1">
        <v>0.4</v>
      </c>
      <c r="G817" s="1">
        <v>0.65</v>
      </c>
      <c r="H817" s="1">
        <v>0.95</v>
      </c>
      <c r="I817" s="1">
        <v>0.2</v>
      </c>
      <c r="J817" s="1">
        <v>0.3</v>
      </c>
      <c r="K817" s="1">
        <v>0.8</v>
      </c>
      <c r="L817" s="1">
        <v>0.4</v>
      </c>
      <c r="M817" s="1">
        <v>0.9</v>
      </c>
      <c r="N817" s="1">
        <f>(Occurrence!B$3-D817)^2</f>
        <v>0</v>
      </c>
      <c r="O817" s="1">
        <f>(Occurrence!C$3-E817)^2</f>
        <v>1E-4</v>
      </c>
      <c r="P817" s="1">
        <f>(Occurrence!D$3-F817)^2</f>
        <v>0.36</v>
      </c>
      <c r="Q817" s="1">
        <f>(Occurrence!E$3-G817)^2</f>
        <v>0.12249999999999998</v>
      </c>
      <c r="R817" s="1">
        <f>(Occurrence!F$3-H817)^2</f>
        <v>0.90249999999999997</v>
      </c>
      <c r="S817" s="1">
        <f>(Occurrence!G$3-I817)^2</f>
        <v>4.0000000000000008E-2</v>
      </c>
      <c r="T817" s="1">
        <f>(Occurrence!H$3-J817)^2</f>
        <v>0.48999999999999994</v>
      </c>
      <c r="U817" s="1">
        <f>(Occurrence!I$3-K817)^2</f>
        <v>3.999999999999998E-2</v>
      </c>
      <c r="V817" s="1">
        <f>(Occurrence!J$3-L817)^2</f>
        <v>0.16000000000000003</v>
      </c>
      <c r="W817" s="1">
        <f>(Occurrence!K$3-M817)^2</f>
        <v>9.999999999999995E-3</v>
      </c>
      <c r="X817" s="1">
        <f t="shared" si="145"/>
        <v>2.1250999999999998</v>
      </c>
      <c r="Z817" s="1">
        <f t="shared" si="146"/>
        <v>0</v>
      </c>
      <c r="AA817" s="1">
        <f t="shared" si="147"/>
        <v>0</v>
      </c>
      <c r="AB817" s="1">
        <f t="shared" si="148"/>
        <v>0</v>
      </c>
      <c r="AC817" s="1">
        <f t="shared" si="149"/>
        <v>1</v>
      </c>
      <c r="AD817" s="1">
        <f t="shared" si="150"/>
        <v>1</v>
      </c>
      <c r="AE817" s="1">
        <f t="shared" si="151"/>
        <v>0</v>
      </c>
      <c r="AF817" s="1">
        <f t="shared" si="152"/>
        <v>0</v>
      </c>
      <c r="AG817" s="1">
        <f t="shared" si="153"/>
        <v>1</v>
      </c>
      <c r="AH817" s="1">
        <f t="shared" si="154"/>
        <v>0</v>
      </c>
      <c r="AI817" s="1">
        <f t="shared" si="155"/>
        <v>1</v>
      </c>
      <c r="AJ817" s="1">
        <f>SUMXMY2(Z817:AI817, Occurrence!B$3:K$3)</f>
        <v>3</v>
      </c>
      <c r="AK817" s="1">
        <f t="shared" si="156"/>
        <v>7</v>
      </c>
    </row>
    <row r="818" spans="1:37">
      <c r="A818" s="1">
        <v>817</v>
      </c>
      <c r="B818" s="1">
        <v>4252816</v>
      </c>
      <c r="C818" s="6" t="s">
        <v>50</v>
      </c>
      <c r="D818" s="1">
        <v>0.03</v>
      </c>
      <c r="E818" s="1">
        <v>0.05</v>
      </c>
      <c r="F818" s="1">
        <v>0.6</v>
      </c>
      <c r="G818" s="1">
        <v>0.8</v>
      </c>
      <c r="H818" s="1">
        <v>0.4</v>
      </c>
      <c r="I818" s="1">
        <v>0.7</v>
      </c>
      <c r="J818" s="1">
        <v>0.9</v>
      </c>
      <c r="K818" s="1">
        <v>0.5</v>
      </c>
      <c r="L818" s="1">
        <v>0.8</v>
      </c>
      <c r="M818" s="1">
        <v>0.3</v>
      </c>
      <c r="N818" s="1">
        <f>(Occurrence!B$3-D818)^2</f>
        <v>8.9999999999999998E-4</v>
      </c>
      <c r="O818" s="1">
        <f>(Occurrence!C$3-E818)^2</f>
        <v>2.5000000000000005E-3</v>
      </c>
      <c r="P818" s="1">
        <f>(Occurrence!D$3-F818)^2</f>
        <v>0.16000000000000003</v>
      </c>
      <c r="Q818" s="1">
        <f>(Occurrence!E$3-G818)^2</f>
        <v>3.999999999999998E-2</v>
      </c>
      <c r="R818" s="1">
        <f>(Occurrence!F$3-H818)^2</f>
        <v>0.16000000000000003</v>
      </c>
      <c r="S818" s="1">
        <f>(Occurrence!G$3-I818)^2</f>
        <v>0.48999999999999994</v>
      </c>
      <c r="T818" s="1">
        <f>(Occurrence!H$3-J818)^2</f>
        <v>9.999999999999995E-3</v>
      </c>
      <c r="U818" s="1">
        <f>(Occurrence!I$3-K818)^2</f>
        <v>0.25</v>
      </c>
      <c r="V818" s="1">
        <f>(Occurrence!J$3-L818)^2</f>
        <v>0.64000000000000012</v>
      </c>
      <c r="W818" s="1">
        <f>(Occurrence!K$3-M818)^2</f>
        <v>0.48999999999999994</v>
      </c>
      <c r="X818" s="1">
        <f t="shared" si="145"/>
        <v>2.2433999999999998</v>
      </c>
      <c r="Z818" s="1">
        <f t="shared" si="146"/>
        <v>0</v>
      </c>
      <c r="AA818" s="1">
        <f t="shared" si="147"/>
        <v>0</v>
      </c>
      <c r="AB818" s="1">
        <f t="shared" si="148"/>
        <v>1</v>
      </c>
      <c r="AC818" s="1">
        <f t="shared" si="149"/>
        <v>1</v>
      </c>
      <c r="AD818" s="1">
        <f t="shared" si="150"/>
        <v>0</v>
      </c>
      <c r="AE818" s="1">
        <f t="shared" si="151"/>
        <v>1</v>
      </c>
      <c r="AF818" s="1">
        <f t="shared" si="152"/>
        <v>1</v>
      </c>
      <c r="AG818" s="1">
        <f t="shared" si="153"/>
        <v>1</v>
      </c>
      <c r="AH818" s="1">
        <f t="shared" si="154"/>
        <v>1</v>
      </c>
      <c r="AI818" s="1">
        <f t="shared" si="155"/>
        <v>0</v>
      </c>
      <c r="AJ818" s="1">
        <f>SUMXMY2(Z818:AI818, Occurrence!B$3:K$3)</f>
        <v>3</v>
      </c>
      <c r="AK818" s="1">
        <f t="shared" si="156"/>
        <v>7</v>
      </c>
    </row>
    <row r="819" spans="1:37">
      <c r="A819" s="1">
        <v>818</v>
      </c>
      <c r="B819" s="1">
        <v>4252817</v>
      </c>
      <c r="C819" s="6" t="s">
        <v>50</v>
      </c>
      <c r="D819" s="1">
        <v>0.03</v>
      </c>
      <c r="E819" s="1">
        <v>0.05</v>
      </c>
      <c r="F819" s="1">
        <v>0.6</v>
      </c>
      <c r="G819" s="1">
        <v>0.8</v>
      </c>
      <c r="H819" s="1">
        <v>0.3</v>
      </c>
      <c r="I819" s="1">
        <v>0.7</v>
      </c>
      <c r="J819" s="1">
        <v>0.9</v>
      </c>
      <c r="K819" s="1">
        <v>0.4</v>
      </c>
      <c r="L819" s="1">
        <v>0.7</v>
      </c>
      <c r="M819" s="1">
        <v>0.3</v>
      </c>
      <c r="N819" s="1">
        <f>(Occurrence!B$3-D819)^2</f>
        <v>8.9999999999999998E-4</v>
      </c>
      <c r="O819" s="1">
        <f>(Occurrence!C$3-E819)^2</f>
        <v>2.5000000000000005E-3</v>
      </c>
      <c r="P819" s="1">
        <f>(Occurrence!D$3-F819)^2</f>
        <v>0.16000000000000003</v>
      </c>
      <c r="Q819" s="1">
        <f>(Occurrence!E$3-G819)^2</f>
        <v>3.999999999999998E-2</v>
      </c>
      <c r="R819" s="1">
        <f>(Occurrence!F$3-H819)^2</f>
        <v>0.09</v>
      </c>
      <c r="S819" s="1">
        <f>(Occurrence!G$3-I819)^2</f>
        <v>0.48999999999999994</v>
      </c>
      <c r="T819" s="1">
        <f>(Occurrence!H$3-J819)^2</f>
        <v>9.999999999999995E-3</v>
      </c>
      <c r="U819" s="1">
        <f>(Occurrence!I$3-K819)^2</f>
        <v>0.36</v>
      </c>
      <c r="V819" s="1">
        <f>(Occurrence!J$3-L819)^2</f>
        <v>0.48999999999999994</v>
      </c>
      <c r="W819" s="1">
        <f>(Occurrence!K$3-M819)^2</f>
        <v>0.48999999999999994</v>
      </c>
      <c r="X819" s="1">
        <f t="shared" si="145"/>
        <v>2.1334</v>
      </c>
      <c r="Z819" s="1">
        <f t="shared" si="146"/>
        <v>0</v>
      </c>
      <c r="AA819" s="1">
        <f t="shared" si="147"/>
        <v>0</v>
      </c>
      <c r="AB819" s="1">
        <f t="shared" si="148"/>
        <v>1</v>
      </c>
      <c r="AC819" s="1">
        <f t="shared" si="149"/>
        <v>1</v>
      </c>
      <c r="AD819" s="1">
        <f t="shared" si="150"/>
        <v>0</v>
      </c>
      <c r="AE819" s="1">
        <f t="shared" si="151"/>
        <v>1</v>
      </c>
      <c r="AF819" s="1">
        <f t="shared" si="152"/>
        <v>1</v>
      </c>
      <c r="AG819" s="1">
        <f t="shared" si="153"/>
        <v>0</v>
      </c>
      <c r="AH819" s="1">
        <f t="shared" si="154"/>
        <v>1</v>
      </c>
      <c r="AI819" s="1">
        <f t="shared" si="155"/>
        <v>0</v>
      </c>
      <c r="AJ819" s="1">
        <f>SUMXMY2(Z819:AI819, Occurrence!B$3:K$3)</f>
        <v>4</v>
      </c>
      <c r="AK819" s="1">
        <f t="shared" si="156"/>
        <v>6</v>
      </c>
    </row>
    <row r="820" spans="1:37">
      <c r="A820" s="1">
        <v>819</v>
      </c>
      <c r="B820" s="1">
        <v>4252818</v>
      </c>
      <c r="C820" s="6" t="s">
        <v>50</v>
      </c>
      <c r="D820" s="1">
        <v>0</v>
      </c>
      <c r="E820" s="1">
        <v>0.5</v>
      </c>
      <c r="F820" s="1">
        <v>1</v>
      </c>
      <c r="G820" s="1">
        <v>1</v>
      </c>
      <c r="H820" s="1">
        <v>0.5</v>
      </c>
      <c r="I820" s="1">
        <v>0.89</v>
      </c>
      <c r="J820" s="1">
        <v>1</v>
      </c>
      <c r="K820" s="1">
        <v>0.6</v>
      </c>
      <c r="L820" s="1">
        <v>0.4</v>
      </c>
      <c r="M820" s="1">
        <v>0.8</v>
      </c>
      <c r="N820" s="1">
        <f>(Occurrence!B$3-D820)^2</f>
        <v>0</v>
      </c>
      <c r="O820" s="1">
        <f>(Occurrence!C$3-E820)^2</f>
        <v>0.25</v>
      </c>
      <c r="P820" s="1">
        <f>(Occurrence!D$3-F820)^2</f>
        <v>0</v>
      </c>
      <c r="Q820" s="1">
        <f>(Occurrence!E$3-G820)^2</f>
        <v>0</v>
      </c>
      <c r="R820" s="1">
        <f>(Occurrence!F$3-H820)^2</f>
        <v>0.25</v>
      </c>
      <c r="S820" s="1">
        <f>(Occurrence!G$3-I820)^2</f>
        <v>0.79210000000000003</v>
      </c>
      <c r="T820" s="1">
        <f>(Occurrence!H$3-J820)^2</f>
        <v>0</v>
      </c>
      <c r="U820" s="1">
        <f>(Occurrence!I$3-K820)^2</f>
        <v>0.16000000000000003</v>
      </c>
      <c r="V820" s="1">
        <f>(Occurrence!J$3-L820)^2</f>
        <v>0.16000000000000003</v>
      </c>
      <c r="W820" s="1">
        <f>(Occurrence!K$3-M820)^2</f>
        <v>3.999999999999998E-2</v>
      </c>
      <c r="X820" s="1">
        <f t="shared" si="145"/>
        <v>1.6521000000000003</v>
      </c>
      <c r="Z820" s="1">
        <f t="shared" si="146"/>
        <v>0</v>
      </c>
      <c r="AA820" s="1">
        <f t="shared" si="147"/>
        <v>1</v>
      </c>
      <c r="AB820" s="1">
        <f t="shared" si="148"/>
        <v>1</v>
      </c>
      <c r="AC820" s="1">
        <f t="shared" si="149"/>
        <v>1</v>
      </c>
      <c r="AD820" s="1">
        <f t="shared" si="150"/>
        <v>1</v>
      </c>
      <c r="AE820" s="1">
        <f t="shared" si="151"/>
        <v>1</v>
      </c>
      <c r="AF820" s="1">
        <f t="shared" si="152"/>
        <v>1</v>
      </c>
      <c r="AG820" s="1">
        <f t="shared" si="153"/>
        <v>1</v>
      </c>
      <c r="AH820" s="1">
        <f t="shared" si="154"/>
        <v>0</v>
      </c>
      <c r="AI820" s="1">
        <f t="shared" si="155"/>
        <v>1</v>
      </c>
      <c r="AJ820" s="1">
        <f>SUMXMY2(Z820:AI820, Occurrence!B$3:K$3)</f>
        <v>3</v>
      </c>
      <c r="AK820" s="1">
        <f t="shared" si="156"/>
        <v>7</v>
      </c>
    </row>
    <row r="821" spans="1:37">
      <c r="A821" s="1">
        <v>820</v>
      </c>
      <c r="B821" s="1">
        <v>4252819</v>
      </c>
      <c r="C821" s="6" t="s">
        <v>50</v>
      </c>
      <c r="D821" s="1">
        <v>0</v>
      </c>
      <c r="E821" s="1">
        <v>0.22</v>
      </c>
      <c r="F821" s="1">
        <v>1</v>
      </c>
      <c r="G821" s="1">
        <v>1</v>
      </c>
      <c r="H821" s="1">
        <v>0.1</v>
      </c>
      <c r="I821" s="1">
        <v>0.6</v>
      </c>
      <c r="J821" s="1">
        <v>0.35</v>
      </c>
      <c r="K821" s="1">
        <v>1</v>
      </c>
      <c r="L821" s="1">
        <v>0.5</v>
      </c>
      <c r="M821" s="1">
        <v>0.6</v>
      </c>
      <c r="N821" s="1">
        <f>(Occurrence!B$3-D821)^2</f>
        <v>0</v>
      </c>
      <c r="O821" s="1">
        <f>(Occurrence!C$3-E821)^2</f>
        <v>4.8399999999999999E-2</v>
      </c>
      <c r="P821" s="1">
        <f>(Occurrence!D$3-F821)^2</f>
        <v>0</v>
      </c>
      <c r="Q821" s="1">
        <f>(Occurrence!E$3-G821)^2</f>
        <v>0</v>
      </c>
      <c r="R821" s="1">
        <f>(Occurrence!F$3-H821)^2</f>
        <v>1.0000000000000002E-2</v>
      </c>
      <c r="S821" s="1">
        <f>(Occurrence!G$3-I821)^2</f>
        <v>0.36</v>
      </c>
      <c r="T821" s="1">
        <f>(Occurrence!H$3-J821)^2</f>
        <v>0.42250000000000004</v>
      </c>
      <c r="U821" s="1">
        <f>(Occurrence!I$3-K821)^2</f>
        <v>0</v>
      </c>
      <c r="V821" s="1">
        <f>(Occurrence!J$3-L821)^2</f>
        <v>0.25</v>
      </c>
      <c r="W821" s="1">
        <f>(Occurrence!K$3-M821)^2</f>
        <v>0.16000000000000003</v>
      </c>
      <c r="X821" s="1">
        <f t="shared" si="145"/>
        <v>1.2509000000000001</v>
      </c>
      <c r="Z821" s="1">
        <f t="shared" si="146"/>
        <v>0</v>
      </c>
      <c r="AA821" s="1">
        <f t="shared" si="147"/>
        <v>0</v>
      </c>
      <c r="AB821" s="1">
        <f t="shared" si="148"/>
        <v>1</v>
      </c>
      <c r="AC821" s="1">
        <f t="shared" si="149"/>
        <v>1</v>
      </c>
      <c r="AD821" s="1">
        <f t="shared" si="150"/>
        <v>0</v>
      </c>
      <c r="AE821" s="1">
        <f t="shared" si="151"/>
        <v>1</v>
      </c>
      <c r="AF821" s="1">
        <f t="shared" si="152"/>
        <v>0</v>
      </c>
      <c r="AG821" s="1">
        <f t="shared" si="153"/>
        <v>1</v>
      </c>
      <c r="AH821" s="1">
        <f t="shared" si="154"/>
        <v>1</v>
      </c>
      <c r="AI821" s="1">
        <f t="shared" si="155"/>
        <v>1</v>
      </c>
      <c r="AJ821" s="1">
        <f>SUMXMY2(Z821:AI821, Occurrence!B$3:K$3)</f>
        <v>3</v>
      </c>
      <c r="AK821" s="1">
        <f t="shared" si="156"/>
        <v>7</v>
      </c>
    </row>
    <row r="822" spans="1:37">
      <c r="A822" s="1">
        <v>821</v>
      </c>
      <c r="B822" s="1">
        <v>4252820</v>
      </c>
      <c r="C822" s="6" t="s">
        <v>50</v>
      </c>
      <c r="D822" s="1">
        <v>0.3</v>
      </c>
      <c r="E822" s="1">
        <v>0.4</v>
      </c>
      <c r="F822" s="1">
        <v>0.3</v>
      </c>
      <c r="G822" s="1">
        <v>0.4</v>
      </c>
      <c r="H822" s="1">
        <v>0.4</v>
      </c>
      <c r="I822" s="1">
        <v>0.1</v>
      </c>
      <c r="J822" s="1">
        <v>0.01</v>
      </c>
      <c r="K822" s="1">
        <v>0.05</v>
      </c>
      <c r="L822" s="1">
        <v>0.05</v>
      </c>
      <c r="M822" s="1">
        <v>0.9</v>
      </c>
      <c r="N822" s="1">
        <f>(Occurrence!B$3-D822)^2</f>
        <v>0.09</v>
      </c>
      <c r="O822" s="1">
        <f>(Occurrence!C$3-E822)^2</f>
        <v>0.16000000000000003</v>
      </c>
      <c r="P822" s="1">
        <f>(Occurrence!D$3-F822)^2</f>
        <v>0.48999999999999994</v>
      </c>
      <c r="Q822" s="1">
        <f>(Occurrence!E$3-G822)^2</f>
        <v>0.36</v>
      </c>
      <c r="R822" s="1">
        <f>(Occurrence!F$3-H822)^2</f>
        <v>0.16000000000000003</v>
      </c>
      <c r="S822" s="1">
        <f>(Occurrence!G$3-I822)^2</f>
        <v>1.0000000000000002E-2</v>
      </c>
      <c r="T822" s="1">
        <f>(Occurrence!H$3-J822)^2</f>
        <v>0.98009999999999997</v>
      </c>
      <c r="U822" s="1">
        <f>(Occurrence!I$3-K822)^2</f>
        <v>0.90249999999999997</v>
      </c>
      <c r="V822" s="1">
        <f>(Occurrence!J$3-L822)^2</f>
        <v>2.5000000000000005E-3</v>
      </c>
      <c r="W822" s="1">
        <f>(Occurrence!K$3-M822)^2</f>
        <v>9.999999999999995E-3</v>
      </c>
      <c r="X822" s="1">
        <f t="shared" si="145"/>
        <v>3.1650999999999998</v>
      </c>
      <c r="Z822" s="1">
        <f t="shared" si="146"/>
        <v>0</v>
      </c>
      <c r="AA822" s="1">
        <f t="shared" si="147"/>
        <v>0</v>
      </c>
      <c r="AB822" s="1">
        <f t="shared" si="148"/>
        <v>0</v>
      </c>
      <c r="AC822" s="1">
        <f t="shared" si="149"/>
        <v>0</v>
      </c>
      <c r="AD822" s="1">
        <f t="shared" si="150"/>
        <v>0</v>
      </c>
      <c r="AE822" s="1">
        <f t="shared" si="151"/>
        <v>0</v>
      </c>
      <c r="AF822" s="1">
        <f t="shared" si="152"/>
        <v>0</v>
      </c>
      <c r="AG822" s="1">
        <f t="shared" si="153"/>
        <v>0</v>
      </c>
      <c r="AH822" s="1">
        <f t="shared" si="154"/>
        <v>0</v>
      </c>
      <c r="AI822" s="1">
        <f t="shared" si="155"/>
        <v>1</v>
      </c>
      <c r="AJ822" s="1">
        <f>SUMXMY2(Z822:AI822, Occurrence!B$3:K$3)</f>
        <v>4</v>
      </c>
      <c r="AK822" s="1">
        <f t="shared" si="156"/>
        <v>6</v>
      </c>
    </row>
    <row r="823" spans="1:37">
      <c r="A823" s="1">
        <v>822</v>
      </c>
      <c r="B823" s="1">
        <v>4252821</v>
      </c>
      <c r="C823" s="6" t="s">
        <v>50</v>
      </c>
      <c r="D823" s="1">
        <v>0.01</v>
      </c>
      <c r="E823" s="1">
        <v>0.02</v>
      </c>
      <c r="F823" s="1">
        <v>0.8</v>
      </c>
      <c r="G823" s="1">
        <v>0.9</v>
      </c>
      <c r="H823" s="1">
        <v>0.1</v>
      </c>
      <c r="I823" s="1">
        <v>0.7</v>
      </c>
      <c r="J823" s="1">
        <v>0.8</v>
      </c>
      <c r="K823" s="1">
        <v>0.5</v>
      </c>
      <c r="L823" s="1">
        <v>0.7</v>
      </c>
      <c r="M823" s="1">
        <v>0.6</v>
      </c>
      <c r="N823" s="1">
        <f>(Occurrence!B$3-D823)^2</f>
        <v>1E-4</v>
      </c>
      <c r="O823" s="1">
        <f>(Occurrence!C$3-E823)^2</f>
        <v>4.0000000000000002E-4</v>
      </c>
      <c r="P823" s="1">
        <f>(Occurrence!D$3-F823)^2</f>
        <v>3.999999999999998E-2</v>
      </c>
      <c r="Q823" s="1">
        <f>(Occurrence!E$3-G823)^2</f>
        <v>9.999999999999995E-3</v>
      </c>
      <c r="R823" s="1">
        <f>(Occurrence!F$3-H823)^2</f>
        <v>1.0000000000000002E-2</v>
      </c>
      <c r="S823" s="1">
        <f>(Occurrence!G$3-I823)^2</f>
        <v>0.48999999999999994</v>
      </c>
      <c r="T823" s="1">
        <f>(Occurrence!H$3-J823)^2</f>
        <v>3.999999999999998E-2</v>
      </c>
      <c r="U823" s="1">
        <f>(Occurrence!I$3-K823)^2</f>
        <v>0.25</v>
      </c>
      <c r="V823" s="1">
        <f>(Occurrence!J$3-L823)^2</f>
        <v>0.48999999999999994</v>
      </c>
      <c r="W823" s="1">
        <f>(Occurrence!K$3-M823)^2</f>
        <v>0.16000000000000003</v>
      </c>
      <c r="X823" s="1">
        <f t="shared" si="145"/>
        <v>1.4904999999999999</v>
      </c>
      <c r="Z823" s="1">
        <f t="shared" si="146"/>
        <v>0</v>
      </c>
      <c r="AA823" s="1">
        <f t="shared" si="147"/>
        <v>0</v>
      </c>
      <c r="AB823" s="1">
        <f t="shared" si="148"/>
        <v>1</v>
      </c>
      <c r="AC823" s="1">
        <f t="shared" si="149"/>
        <v>1</v>
      </c>
      <c r="AD823" s="1">
        <f t="shared" si="150"/>
        <v>0</v>
      </c>
      <c r="AE823" s="1">
        <f t="shared" si="151"/>
        <v>1</v>
      </c>
      <c r="AF823" s="1">
        <f t="shared" si="152"/>
        <v>1</v>
      </c>
      <c r="AG823" s="1">
        <f t="shared" si="153"/>
        <v>1</v>
      </c>
      <c r="AH823" s="1">
        <f t="shared" si="154"/>
        <v>1</v>
      </c>
      <c r="AI823" s="1">
        <f t="shared" si="155"/>
        <v>1</v>
      </c>
      <c r="AJ823" s="1">
        <f>SUMXMY2(Z823:AI823, Occurrence!B$3:K$3)</f>
        <v>2</v>
      </c>
      <c r="AK823" s="1">
        <f t="shared" si="156"/>
        <v>8</v>
      </c>
    </row>
    <row r="824" spans="1:37">
      <c r="A824" s="1">
        <v>823</v>
      </c>
      <c r="B824" s="1">
        <v>4252822</v>
      </c>
      <c r="C824" s="6" t="s">
        <v>51</v>
      </c>
      <c r="D824" s="1">
        <v>0.69</v>
      </c>
      <c r="E824" s="1">
        <v>0.72</v>
      </c>
      <c r="F824" s="1">
        <v>0.31</v>
      </c>
      <c r="G824" s="1">
        <v>0.5</v>
      </c>
      <c r="H824" s="1">
        <v>0</v>
      </c>
      <c r="I824" s="1">
        <v>0.53</v>
      </c>
      <c r="J824" s="1">
        <v>0.35</v>
      </c>
      <c r="K824" s="1">
        <v>0.69</v>
      </c>
      <c r="L824" s="1">
        <v>0.21</v>
      </c>
      <c r="M824" s="1">
        <v>0.54</v>
      </c>
      <c r="N824" s="1">
        <f>(Occurrence!B$3-D824)^2</f>
        <v>0.47609999999999991</v>
      </c>
      <c r="O824" s="1">
        <f>(Occurrence!C$3-E824)^2</f>
        <v>0.51839999999999997</v>
      </c>
      <c r="P824" s="1">
        <f>(Occurrence!D$3-F824)^2</f>
        <v>0.47609999999999991</v>
      </c>
      <c r="Q824" s="1">
        <f>(Occurrence!E$3-G824)^2</f>
        <v>0.25</v>
      </c>
      <c r="R824" s="1">
        <f>(Occurrence!F$3-H824)^2</f>
        <v>0</v>
      </c>
      <c r="S824" s="1">
        <f>(Occurrence!G$3-I824)^2</f>
        <v>0.28090000000000004</v>
      </c>
      <c r="T824" s="1">
        <f>(Occurrence!H$3-J824)^2</f>
        <v>0.42250000000000004</v>
      </c>
      <c r="U824" s="1">
        <f>(Occurrence!I$3-K824)^2</f>
        <v>9.6100000000000033E-2</v>
      </c>
      <c r="V824" s="1">
        <f>(Occurrence!J$3-L824)^2</f>
        <v>4.4099999999999993E-2</v>
      </c>
      <c r="W824" s="1">
        <f>(Occurrence!K$3-M824)^2</f>
        <v>0.21159999999999995</v>
      </c>
      <c r="X824" s="1">
        <f t="shared" si="145"/>
        <v>2.7757999999999994</v>
      </c>
      <c r="Z824" s="1">
        <f t="shared" si="146"/>
        <v>1</v>
      </c>
      <c r="AA824" s="1">
        <f t="shared" si="147"/>
        <v>1</v>
      </c>
      <c r="AB824" s="1">
        <f t="shared" si="148"/>
        <v>0</v>
      </c>
      <c r="AC824" s="1">
        <f t="shared" si="149"/>
        <v>1</v>
      </c>
      <c r="AD824" s="1">
        <f t="shared" si="150"/>
        <v>0</v>
      </c>
      <c r="AE824" s="1">
        <f t="shared" si="151"/>
        <v>1</v>
      </c>
      <c r="AF824" s="1">
        <f t="shared" si="152"/>
        <v>0</v>
      </c>
      <c r="AG824" s="1">
        <f t="shared" si="153"/>
        <v>1</v>
      </c>
      <c r="AH824" s="1">
        <f t="shared" si="154"/>
        <v>0</v>
      </c>
      <c r="AI824" s="1">
        <f t="shared" si="155"/>
        <v>1</v>
      </c>
      <c r="AJ824" s="1">
        <f>SUMXMY2(Z824:AI824, Occurrence!B$3:K$3)</f>
        <v>5</v>
      </c>
      <c r="AK824" s="1">
        <f t="shared" si="156"/>
        <v>5</v>
      </c>
    </row>
    <row r="825" spans="1:37">
      <c r="A825" s="1">
        <v>824</v>
      </c>
      <c r="B825" s="1">
        <v>4252823</v>
      </c>
      <c r="C825" s="6" t="s">
        <v>51</v>
      </c>
      <c r="D825" s="1">
        <v>0.15</v>
      </c>
      <c r="E825" s="1">
        <v>0.5</v>
      </c>
      <c r="F825" s="1">
        <v>0.15</v>
      </c>
      <c r="G825" s="1">
        <v>0.5</v>
      </c>
      <c r="H825" s="1">
        <v>0.3</v>
      </c>
      <c r="I825" s="1">
        <v>0.35</v>
      </c>
      <c r="J825" s="1">
        <v>0.05</v>
      </c>
      <c r="K825" s="1">
        <v>1</v>
      </c>
      <c r="L825" s="1">
        <v>0.1</v>
      </c>
      <c r="M825" s="1">
        <v>0.5</v>
      </c>
      <c r="N825" s="1">
        <f>(Occurrence!B$3-D825)^2</f>
        <v>2.2499999999999999E-2</v>
      </c>
      <c r="O825" s="1">
        <f>(Occurrence!C$3-E825)^2</f>
        <v>0.25</v>
      </c>
      <c r="P825" s="1">
        <f>(Occurrence!D$3-F825)^2</f>
        <v>0.72249999999999992</v>
      </c>
      <c r="Q825" s="1">
        <f>(Occurrence!E$3-G825)^2</f>
        <v>0.25</v>
      </c>
      <c r="R825" s="1">
        <f>(Occurrence!F$3-H825)^2</f>
        <v>0.09</v>
      </c>
      <c r="S825" s="1">
        <f>(Occurrence!G$3-I825)^2</f>
        <v>0.12249999999999998</v>
      </c>
      <c r="T825" s="1">
        <f>(Occurrence!H$3-J825)^2</f>
        <v>0.90249999999999997</v>
      </c>
      <c r="U825" s="1">
        <f>(Occurrence!I$3-K825)^2</f>
        <v>0</v>
      </c>
      <c r="V825" s="1">
        <f>(Occurrence!J$3-L825)^2</f>
        <v>1.0000000000000002E-2</v>
      </c>
      <c r="W825" s="1">
        <f>(Occurrence!K$3-M825)^2</f>
        <v>0.25</v>
      </c>
      <c r="X825" s="1">
        <f t="shared" si="145"/>
        <v>2.6199999999999997</v>
      </c>
      <c r="Z825" s="1">
        <f t="shared" si="146"/>
        <v>0</v>
      </c>
      <c r="AA825" s="1">
        <f t="shared" si="147"/>
        <v>1</v>
      </c>
      <c r="AB825" s="1">
        <f t="shared" si="148"/>
        <v>0</v>
      </c>
      <c r="AC825" s="1">
        <f t="shared" si="149"/>
        <v>1</v>
      </c>
      <c r="AD825" s="1">
        <f t="shared" si="150"/>
        <v>0</v>
      </c>
      <c r="AE825" s="1">
        <f t="shared" si="151"/>
        <v>0</v>
      </c>
      <c r="AF825" s="1">
        <f t="shared" si="152"/>
        <v>0</v>
      </c>
      <c r="AG825" s="1">
        <f t="shared" si="153"/>
        <v>1</v>
      </c>
      <c r="AH825" s="1">
        <f t="shared" si="154"/>
        <v>0</v>
      </c>
      <c r="AI825" s="1">
        <f t="shared" si="155"/>
        <v>1</v>
      </c>
      <c r="AJ825" s="1">
        <f>SUMXMY2(Z825:AI825, Occurrence!B$3:K$3)</f>
        <v>3</v>
      </c>
      <c r="AK825" s="1">
        <f t="shared" si="156"/>
        <v>7</v>
      </c>
    </row>
    <row r="826" spans="1:37">
      <c r="A826" s="1">
        <v>825</v>
      </c>
      <c r="B826" s="1">
        <v>4252824</v>
      </c>
      <c r="C826" s="6" t="s">
        <v>51</v>
      </c>
      <c r="D826" s="1">
        <v>0.05</v>
      </c>
      <c r="E826" s="1">
        <v>0.15</v>
      </c>
      <c r="F826" s="1">
        <v>0.2</v>
      </c>
      <c r="G826" s="1">
        <v>0.5</v>
      </c>
      <c r="H826" s="1">
        <v>0.9</v>
      </c>
      <c r="I826" s="1">
        <v>0.6</v>
      </c>
      <c r="J826" s="1">
        <v>0.8</v>
      </c>
      <c r="K826" s="1">
        <v>0.9</v>
      </c>
      <c r="L826" s="1">
        <v>0.4</v>
      </c>
      <c r="M826" s="1">
        <v>0.6</v>
      </c>
      <c r="N826" s="1">
        <f>(Occurrence!B$3-D826)^2</f>
        <v>2.5000000000000005E-3</v>
      </c>
      <c r="O826" s="1">
        <f>(Occurrence!C$3-E826)^2</f>
        <v>2.2499999999999999E-2</v>
      </c>
      <c r="P826" s="1">
        <f>(Occurrence!D$3-F826)^2</f>
        <v>0.64000000000000012</v>
      </c>
      <c r="Q826" s="1">
        <f>(Occurrence!E$3-G826)^2</f>
        <v>0.25</v>
      </c>
      <c r="R826" s="1">
        <f>(Occurrence!F$3-H826)^2</f>
        <v>0.81</v>
      </c>
      <c r="S826" s="1">
        <f>(Occurrence!G$3-I826)^2</f>
        <v>0.36</v>
      </c>
      <c r="T826" s="1">
        <f>(Occurrence!H$3-J826)^2</f>
        <v>3.999999999999998E-2</v>
      </c>
      <c r="U826" s="1">
        <f>(Occurrence!I$3-K826)^2</f>
        <v>9.999999999999995E-3</v>
      </c>
      <c r="V826" s="1">
        <f>(Occurrence!J$3-L826)^2</f>
        <v>0.16000000000000003</v>
      </c>
      <c r="W826" s="1">
        <f>(Occurrence!K$3-M826)^2</f>
        <v>0.16000000000000003</v>
      </c>
      <c r="X826" s="1">
        <f t="shared" si="145"/>
        <v>2.4550000000000001</v>
      </c>
      <c r="Z826" s="1">
        <f t="shared" si="146"/>
        <v>0</v>
      </c>
      <c r="AA826" s="1">
        <f t="shared" si="147"/>
        <v>0</v>
      </c>
      <c r="AB826" s="1">
        <f t="shared" si="148"/>
        <v>0</v>
      </c>
      <c r="AC826" s="1">
        <f t="shared" si="149"/>
        <v>1</v>
      </c>
      <c r="AD826" s="1">
        <f t="shared" si="150"/>
        <v>1</v>
      </c>
      <c r="AE826" s="1">
        <f t="shared" si="151"/>
        <v>1</v>
      </c>
      <c r="AF826" s="1">
        <f t="shared" si="152"/>
        <v>1</v>
      </c>
      <c r="AG826" s="1">
        <f t="shared" si="153"/>
        <v>1</v>
      </c>
      <c r="AH826" s="1">
        <f t="shared" si="154"/>
        <v>0</v>
      </c>
      <c r="AI826" s="1">
        <f t="shared" si="155"/>
        <v>1</v>
      </c>
      <c r="AJ826" s="1">
        <f>SUMXMY2(Z826:AI826, Occurrence!B$3:K$3)</f>
        <v>3</v>
      </c>
      <c r="AK826" s="1">
        <f t="shared" si="156"/>
        <v>7</v>
      </c>
    </row>
    <row r="827" spans="1:37">
      <c r="A827" s="1">
        <v>826</v>
      </c>
      <c r="B827" s="1">
        <v>4252825</v>
      </c>
      <c r="C827" s="6" t="s">
        <v>51</v>
      </c>
      <c r="D827" s="1">
        <v>0.4</v>
      </c>
      <c r="E827" s="1">
        <v>0.5</v>
      </c>
      <c r="F827" s="1">
        <v>0.8</v>
      </c>
      <c r="G827" s="1">
        <v>0.9</v>
      </c>
      <c r="H827" s="1">
        <v>0.5</v>
      </c>
      <c r="I827" s="1">
        <v>0.4</v>
      </c>
      <c r="J827" s="1">
        <v>0.5</v>
      </c>
      <c r="K827" s="1">
        <v>0.8</v>
      </c>
      <c r="L827" s="1">
        <v>0.8</v>
      </c>
      <c r="M827" s="1">
        <v>0.6</v>
      </c>
      <c r="N827" s="1">
        <f>(Occurrence!B$3-D827)^2</f>
        <v>0.16000000000000003</v>
      </c>
      <c r="O827" s="1">
        <f>(Occurrence!C$3-E827)^2</f>
        <v>0.25</v>
      </c>
      <c r="P827" s="1">
        <f>(Occurrence!D$3-F827)^2</f>
        <v>3.999999999999998E-2</v>
      </c>
      <c r="Q827" s="1">
        <f>(Occurrence!E$3-G827)^2</f>
        <v>9.999999999999995E-3</v>
      </c>
      <c r="R827" s="1">
        <f>(Occurrence!F$3-H827)^2</f>
        <v>0.25</v>
      </c>
      <c r="S827" s="1">
        <f>(Occurrence!G$3-I827)^2</f>
        <v>0.16000000000000003</v>
      </c>
      <c r="T827" s="1">
        <f>(Occurrence!H$3-J827)^2</f>
        <v>0.25</v>
      </c>
      <c r="U827" s="1">
        <f>(Occurrence!I$3-K827)^2</f>
        <v>3.999999999999998E-2</v>
      </c>
      <c r="V827" s="1">
        <f>(Occurrence!J$3-L827)^2</f>
        <v>0.64000000000000012</v>
      </c>
      <c r="W827" s="1">
        <f>(Occurrence!K$3-M827)^2</f>
        <v>0.16000000000000003</v>
      </c>
      <c r="X827" s="1">
        <f t="shared" si="145"/>
        <v>1.9600000000000004</v>
      </c>
      <c r="Z827" s="1">
        <f t="shared" si="146"/>
        <v>0</v>
      </c>
      <c r="AA827" s="1">
        <f t="shared" si="147"/>
        <v>1</v>
      </c>
      <c r="AB827" s="1">
        <f t="shared" si="148"/>
        <v>1</v>
      </c>
      <c r="AC827" s="1">
        <f t="shared" si="149"/>
        <v>1</v>
      </c>
      <c r="AD827" s="1">
        <f t="shared" si="150"/>
        <v>1</v>
      </c>
      <c r="AE827" s="1">
        <f t="shared" si="151"/>
        <v>0</v>
      </c>
      <c r="AF827" s="1">
        <f t="shared" si="152"/>
        <v>1</v>
      </c>
      <c r="AG827" s="1">
        <f t="shared" si="153"/>
        <v>1</v>
      </c>
      <c r="AH827" s="1">
        <f t="shared" si="154"/>
        <v>1</v>
      </c>
      <c r="AI827" s="1">
        <f t="shared" si="155"/>
        <v>1</v>
      </c>
      <c r="AJ827" s="1">
        <f>SUMXMY2(Z827:AI827, Occurrence!B$3:K$3)</f>
        <v>3</v>
      </c>
      <c r="AK827" s="1">
        <f t="shared" si="156"/>
        <v>7</v>
      </c>
    </row>
    <row r="828" spans="1:37">
      <c r="A828" s="1">
        <v>827</v>
      </c>
      <c r="B828" s="1">
        <v>4252826</v>
      </c>
      <c r="C828" s="6" t="s">
        <v>51</v>
      </c>
      <c r="D828" s="1">
        <v>0.1</v>
      </c>
      <c r="E828" s="1">
        <v>0.2</v>
      </c>
      <c r="F828" s="1">
        <v>0.15</v>
      </c>
      <c r="G828" s="1">
        <v>0.8</v>
      </c>
      <c r="H828" s="1">
        <v>0</v>
      </c>
      <c r="I828" s="1">
        <v>0.25</v>
      </c>
      <c r="J828" s="1">
        <v>0.82</v>
      </c>
      <c r="K828" s="1">
        <v>0.37</v>
      </c>
      <c r="L828" s="1">
        <v>0.33</v>
      </c>
      <c r="M828" s="1">
        <v>0.62</v>
      </c>
      <c r="N828" s="1">
        <f>(Occurrence!B$3-D828)^2</f>
        <v>1.0000000000000002E-2</v>
      </c>
      <c r="O828" s="1">
        <f>(Occurrence!C$3-E828)^2</f>
        <v>4.0000000000000008E-2</v>
      </c>
      <c r="P828" s="1">
        <f>(Occurrence!D$3-F828)^2</f>
        <v>0.72249999999999992</v>
      </c>
      <c r="Q828" s="1">
        <f>(Occurrence!E$3-G828)^2</f>
        <v>3.999999999999998E-2</v>
      </c>
      <c r="R828" s="1">
        <f>(Occurrence!F$3-H828)^2</f>
        <v>0</v>
      </c>
      <c r="S828" s="1">
        <f>(Occurrence!G$3-I828)^2</f>
        <v>6.25E-2</v>
      </c>
      <c r="T828" s="1">
        <f>(Occurrence!H$3-J828)^2</f>
        <v>3.2400000000000019E-2</v>
      </c>
      <c r="U828" s="1">
        <f>(Occurrence!I$3-K828)^2</f>
        <v>0.39690000000000003</v>
      </c>
      <c r="V828" s="1">
        <f>(Occurrence!J$3-L828)^2</f>
        <v>0.10890000000000001</v>
      </c>
      <c r="W828" s="1">
        <f>(Occurrence!K$3-M828)^2</f>
        <v>0.1444</v>
      </c>
      <c r="X828" s="1">
        <f t="shared" si="145"/>
        <v>1.5576000000000001</v>
      </c>
      <c r="Z828" s="1">
        <f t="shared" si="146"/>
        <v>0</v>
      </c>
      <c r="AA828" s="1">
        <f t="shared" si="147"/>
        <v>0</v>
      </c>
      <c r="AB828" s="1">
        <f t="shared" si="148"/>
        <v>0</v>
      </c>
      <c r="AC828" s="1">
        <f t="shared" si="149"/>
        <v>1</v>
      </c>
      <c r="AD828" s="1">
        <f t="shared" si="150"/>
        <v>0</v>
      </c>
      <c r="AE828" s="1">
        <f t="shared" si="151"/>
        <v>0</v>
      </c>
      <c r="AF828" s="1">
        <f t="shared" si="152"/>
        <v>1</v>
      </c>
      <c r="AG828" s="1">
        <f t="shared" si="153"/>
        <v>0</v>
      </c>
      <c r="AH828" s="1">
        <f t="shared" si="154"/>
        <v>0</v>
      </c>
      <c r="AI828" s="1">
        <f t="shared" si="155"/>
        <v>1</v>
      </c>
      <c r="AJ828" s="1">
        <f>SUMXMY2(Z828:AI828, Occurrence!B$3:K$3)</f>
        <v>2</v>
      </c>
      <c r="AK828" s="1">
        <f t="shared" si="156"/>
        <v>8</v>
      </c>
    </row>
    <row r="829" spans="1:37">
      <c r="A829" s="1">
        <v>828</v>
      </c>
      <c r="B829" s="1">
        <v>4252827</v>
      </c>
      <c r="C829" s="6" t="s">
        <v>51</v>
      </c>
      <c r="D829" s="1">
        <v>0.25</v>
      </c>
      <c r="E829" s="1">
        <v>0.45</v>
      </c>
      <c r="F829" s="1">
        <v>0.25</v>
      </c>
      <c r="G829" s="1">
        <v>0.45</v>
      </c>
      <c r="H829" s="1">
        <v>0.5</v>
      </c>
      <c r="I829" s="1">
        <v>0.45</v>
      </c>
      <c r="J829" s="1">
        <v>0.3</v>
      </c>
      <c r="K829" s="1">
        <v>0.22</v>
      </c>
      <c r="L829" s="1">
        <v>0.33</v>
      </c>
      <c r="M829" s="1">
        <v>0.37</v>
      </c>
      <c r="N829" s="1">
        <f>(Occurrence!B$3-D829)^2</f>
        <v>6.25E-2</v>
      </c>
      <c r="O829" s="1">
        <f>(Occurrence!C$3-E829)^2</f>
        <v>0.20250000000000001</v>
      </c>
      <c r="P829" s="1">
        <f>(Occurrence!D$3-F829)^2</f>
        <v>0.5625</v>
      </c>
      <c r="Q829" s="1">
        <f>(Occurrence!E$3-G829)^2</f>
        <v>0.30250000000000005</v>
      </c>
      <c r="R829" s="1">
        <f>(Occurrence!F$3-H829)^2</f>
        <v>0.25</v>
      </c>
      <c r="S829" s="1">
        <f>(Occurrence!G$3-I829)^2</f>
        <v>0.20250000000000001</v>
      </c>
      <c r="T829" s="1">
        <f>(Occurrence!H$3-J829)^2</f>
        <v>0.48999999999999994</v>
      </c>
      <c r="U829" s="1">
        <f>(Occurrence!I$3-K829)^2</f>
        <v>0.60840000000000005</v>
      </c>
      <c r="V829" s="1">
        <f>(Occurrence!J$3-L829)^2</f>
        <v>0.10890000000000001</v>
      </c>
      <c r="W829" s="1">
        <f>(Occurrence!K$3-M829)^2</f>
        <v>0.39690000000000003</v>
      </c>
      <c r="X829" s="1">
        <f t="shared" si="145"/>
        <v>3.1867000000000001</v>
      </c>
      <c r="Z829" s="1">
        <f t="shared" si="146"/>
        <v>0</v>
      </c>
      <c r="AA829" s="1">
        <f t="shared" si="147"/>
        <v>0</v>
      </c>
      <c r="AB829" s="1">
        <f t="shared" si="148"/>
        <v>0</v>
      </c>
      <c r="AC829" s="1">
        <f t="shared" si="149"/>
        <v>0</v>
      </c>
      <c r="AD829" s="1">
        <f t="shared" si="150"/>
        <v>1</v>
      </c>
      <c r="AE829" s="1">
        <f t="shared" si="151"/>
        <v>0</v>
      </c>
      <c r="AF829" s="1">
        <f t="shared" si="152"/>
        <v>0</v>
      </c>
      <c r="AG829" s="1">
        <f t="shared" si="153"/>
        <v>0</v>
      </c>
      <c r="AH829" s="1">
        <f t="shared" si="154"/>
        <v>0</v>
      </c>
      <c r="AI829" s="1">
        <f t="shared" si="155"/>
        <v>0</v>
      </c>
      <c r="AJ829" s="1">
        <f>SUMXMY2(Z829:AI829, Occurrence!B$3:K$3)</f>
        <v>6</v>
      </c>
      <c r="AK829" s="1">
        <f t="shared" si="156"/>
        <v>4</v>
      </c>
    </row>
    <row r="830" spans="1:37">
      <c r="A830" s="1">
        <v>829</v>
      </c>
      <c r="B830" s="1">
        <v>4252828</v>
      </c>
      <c r="C830" s="6" t="s">
        <v>51</v>
      </c>
      <c r="D830" s="1">
        <v>0.25</v>
      </c>
      <c r="E830" s="1">
        <v>0.45</v>
      </c>
      <c r="F830" s="1">
        <v>0.25</v>
      </c>
      <c r="G830" s="1">
        <v>0.45</v>
      </c>
      <c r="H830" s="1">
        <v>0.5</v>
      </c>
      <c r="I830" s="1">
        <v>0.45</v>
      </c>
      <c r="J830" s="1">
        <v>0.3</v>
      </c>
      <c r="K830" s="1">
        <v>0.22</v>
      </c>
      <c r="L830" s="1">
        <v>0.33</v>
      </c>
      <c r="M830" s="1">
        <v>0.37</v>
      </c>
      <c r="N830" s="1">
        <f>(Occurrence!B$3-D830)^2</f>
        <v>6.25E-2</v>
      </c>
      <c r="O830" s="1">
        <f>(Occurrence!C$3-E830)^2</f>
        <v>0.20250000000000001</v>
      </c>
      <c r="P830" s="1">
        <f>(Occurrence!D$3-F830)^2</f>
        <v>0.5625</v>
      </c>
      <c r="Q830" s="1">
        <f>(Occurrence!E$3-G830)^2</f>
        <v>0.30250000000000005</v>
      </c>
      <c r="R830" s="1">
        <f>(Occurrence!F$3-H830)^2</f>
        <v>0.25</v>
      </c>
      <c r="S830" s="1">
        <f>(Occurrence!G$3-I830)^2</f>
        <v>0.20250000000000001</v>
      </c>
      <c r="T830" s="1">
        <f>(Occurrence!H$3-J830)^2</f>
        <v>0.48999999999999994</v>
      </c>
      <c r="U830" s="1">
        <f>(Occurrence!I$3-K830)^2</f>
        <v>0.60840000000000005</v>
      </c>
      <c r="V830" s="1">
        <f>(Occurrence!J$3-L830)^2</f>
        <v>0.10890000000000001</v>
      </c>
      <c r="W830" s="1">
        <f>(Occurrence!K$3-M830)^2</f>
        <v>0.39690000000000003</v>
      </c>
      <c r="X830" s="1">
        <f t="shared" si="145"/>
        <v>3.1867000000000001</v>
      </c>
      <c r="Z830" s="1">
        <f t="shared" si="146"/>
        <v>0</v>
      </c>
      <c r="AA830" s="1">
        <f t="shared" si="147"/>
        <v>0</v>
      </c>
      <c r="AB830" s="1">
        <f t="shared" si="148"/>
        <v>0</v>
      </c>
      <c r="AC830" s="1">
        <f t="shared" si="149"/>
        <v>0</v>
      </c>
      <c r="AD830" s="1">
        <f t="shared" si="150"/>
        <v>1</v>
      </c>
      <c r="AE830" s="1">
        <f t="shared" si="151"/>
        <v>0</v>
      </c>
      <c r="AF830" s="1">
        <f t="shared" si="152"/>
        <v>0</v>
      </c>
      <c r="AG830" s="1">
        <f t="shared" si="153"/>
        <v>0</v>
      </c>
      <c r="AH830" s="1">
        <f t="shared" si="154"/>
        <v>0</v>
      </c>
      <c r="AI830" s="1">
        <f t="shared" si="155"/>
        <v>0</v>
      </c>
      <c r="AJ830" s="1">
        <f>SUMXMY2(Z830:AI830, Occurrence!B$3:K$3)</f>
        <v>6</v>
      </c>
      <c r="AK830" s="1">
        <f t="shared" si="156"/>
        <v>4</v>
      </c>
    </row>
    <row r="831" spans="1:37">
      <c r="A831" s="1">
        <v>830</v>
      </c>
      <c r="B831" s="1">
        <v>4252829</v>
      </c>
      <c r="C831" s="6" t="s">
        <v>51</v>
      </c>
      <c r="D831" s="1">
        <v>0.25</v>
      </c>
      <c r="E831" s="1">
        <v>0.45</v>
      </c>
      <c r="F831" s="1">
        <v>0.25</v>
      </c>
      <c r="G831" s="1">
        <v>0.45</v>
      </c>
      <c r="H831" s="1">
        <v>0.5</v>
      </c>
      <c r="I831" s="1">
        <v>0.45</v>
      </c>
      <c r="J831" s="1">
        <v>0.3</v>
      </c>
      <c r="K831" s="1">
        <v>0.33</v>
      </c>
      <c r="L831" s="1">
        <v>0.37</v>
      </c>
      <c r="M831" s="1">
        <v>0.37</v>
      </c>
      <c r="N831" s="1">
        <f>(Occurrence!B$3-D831)^2</f>
        <v>6.25E-2</v>
      </c>
      <c r="O831" s="1">
        <f>(Occurrence!C$3-E831)^2</f>
        <v>0.20250000000000001</v>
      </c>
      <c r="P831" s="1">
        <f>(Occurrence!D$3-F831)^2</f>
        <v>0.5625</v>
      </c>
      <c r="Q831" s="1">
        <f>(Occurrence!E$3-G831)^2</f>
        <v>0.30250000000000005</v>
      </c>
      <c r="R831" s="1">
        <f>(Occurrence!F$3-H831)^2</f>
        <v>0.25</v>
      </c>
      <c r="S831" s="1">
        <f>(Occurrence!G$3-I831)^2</f>
        <v>0.20250000000000001</v>
      </c>
      <c r="T831" s="1">
        <f>(Occurrence!H$3-J831)^2</f>
        <v>0.48999999999999994</v>
      </c>
      <c r="U831" s="1">
        <f>(Occurrence!I$3-K831)^2</f>
        <v>0.44889999999999991</v>
      </c>
      <c r="V831" s="1">
        <f>(Occurrence!J$3-L831)^2</f>
        <v>0.13689999999999999</v>
      </c>
      <c r="W831" s="1">
        <f>(Occurrence!K$3-M831)^2</f>
        <v>0.39690000000000003</v>
      </c>
      <c r="X831" s="1">
        <f t="shared" si="145"/>
        <v>3.0551999999999997</v>
      </c>
      <c r="Z831" s="1">
        <f t="shared" si="146"/>
        <v>0</v>
      </c>
      <c r="AA831" s="1">
        <f t="shared" si="147"/>
        <v>0</v>
      </c>
      <c r="AB831" s="1">
        <f t="shared" si="148"/>
        <v>0</v>
      </c>
      <c r="AC831" s="1">
        <f t="shared" si="149"/>
        <v>0</v>
      </c>
      <c r="AD831" s="1">
        <f t="shared" si="150"/>
        <v>1</v>
      </c>
      <c r="AE831" s="1">
        <f t="shared" si="151"/>
        <v>0</v>
      </c>
      <c r="AF831" s="1">
        <f t="shared" si="152"/>
        <v>0</v>
      </c>
      <c r="AG831" s="1">
        <f t="shared" si="153"/>
        <v>0</v>
      </c>
      <c r="AH831" s="1">
        <f t="shared" si="154"/>
        <v>0</v>
      </c>
      <c r="AI831" s="1">
        <f t="shared" si="155"/>
        <v>0</v>
      </c>
      <c r="AJ831" s="1">
        <f>SUMXMY2(Z831:AI831, Occurrence!B$3:K$3)</f>
        <v>6</v>
      </c>
      <c r="AK831" s="1">
        <f t="shared" si="156"/>
        <v>4</v>
      </c>
    </row>
    <row r="832" spans="1:37">
      <c r="A832" s="1">
        <v>831</v>
      </c>
      <c r="B832" s="1">
        <v>4252830</v>
      </c>
      <c r="C832" s="6" t="s">
        <v>51</v>
      </c>
      <c r="D832" s="1">
        <v>0.25</v>
      </c>
      <c r="E832" s="1">
        <v>0.3</v>
      </c>
      <c r="F832" s="1">
        <v>0.65</v>
      </c>
      <c r="G832" s="1">
        <v>0.7</v>
      </c>
      <c r="H832" s="1">
        <v>0.1</v>
      </c>
      <c r="I832" s="1">
        <v>0.13</v>
      </c>
      <c r="J832" s="1">
        <v>0.32</v>
      </c>
      <c r="K832" s="1">
        <v>0.02</v>
      </c>
      <c r="L832" s="1">
        <v>0.3</v>
      </c>
      <c r="M832" s="1">
        <v>0.56000000000000005</v>
      </c>
      <c r="N832" s="1">
        <f>(Occurrence!B$3-D832)^2</f>
        <v>6.25E-2</v>
      </c>
      <c r="O832" s="1">
        <f>(Occurrence!C$3-E832)^2</f>
        <v>0.09</v>
      </c>
      <c r="P832" s="1">
        <f>(Occurrence!D$3-F832)^2</f>
        <v>0.12249999999999998</v>
      </c>
      <c r="Q832" s="1">
        <f>(Occurrence!E$3-G832)^2</f>
        <v>9.0000000000000024E-2</v>
      </c>
      <c r="R832" s="1">
        <f>(Occurrence!F$3-H832)^2</f>
        <v>1.0000000000000002E-2</v>
      </c>
      <c r="S832" s="1">
        <f>(Occurrence!G$3-I832)^2</f>
        <v>1.6900000000000002E-2</v>
      </c>
      <c r="T832" s="1">
        <f>(Occurrence!H$3-J832)^2</f>
        <v>0.46239999999999992</v>
      </c>
      <c r="U832" s="1">
        <f>(Occurrence!I$3-K832)^2</f>
        <v>0.96039999999999992</v>
      </c>
      <c r="V832" s="1">
        <f>(Occurrence!J$3-L832)^2</f>
        <v>0.09</v>
      </c>
      <c r="W832" s="1">
        <f>(Occurrence!K$3-M832)^2</f>
        <v>0.19359999999999997</v>
      </c>
      <c r="X832" s="1">
        <f t="shared" si="145"/>
        <v>2.0982999999999996</v>
      </c>
      <c r="Z832" s="1">
        <f t="shared" si="146"/>
        <v>0</v>
      </c>
      <c r="AA832" s="1">
        <f t="shared" si="147"/>
        <v>0</v>
      </c>
      <c r="AB832" s="1">
        <f t="shared" si="148"/>
        <v>1</v>
      </c>
      <c r="AC832" s="1">
        <f t="shared" si="149"/>
        <v>1</v>
      </c>
      <c r="AD832" s="1">
        <f t="shared" si="150"/>
        <v>0</v>
      </c>
      <c r="AE832" s="1">
        <f t="shared" si="151"/>
        <v>0</v>
      </c>
      <c r="AF832" s="1">
        <f t="shared" si="152"/>
        <v>0</v>
      </c>
      <c r="AG832" s="1">
        <f t="shared" si="153"/>
        <v>0</v>
      </c>
      <c r="AH832" s="1">
        <f t="shared" si="154"/>
        <v>0</v>
      </c>
      <c r="AI832" s="1">
        <f t="shared" si="155"/>
        <v>1</v>
      </c>
      <c r="AJ832" s="1">
        <f>SUMXMY2(Z832:AI832, Occurrence!B$3:K$3)</f>
        <v>2</v>
      </c>
      <c r="AK832" s="1">
        <f t="shared" si="156"/>
        <v>8</v>
      </c>
    </row>
    <row r="833" spans="1:37">
      <c r="A833" s="1">
        <v>832</v>
      </c>
      <c r="B833" s="1">
        <v>4252831</v>
      </c>
      <c r="C833" s="6" t="s">
        <v>51</v>
      </c>
      <c r="D833" s="1">
        <v>0</v>
      </c>
      <c r="E833" s="1">
        <v>0.01</v>
      </c>
      <c r="F833" s="1">
        <v>0.75</v>
      </c>
      <c r="G833" s="1">
        <v>0.95</v>
      </c>
      <c r="H833" s="1">
        <v>0.05</v>
      </c>
      <c r="I833" s="1">
        <v>0</v>
      </c>
      <c r="J833" s="1">
        <v>0.62</v>
      </c>
      <c r="K833" s="1">
        <v>1</v>
      </c>
      <c r="L833" s="1">
        <v>0.45</v>
      </c>
      <c r="M833" s="1">
        <v>0.25</v>
      </c>
      <c r="N833" s="1">
        <f>(Occurrence!B$3-D833)^2</f>
        <v>0</v>
      </c>
      <c r="O833" s="1">
        <f>(Occurrence!C$3-E833)^2</f>
        <v>1E-4</v>
      </c>
      <c r="P833" s="1">
        <f>(Occurrence!D$3-F833)^2</f>
        <v>6.25E-2</v>
      </c>
      <c r="Q833" s="1">
        <f>(Occurrence!E$3-G833)^2</f>
        <v>2.5000000000000044E-3</v>
      </c>
      <c r="R833" s="1">
        <f>(Occurrence!F$3-H833)^2</f>
        <v>2.5000000000000005E-3</v>
      </c>
      <c r="S833" s="1">
        <f>(Occurrence!G$3-I833)^2</f>
        <v>0</v>
      </c>
      <c r="T833" s="1">
        <f>(Occurrence!H$3-J833)^2</f>
        <v>0.1444</v>
      </c>
      <c r="U833" s="1">
        <f>(Occurrence!I$3-K833)^2</f>
        <v>0</v>
      </c>
      <c r="V833" s="1">
        <f>(Occurrence!J$3-L833)^2</f>
        <v>0.20250000000000001</v>
      </c>
      <c r="W833" s="1">
        <f>(Occurrence!K$3-M833)^2</f>
        <v>0.5625</v>
      </c>
      <c r="X833" s="1">
        <f t="shared" si="145"/>
        <v>0.97700000000000009</v>
      </c>
      <c r="Z833" s="1">
        <f t="shared" si="146"/>
        <v>0</v>
      </c>
      <c r="AA833" s="1">
        <f t="shared" si="147"/>
        <v>0</v>
      </c>
      <c r="AB833" s="1">
        <f t="shared" si="148"/>
        <v>1</v>
      </c>
      <c r="AC833" s="1">
        <f t="shared" si="149"/>
        <v>1</v>
      </c>
      <c r="AD833" s="1">
        <f t="shared" si="150"/>
        <v>0</v>
      </c>
      <c r="AE833" s="1">
        <f t="shared" si="151"/>
        <v>0</v>
      </c>
      <c r="AF833" s="1">
        <f t="shared" si="152"/>
        <v>1</v>
      </c>
      <c r="AG833" s="1">
        <f t="shared" si="153"/>
        <v>1</v>
      </c>
      <c r="AH833" s="1">
        <f t="shared" si="154"/>
        <v>0</v>
      </c>
      <c r="AI833" s="1">
        <f t="shared" si="155"/>
        <v>0</v>
      </c>
      <c r="AJ833" s="1">
        <f>SUMXMY2(Z833:AI833, Occurrence!B$3:K$3)</f>
        <v>1</v>
      </c>
      <c r="AK833" s="1">
        <f t="shared" si="156"/>
        <v>9</v>
      </c>
    </row>
    <row r="834" spans="1:37">
      <c r="A834" s="1">
        <v>833</v>
      </c>
      <c r="B834" s="1">
        <v>4252832</v>
      </c>
      <c r="C834" s="6" t="s">
        <v>51</v>
      </c>
      <c r="D834" s="1">
        <v>0</v>
      </c>
      <c r="E834" s="1">
        <v>0.01</v>
      </c>
      <c r="F834" s="1">
        <v>0.74</v>
      </c>
      <c r="G834" s="1">
        <v>0.99</v>
      </c>
      <c r="H834" s="1">
        <v>0.05</v>
      </c>
      <c r="I834" s="1">
        <v>0.15</v>
      </c>
      <c r="J834" s="1">
        <v>0.75</v>
      </c>
      <c r="K834" s="1">
        <v>1</v>
      </c>
      <c r="L834" s="1">
        <v>0.25</v>
      </c>
      <c r="M834" s="1">
        <v>0.63</v>
      </c>
      <c r="N834" s="1">
        <f>(Occurrence!B$3-D834)^2</f>
        <v>0</v>
      </c>
      <c r="O834" s="1">
        <f>(Occurrence!C$3-E834)^2</f>
        <v>1E-4</v>
      </c>
      <c r="P834" s="1">
        <f>(Occurrence!D$3-F834)^2</f>
        <v>6.7600000000000007E-2</v>
      </c>
      <c r="Q834" s="1">
        <f>(Occurrence!E$3-G834)^2</f>
        <v>1.0000000000000018E-4</v>
      </c>
      <c r="R834" s="1">
        <f>(Occurrence!F$3-H834)^2</f>
        <v>2.5000000000000005E-3</v>
      </c>
      <c r="S834" s="1">
        <f>(Occurrence!G$3-I834)^2</f>
        <v>2.2499999999999999E-2</v>
      </c>
      <c r="T834" s="1">
        <f>(Occurrence!H$3-J834)^2</f>
        <v>6.25E-2</v>
      </c>
      <c r="U834" s="1">
        <f>(Occurrence!I$3-K834)^2</f>
        <v>0</v>
      </c>
      <c r="V834" s="1">
        <f>(Occurrence!J$3-L834)^2</f>
        <v>6.25E-2</v>
      </c>
      <c r="W834" s="1">
        <f>(Occurrence!K$3-M834)^2</f>
        <v>0.13689999999999999</v>
      </c>
      <c r="X834" s="1">
        <f t="shared" si="145"/>
        <v>0.35470000000000002</v>
      </c>
      <c r="Z834" s="1">
        <f t="shared" si="146"/>
        <v>0</v>
      </c>
      <c r="AA834" s="1">
        <f t="shared" si="147"/>
        <v>0</v>
      </c>
      <c r="AB834" s="1">
        <f t="shared" si="148"/>
        <v>1</v>
      </c>
      <c r="AC834" s="1">
        <f t="shared" si="149"/>
        <v>1</v>
      </c>
      <c r="AD834" s="1">
        <f t="shared" si="150"/>
        <v>0</v>
      </c>
      <c r="AE834" s="1">
        <f t="shared" si="151"/>
        <v>0</v>
      </c>
      <c r="AF834" s="1">
        <f t="shared" si="152"/>
        <v>1</v>
      </c>
      <c r="AG834" s="1">
        <f t="shared" si="153"/>
        <v>1</v>
      </c>
      <c r="AH834" s="1">
        <f t="shared" si="154"/>
        <v>0</v>
      </c>
      <c r="AI834" s="1">
        <f t="shared" si="155"/>
        <v>1</v>
      </c>
      <c r="AJ834" s="1">
        <f>SUMXMY2(Z834:AI834, Occurrence!B$3:K$3)</f>
        <v>0</v>
      </c>
      <c r="AK834" s="1">
        <f t="shared" si="156"/>
        <v>10</v>
      </c>
    </row>
    <row r="835" spans="1:37">
      <c r="A835" s="1">
        <v>834</v>
      </c>
      <c r="B835" s="1">
        <v>4252833</v>
      </c>
      <c r="C835" s="6" t="s">
        <v>51</v>
      </c>
      <c r="D835" s="1">
        <v>0.1</v>
      </c>
      <c r="E835" s="1">
        <v>0.15</v>
      </c>
      <c r="F835" s="1">
        <v>0.35</v>
      </c>
      <c r="G835" s="1">
        <v>0.85</v>
      </c>
      <c r="H835" s="1">
        <v>0.55000000000000004</v>
      </c>
      <c r="I835" s="1">
        <v>0.05</v>
      </c>
      <c r="J835" s="1">
        <v>0.1</v>
      </c>
      <c r="K835" s="1">
        <v>0</v>
      </c>
      <c r="L835" s="1">
        <v>0.35</v>
      </c>
      <c r="M835" s="1">
        <v>0.1</v>
      </c>
      <c r="N835" s="1">
        <f>(Occurrence!B$3-D835)^2</f>
        <v>1.0000000000000002E-2</v>
      </c>
      <c r="O835" s="1">
        <f>(Occurrence!C$3-E835)^2</f>
        <v>2.2499999999999999E-2</v>
      </c>
      <c r="P835" s="1">
        <f>(Occurrence!D$3-F835)^2</f>
        <v>0.42250000000000004</v>
      </c>
      <c r="Q835" s="1">
        <f>(Occurrence!E$3-G835)^2</f>
        <v>2.2500000000000006E-2</v>
      </c>
      <c r="R835" s="1">
        <f>(Occurrence!F$3-H835)^2</f>
        <v>0.30250000000000005</v>
      </c>
      <c r="S835" s="1">
        <f>(Occurrence!G$3-I835)^2</f>
        <v>2.5000000000000005E-3</v>
      </c>
      <c r="T835" s="1">
        <f>(Occurrence!H$3-J835)^2</f>
        <v>0.81</v>
      </c>
      <c r="U835" s="1">
        <f>(Occurrence!I$3-K835)^2</f>
        <v>1</v>
      </c>
      <c r="V835" s="1">
        <f>(Occurrence!J$3-L835)^2</f>
        <v>0.12249999999999998</v>
      </c>
      <c r="W835" s="1">
        <f>(Occurrence!K$3-M835)^2</f>
        <v>0.81</v>
      </c>
      <c r="X835" s="1">
        <f t="shared" ref="X835:X852" si="157">SUM(N835:W835)</f>
        <v>3.5250000000000004</v>
      </c>
      <c r="Z835" s="1">
        <f t="shared" ref="Z835:Z852" si="158">ROUND(D835, 0)</f>
        <v>0</v>
      </c>
      <c r="AA835" s="1">
        <f t="shared" ref="AA835:AA852" si="159">ROUND(E835, 0)</f>
        <v>0</v>
      </c>
      <c r="AB835" s="1">
        <f t="shared" ref="AB835:AB852" si="160">ROUND(F835, 0)</f>
        <v>0</v>
      </c>
      <c r="AC835" s="1">
        <f t="shared" ref="AC835:AC852" si="161">ROUND(G835, 0)</f>
        <v>1</v>
      </c>
      <c r="AD835" s="1">
        <f t="shared" ref="AD835:AD852" si="162">ROUND(H835, 0)</f>
        <v>1</v>
      </c>
      <c r="AE835" s="1">
        <f t="shared" ref="AE835:AE852" si="163">ROUND(I835, 0)</f>
        <v>0</v>
      </c>
      <c r="AF835" s="1">
        <f t="shared" ref="AF835:AF852" si="164">ROUND(J835, 0)</f>
        <v>0</v>
      </c>
      <c r="AG835" s="1">
        <f t="shared" ref="AG835:AG852" si="165">ROUND(K835, 0)</f>
        <v>0</v>
      </c>
      <c r="AH835" s="1">
        <f t="shared" ref="AH835:AH852" si="166">ROUND(L835, 0)</f>
        <v>0</v>
      </c>
      <c r="AI835" s="1">
        <f t="shared" ref="AI835:AI852" si="167">ROUND(M835, 0)</f>
        <v>0</v>
      </c>
      <c r="AJ835" s="1">
        <f>SUMXMY2(Z835:AI835, Occurrence!B$3:K$3)</f>
        <v>5</v>
      </c>
      <c r="AK835" s="1">
        <f t="shared" ref="AK835:AK852" si="168">10-AJ835</f>
        <v>5</v>
      </c>
    </row>
    <row r="836" spans="1:37">
      <c r="A836" s="1">
        <v>835</v>
      </c>
      <c r="B836" s="1">
        <v>4252834</v>
      </c>
      <c r="C836" s="6" t="s">
        <v>51</v>
      </c>
      <c r="D836" s="1">
        <v>0.1</v>
      </c>
      <c r="E836" s="1">
        <v>0.2</v>
      </c>
      <c r="F836" s="1">
        <v>0.1</v>
      </c>
      <c r="G836" s="1">
        <v>0.2</v>
      </c>
      <c r="H836" s="1">
        <v>0.4</v>
      </c>
      <c r="I836" s="1">
        <v>0</v>
      </c>
      <c r="J836" s="1">
        <v>0.62</v>
      </c>
      <c r="K836" s="1">
        <v>1</v>
      </c>
      <c r="L836" s="1">
        <v>0.25</v>
      </c>
      <c r="M836" s="1">
        <v>0.63</v>
      </c>
      <c r="N836" s="1">
        <f>(Occurrence!B$3-D836)^2</f>
        <v>1.0000000000000002E-2</v>
      </c>
      <c r="O836" s="1">
        <f>(Occurrence!C$3-E836)^2</f>
        <v>4.0000000000000008E-2</v>
      </c>
      <c r="P836" s="1">
        <f>(Occurrence!D$3-F836)^2</f>
        <v>0.81</v>
      </c>
      <c r="Q836" s="1">
        <f>(Occurrence!E$3-G836)^2</f>
        <v>0.64000000000000012</v>
      </c>
      <c r="R836" s="1">
        <f>(Occurrence!F$3-H836)^2</f>
        <v>0.16000000000000003</v>
      </c>
      <c r="S836" s="1">
        <f>(Occurrence!G$3-I836)^2</f>
        <v>0</v>
      </c>
      <c r="T836" s="1">
        <f>(Occurrence!H$3-J836)^2</f>
        <v>0.1444</v>
      </c>
      <c r="U836" s="1">
        <f>(Occurrence!I$3-K836)^2</f>
        <v>0</v>
      </c>
      <c r="V836" s="1">
        <f>(Occurrence!J$3-L836)^2</f>
        <v>6.25E-2</v>
      </c>
      <c r="W836" s="1">
        <f>(Occurrence!K$3-M836)^2</f>
        <v>0.13689999999999999</v>
      </c>
      <c r="X836" s="1">
        <f t="shared" si="157"/>
        <v>2.0038</v>
      </c>
      <c r="Z836" s="1">
        <f t="shared" si="158"/>
        <v>0</v>
      </c>
      <c r="AA836" s="1">
        <f t="shared" si="159"/>
        <v>0</v>
      </c>
      <c r="AB836" s="1">
        <f t="shared" si="160"/>
        <v>0</v>
      </c>
      <c r="AC836" s="1">
        <f t="shared" si="161"/>
        <v>0</v>
      </c>
      <c r="AD836" s="1">
        <f t="shared" si="162"/>
        <v>0</v>
      </c>
      <c r="AE836" s="1">
        <f t="shared" si="163"/>
        <v>0</v>
      </c>
      <c r="AF836" s="1">
        <f t="shared" si="164"/>
        <v>1</v>
      </c>
      <c r="AG836" s="1">
        <f t="shared" si="165"/>
        <v>1</v>
      </c>
      <c r="AH836" s="1">
        <f t="shared" si="166"/>
        <v>0</v>
      </c>
      <c r="AI836" s="1">
        <f t="shared" si="167"/>
        <v>1</v>
      </c>
      <c r="AJ836" s="1">
        <f>SUMXMY2(Z836:AI836, Occurrence!B$3:K$3)</f>
        <v>2</v>
      </c>
      <c r="AK836" s="1">
        <f t="shared" si="168"/>
        <v>8</v>
      </c>
    </row>
    <row r="837" spans="1:37">
      <c r="A837" s="1">
        <v>836</v>
      </c>
      <c r="B837" s="1">
        <v>4252835</v>
      </c>
      <c r="C837" s="6" t="s">
        <v>51</v>
      </c>
      <c r="D837" s="1">
        <v>0.1</v>
      </c>
      <c r="E837" s="1">
        <v>0.2</v>
      </c>
      <c r="F837" s="1">
        <v>0.1</v>
      </c>
      <c r="G837" s="1">
        <v>0.2</v>
      </c>
      <c r="H837" s="1">
        <v>0.4</v>
      </c>
      <c r="I837" s="1">
        <v>0</v>
      </c>
      <c r="J837" s="1">
        <v>0.62</v>
      </c>
      <c r="K837" s="1">
        <v>1</v>
      </c>
      <c r="L837" s="1">
        <v>0.25</v>
      </c>
      <c r="M837" s="1">
        <v>0.63</v>
      </c>
      <c r="N837" s="1">
        <f>(Occurrence!B$3-D837)^2</f>
        <v>1.0000000000000002E-2</v>
      </c>
      <c r="O837" s="1">
        <f>(Occurrence!C$3-E837)^2</f>
        <v>4.0000000000000008E-2</v>
      </c>
      <c r="P837" s="1">
        <f>(Occurrence!D$3-F837)^2</f>
        <v>0.81</v>
      </c>
      <c r="Q837" s="1">
        <f>(Occurrence!E$3-G837)^2</f>
        <v>0.64000000000000012</v>
      </c>
      <c r="R837" s="1">
        <f>(Occurrence!F$3-H837)^2</f>
        <v>0.16000000000000003</v>
      </c>
      <c r="S837" s="1">
        <f>(Occurrence!G$3-I837)^2</f>
        <v>0</v>
      </c>
      <c r="T837" s="1">
        <f>(Occurrence!H$3-J837)^2</f>
        <v>0.1444</v>
      </c>
      <c r="U837" s="1">
        <f>(Occurrence!I$3-K837)^2</f>
        <v>0</v>
      </c>
      <c r="V837" s="1">
        <f>(Occurrence!J$3-L837)^2</f>
        <v>6.25E-2</v>
      </c>
      <c r="W837" s="1">
        <f>(Occurrence!K$3-M837)^2</f>
        <v>0.13689999999999999</v>
      </c>
      <c r="X837" s="1">
        <f t="shared" si="157"/>
        <v>2.0038</v>
      </c>
      <c r="Z837" s="1">
        <f t="shared" si="158"/>
        <v>0</v>
      </c>
      <c r="AA837" s="1">
        <f t="shared" si="159"/>
        <v>0</v>
      </c>
      <c r="AB837" s="1">
        <f t="shared" si="160"/>
        <v>0</v>
      </c>
      <c r="AC837" s="1">
        <f t="shared" si="161"/>
        <v>0</v>
      </c>
      <c r="AD837" s="1">
        <f t="shared" si="162"/>
        <v>0</v>
      </c>
      <c r="AE837" s="1">
        <f t="shared" si="163"/>
        <v>0</v>
      </c>
      <c r="AF837" s="1">
        <f t="shared" si="164"/>
        <v>1</v>
      </c>
      <c r="AG837" s="1">
        <f t="shared" si="165"/>
        <v>1</v>
      </c>
      <c r="AH837" s="1">
        <f t="shared" si="166"/>
        <v>0</v>
      </c>
      <c r="AI837" s="1">
        <f t="shared" si="167"/>
        <v>1</v>
      </c>
      <c r="AJ837" s="1">
        <f>SUMXMY2(Z837:AI837, Occurrence!B$3:K$3)</f>
        <v>2</v>
      </c>
      <c r="AK837" s="1">
        <f t="shared" si="168"/>
        <v>8</v>
      </c>
    </row>
    <row r="838" spans="1:37">
      <c r="A838" s="1">
        <v>837</v>
      </c>
      <c r="B838" s="1">
        <v>4252836</v>
      </c>
      <c r="C838" s="6" t="s">
        <v>51</v>
      </c>
      <c r="D838" s="1">
        <v>0.2</v>
      </c>
      <c r="E838" s="1">
        <v>0.4</v>
      </c>
      <c r="F838" s="1">
        <v>0.3</v>
      </c>
      <c r="G838" s="1">
        <v>0.4</v>
      </c>
      <c r="H838" s="1">
        <v>0.5</v>
      </c>
      <c r="I838" s="1">
        <v>0.6</v>
      </c>
      <c r="J838" s="1">
        <v>0.5</v>
      </c>
      <c r="K838" s="1">
        <v>0.4</v>
      </c>
      <c r="L838" s="1">
        <v>0.7</v>
      </c>
      <c r="M838" s="1">
        <v>0.2</v>
      </c>
      <c r="N838" s="1">
        <f>(Occurrence!B$3-D838)^2</f>
        <v>4.0000000000000008E-2</v>
      </c>
      <c r="O838" s="1">
        <f>(Occurrence!C$3-E838)^2</f>
        <v>0.16000000000000003</v>
      </c>
      <c r="P838" s="1">
        <f>(Occurrence!D$3-F838)^2</f>
        <v>0.48999999999999994</v>
      </c>
      <c r="Q838" s="1">
        <f>(Occurrence!E$3-G838)^2</f>
        <v>0.36</v>
      </c>
      <c r="R838" s="1">
        <f>(Occurrence!F$3-H838)^2</f>
        <v>0.25</v>
      </c>
      <c r="S838" s="1">
        <f>(Occurrence!G$3-I838)^2</f>
        <v>0.36</v>
      </c>
      <c r="T838" s="1">
        <f>(Occurrence!H$3-J838)^2</f>
        <v>0.25</v>
      </c>
      <c r="U838" s="1">
        <f>(Occurrence!I$3-K838)^2</f>
        <v>0.36</v>
      </c>
      <c r="V838" s="1">
        <f>(Occurrence!J$3-L838)^2</f>
        <v>0.48999999999999994</v>
      </c>
      <c r="W838" s="1">
        <f>(Occurrence!K$3-M838)^2</f>
        <v>0.64000000000000012</v>
      </c>
      <c r="X838" s="1">
        <f t="shared" si="157"/>
        <v>3.3999999999999995</v>
      </c>
      <c r="Z838" s="1">
        <f t="shared" si="158"/>
        <v>0</v>
      </c>
      <c r="AA838" s="1">
        <f t="shared" si="159"/>
        <v>0</v>
      </c>
      <c r="AB838" s="1">
        <f t="shared" si="160"/>
        <v>0</v>
      </c>
      <c r="AC838" s="1">
        <f t="shared" si="161"/>
        <v>0</v>
      </c>
      <c r="AD838" s="1">
        <f t="shared" si="162"/>
        <v>1</v>
      </c>
      <c r="AE838" s="1">
        <f t="shared" si="163"/>
        <v>1</v>
      </c>
      <c r="AF838" s="1">
        <f t="shared" si="164"/>
        <v>1</v>
      </c>
      <c r="AG838" s="1">
        <f t="shared" si="165"/>
        <v>0</v>
      </c>
      <c r="AH838" s="1">
        <f t="shared" si="166"/>
        <v>1</v>
      </c>
      <c r="AI838" s="1">
        <f t="shared" si="167"/>
        <v>0</v>
      </c>
      <c r="AJ838" s="1">
        <f>SUMXMY2(Z838:AI838, Occurrence!B$3:K$3)</f>
        <v>7</v>
      </c>
      <c r="AK838" s="1">
        <f t="shared" si="168"/>
        <v>3</v>
      </c>
    </row>
    <row r="839" spans="1:37">
      <c r="A839" s="1">
        <v>838</v>
      </c>
      <c r="B839" s="1">
        <v>4252837</v>
      </c>
      <c r="C839" s="6" t="s">
        <v>51</v>
      </c>
      <c r="D839" s="1">
        <v>0.15</v>
      </c>
      <c r="E839" s="1">
        <v>0.2</v>
      </c>
      <c r="F839" s="1">
        <v>0.1</v>
      </c>
      <c r="G839" s="1">
        <v>0.35</v>
      </c>
      <c r="H839" s="1">
        <v>0.1</v>
      </c>
      <c r="I839" s="1">
        <v>0.28000000000000003</v>
      </c>
      <c r="J839" s="1">
        <v>0.32</v>
      </c>
      <c r="K839" s="1">
        <v>0.49</v>
      </c>
      <c r="L839" s="1">
        <v>0.22</v>
      </c>
      <c r="M839" s="1">
        <v>0.18</v>
      </c>
      <c r="N839" s="1">
        <f>(Occurrence!B$3-D839)^2</f>
        <v>2.2499999999999999E-2</v>
      </c>
      <c r="O839" s="1">
        <f>(Occurrence!C$3-E839)^2</f>
        <v>4.0000000000000008E-2</v>
      </c>
      <c r="P839" s="1">
        <f>(Occurrence!D$3-F839)^2</f>
        <v>0.81</v>
      </c>
      <c r="Q839" s="1">
        <f>(Occurrence!E$3-G839)^2</f>
        <v>0.42250000000000004</v>
      </c>
      <c r="R839" s="1">
        <f>(Occurrence!F$3-H839)^2</f>
        <v>1.0000000000000002E-2</v>
      </c>
      <c r="S839" s="1">
        <f>(Occurrence!G$3-I839)^2</f>
        <v>7.8400000000000011E-2</v>
      </c>
      <c r="T839" s="1">
        <f>(Occurrence!H$3-J839)^2</f>
        <v>0.46239999999999992</v>
      </c>
      <c r="U839" s="1">
        <f>(Occurrence!I$3-K839)^2</f>
        <v>0.2601</v>
      </c>
      <c r="V839" s="1">
        <f>(Occurrence!J$3-L839)^2</f>
        <v>4.8399999999999999E-2</v>
      </c>
      <c r="W839" s="1">
        <f>(Occurrence!K$3-M839)^2</f>
        <v>0.67240000000000011</v>
      </c>
      <c r="X839" s="1">
        <f t="shared" si="157"/>
        <v>2.8267000000000002</v>
      </c>
      <c r="Z839" s="1">
        <f t="shared" si="158"/>
        <v>0</v>
      </c>
      <c r="AA839" s="1">
        <f t="shared" si="159"/>
        <v>0</v>
      </c>
      <c r="AB839" s="1">
        <f t="shared" si="160"/>
        <v>0</v>
      </c>
      <c r="AC839" s="1">
        <f t="shared" si="161"/>
        <v>0</v>
      </c>
      <c r="AD839" s="1">
        <f t="shared" si="162"/>
        <v>0</v>
      </c>
      <c r="AE839" s="1">
        <f t="shared" si="163"/>
        <v>0</v>
      </c>
      <c r="AF839" s="1">
        <f t="shared" si="164"/>
        <v>0</v>
      </c>
      <c r="AG839" s="1">
        <f t="shared" si="165"/>
        <v>0</v>
      </c>
      <c r="AH839" s="1">
        <f t="shared" si="166"/>
        <v>0</v>
      </c>
      <c r="AI839" s="1">
        <f t="shared" si="167"/>
        <v>0</v>
      </c>
      <c r="AJ839" s="1">
        <f>SUMXMY2(Z839:AI839, Occurrence!B$3:K$3)</f>
        <v>5</v>
      </c>
      <c r="AK839" s="1">
        <f t="shared" si="168"/>
        <v>5</v>
      </c>
    </row>
    <row r="840" spans="1:37">
      <c r="A840" s="1">
        <v>839</v>
      </c>
      <c r="B840" s="1">
        <v>4252838</v>
      </c>
      <c r="C840" s="6" t="s">
        <v>51</v>
      </c>
      <c r="D840" s="1">
        <v>0.15010000000000001</v>
      </c>
      <c r="E840" s="1">
        <v>0.17860000000000001</v>
      </c>
      <c r="F840" s="1">
        <v>0.64680000000000004</v>
      </c>
      <c r="G840" s="1">
        <v>0.78169999999999995</v>
      </c>
      <c r="H840" s="1">
        <v>0.12</v>
      </c>
      <c r="I840" s="1">
        <v>0.25</v>
      </c>
      <c r="J840" s="1">
        <v>0.52</v>
      </c>
      <c r="K840" s="1">
        <v>0.78</v>
      </c>
      <c r="L840" s="1">
        <v>0.64</v>
      </c>
      <c r="M840" s="1">
        <v>0.45</v>
      </c>
      <c r="N840" s="1">
        <f>(Occurrence!B$3-D840)^2</f>
        <v>2.2530010000000003E-2</v>
      </c>
      <c r="O840" s="1">
        <f>(Occurrence!C$3-E840)^2</f>
        <v>3.1897960000000003E-2</v>
      </c>
      <c r="P840" s="1">
        <f>(Occurrence!D$3-F840)^2</f>
        <v>0.12475023999999997</v>
      </c>
      <c r="Q840" s="1">
        <f>(Occurrence!E$3-G840)^2</f>
        <v>4.7654890000000019E-2</v>
      </c>
      <c r="R840" s="1">
        <f>(Occurrence!F$3-H840)^2</f>
        <v>1.44E-2</v>
      </c>
      <c r="S840" s="1">
        <f>(Occurrence!G$3-I840)^2</f>
        <v>6.25E-2</v>
      </c>
      <c r="T840" s="1">
        <f>(Occurrence!H$3-J840)^2</f>
        <v>0.23039999999999999</v>
      </c>
      <c r="U840" s="1">
        <f>(Occurrence!I$3-K840)^2</f>
        <v>4.8399999999999992E-2</v>
      </c>
      <c r="V840" s="1">
        <f>(Occurrence!J$3-L840)^2</f>
        <v>0.40960000000000002</v>
      </c>
      <c r="W840" s="1">
        <f>(Occurrence!K$3-M840)^2</f>
        <v>0.30250000000000005</v>
      </c>
      <c r="X840" s="1">
        <f t="shared" si="157"/>
        <v>1.2946331</v>
      </c>
      <c r="Z840" s="1">
        <f t="shared" si="158"/>
        <v>0</v>
      </c>
      <c r="AA840" s="1">
        <f t="shared" si="159"/>
        <v>0</v>
      </c>
      <c r="AB840" s="1">
        <f t="shared" si="160"/>
        <v>1</v>
      </c>
      <c r="AC840" s="1">
        <f t="shared" si="161"/>
        <v>1</v>
      </c>
      <c r="AD840" s="1">
        <f t="shared" si="162"/>
        <v>0</v>
      </c>
      <c r="AE840" s="1">
        <f t="shared" si="163"/>
        <v>0</v>
      </c>
      <c r="AF840" s="1">
        <f t="shared" si="164"/>
        <v>1</v>
      </c>
      <c r="AG840" s="1">
        <f t="shared" si="165"/>
        <v>1</v>
      </c>
      <c r="AH840" s="1">
        <f t="shared" si="166"/>
        <v>1</v>
      </c>
      <c r="AI840" s="1">
        <f t="shared" si="167"/>
        <v>0</v>
      </c>
      <c r="AJ840" s="1">
        <f>SUMXMY2(Z840:AI840, Occurrence!B$3:K$3)</f>
        <v>2</v>
      </c>
      <c r="AK840" s="1">
        <f t="shared" si="168"/>
        <v>8</v>
      </c>
    </row>
    <row r="841" spans="1:37">
      <c r="A841" s="1">
        <v>840</v>
      </c>
      <c r="B841" s="1">
        <v>4252839</v>
      </c>
      <c r="C841" s="6" t="s">
        <v>51</v>
      </c>
      <c r="D841" s="1">
        <v>0.05</v>
      </c>
      <c r="E841" s="1">
        <v>0.1</v>
      </c>
      <c r="F841" s="1">
        <v>0.5</v>
      </c>
      <c r="G841" s="1">
        <v>0.85</v>
      </c>
      <c r="H841" s="1">
        <v>0.05</v>
      </c>
      <c r="I841" s="1">
        <v>0</v>
      </c>
      <c r="J841" s="1">
        <v>0.5</v>
      </c>
      <c r="K841" s="1">
        <v>1</v>
      </c>
      <c r="L841" s="1">
        <v>0.45</v>
      </c>
      <c r="M841" s="1">
        <v>0.5</v>
      </c>
      <c r="N841" s="1">
        <f>(Occurrence!B$3-D841)^2</f>
        <v>2.5000000000000005E-3</v>
      </c>
      <c r="O841" s="1">
        <f>(Occurrence!C$3-E841)^2</f>
        <v>1.0000000000000002E-2</v>
      </c>
      <c r="P841" s="1">
        <f>(Occurrence!D$3-F841)^2</f>
        <v>0.25</v>
      </c>
      <c r="Q841" s="1">
        <f>(Occurrence!E$3-G841)^2</f>
        <v>2.2500000000000006E-2</v>
      </c>
      <c r="R841" s="1">
        <f>(Occurrence!F$3-H841)^2</f>
        <v>2.5000000000000005E-3</v>
      </c>
      <c r="S841" s="1">
        <f>(Occurrence!G$3-I841)^2</f>
        <v>0</v>
      </c>
      <c r="T841" s="1">
        <f>(Occurrence!H$3-J841)^2</f>
        <v>0.25</v>
      </c>
      <c r="U841" s="1">
        <f>(Occurrence!I$3-K841)^2</f>
        <v>0</v>
      </c>
      <c r="V841" s="1">
        <f>(Occurrence!J$3-L841)^2</f>
        <v>0.20250000000000001</v>
      </c>
      <c r="W841" s="1">
        <f>(Occurrence!K$3-M841)^2</f>
        <v>0.25</v>
      </c>
      <c r="X841" s="1">
        <f t="shared" si="157"/>
        <v>0.9900000000000001</v>
      </c>
      <c r="Z841" s="1">
        <f t="shared" si="158"/>
        <v>0</v>
      </c>
      <c r="AA841" s="1">
        <f t="shared" si="159"/>
        <v>0</v>
      </c>
      <c r="AB841" s="1">
        <f t="shared" si="160"/>
        <v>1</v>
      </c>
      <c r="AC841" s="1">
        <f t="shared" si="161"/>
        <v>1</v>
      </c>
      <c r="AD841" s="1">
        <f t="shared" si="162"/>
        <v>0</v>
      </c>
      <c r="AE841" s="1">
        <f t="shared" si="163"/>
        <v>0</v>
      </c>
      <c r="AF841" s="1">
        <f t="shared" si="164"/>
        <v>1</v>
      </c>
      <c r="AG841" s="1">
        <f t="shared" si="165"/>
        <v>1</v>
      </c>
      <c r="AH841" s="1">
        <f t="shared" si="166"/>
        <v>0</v>
      </c>
      <c r="AI841" s="1">
        <f t="shared" si="167"/>
        <v>1</v>
      </c>
      <c r="AJ841" s="1">
        <f>SUMXMY2(Z841:AI841, Occurrence!B$3:K$3)</f>
        <v>0</v>
      </c>
      <c r="AK841" s="1">
        <f t="shared" si="168"/>
        <v>10</v>
      </c>
    </row>
    <row r="842" spans="1:37">
      <c r="A842" s="1">
        <v>841</v>
      </c>
      <c r="B842" s="1">
        <v>4252840</v>
      </c>
      <c r="C842" s="6" t="s">
        <v>51</v>
      </c>
      <c r="D842" s="1">
        <v>0.05</v>
      </c>
      <c r="E842" s="1">
        <v>0.4</v>
      </c>
      <c r="F842" s="1">
        <v>0.05</v>
      </c>
      <c r="G842" s="1">
        <v>0.4</v>
      </c>
      <c r="H842" s="1">
        <v>0.9</v>
      </c>
      <c r="I842" s="1">
        <v>0.3</v>
      </c>
      <c r="J842" s="1">
        <v>0.1</v>
      </c>
      <c r="K842" s="1">
        <v>0.8</v>
      </c>
      <c r="L842" s="1">
        <v>0.65</v>
      </c>
      <c r="M842" s="1">
        <v>0.3</v>
      </c>
      <c r="N842" s="1">
        <f>(Occurrence!B$3-D842)^2</f>
        <v>2.5000000000000005E-3</v>
      </c>
      <c r="O842" s="1">
        <f>(Occurrence!C$3-E842)^2</f>
        <v>0.16000000000000003</v>
      </c>
      <c r="P842" s="1">
        <f>(Occurrence!D$3-F842)^2</f>
        <v>0.90249999999999997</v>
      </c>
      <c r="Q842" s="1">
        <f>(Occurrence!E$3-G842)^2</f>
        <v>0.36</v>
      </c>
      <c r="R842" s="1">
        <f>(Occurrence!F$3-H842)^2</f>
        <v>0.81</v>
      </c>
      <c r="S842" s="1">
        <f>(Occurrence!G$3-I842)^2</f>
        <v>0.09</v>
      </c>
      <c r="T842" s="1">
        <f>(Occurrence!H$3-J842)^2</f>
        <v>0.81</v>
      </c>
      <c r="U842" s="1">
        <f>(Occurrence!I$3-K842)^2</f>
        <v>3.999999999999998E-2</v>
      </c>
      <c r="V842" s="1">
        <f>(Occurrence!J$3-L842)^2</f>
        <v>0.42250000000000004</v>
      </c>
      <c r="W842" s="1">
        <f>(Occurrence!K$3-M842)^2</f>
        <v>0.48999999999999994</v>
      </c>
      <c r="X842" s="1">
        <f t="shared" si="157"/>
        <v>4.0874999999999995</v>
      </c>
      <c r="Z842" s="1">
        <f t="shared" si="158"/>
        <v>0</v>
      </c>
      <c r="AA842" s="1">
        <f t="shared" si="159"/>
        <v>0</v>
      </c>
      <c r="AB842" s="1">
        <f t="shared" si="160"/>
        <v>0</v>
      </c>
      <c r="AC842" s="1">
        <f t="shared" si="161"/>
        <v>0</v>
      </c>
      <c r="AD842" s="1">
        <f t="shared" si="162"/>
        <v>1</v>
      </c>
      <c r="AE842" s="1">
        <f t="shared" si="163"/>
        <v>0</v>
      </c>
      <c r="AF842" s="1">
        <f t="shared" si="164"/>
        <v>0</v>
      </c>
      <c r="AG842" s="1">
        <f t="shared" si="165"/>
        <v>1</v>
      </c>
      <c r="AH842" s="1">
        <f t="shared" si="166"/>
        <v>1</v>
      </c>
      <c r="AI842" s="1">
        <f t="shared" si="167"/>
        <v>0</v>
      </c>
      <c r="AJ842" s="1">
        <f>SUMXMY2(Z842:AI842, Occurrence!B$3:K$3)</f>
        <v>6</v>
      </c>
      <c r="AK842" s="1">
        <f t="shared" si="168"/>
        <v>4</v>
      </c>
    </row>
    <row r="843" spans="1:37">
      <c r="A843" s="1">
        <v>842</v>
      </c>
      <c r="B843" s="1">
        <v>4252841</v>
      </c>
      <c r="C843" s="6" t="s">
        <v>51</v>
      </c>
      <c r="D843" s="1">
        <v>0.05</v>
      </c>
      <c r="E843" s="1">
        <v>0.1</v>
      </c>
      <c r="F843" s="1">
        <v>0.05</v>
      </c>
      <c r="G843" s="1">
        <v>0.1</v>
      </c>
      <c r="H843" s="1">
        <v>0.03</v>
      </c>
      <c r="I843" s="1">
        <v>0.02</v>
      </c>
      <c r="J843" s="1">
        <v>0.03</v>
      </c>
      <c r="K843" s="1">
        <v>0.01</v>
      </c>
      <c r="L843" s="1">
        <v>7.0000000000000007E-2</v>
      </c>
      <c r="M843" s="1">
        <v>0.06</v>
      </c>
      <c r="N843" s="1">
        <f>(Occurrence!B$3-D843)^2</f>
        <v>2.5000000000000005E-3</v>
      </c>
      <c r="O843" s="1">
        <f>(Occurrence!C$3-E843)^2</f>
        <v>1.0000000000000002E-2</v>
      </c>
      <c r="P843" s="1">
        <f>(Occurrence!D$3-F843)^2</f>
        <v>0.90249999999999997</v>
      </c>
      <c r="Q843" s="1">
        <f>(Occurrence!E$3-G843)^2</f>
        <v>0.81</v>
      </c>
      <c r="R843" s="1">
        <f>(Occurrence!F$3-H843)^2</f>
        <v>8.9999999999999998E-4</v>
      </c>
      <c r="S843" s="1">
        <f>(Occurrence!G$3-I843)^2</f>
        <v>4.0000000000000002E-4</v>
      </c>
      <c r="T843" s="1">
        <f>(Occurrence!H$3-J843)^2</f>
        <v>0.94089999999999996</v>
      </c>
      <c r="U843" s="1">
        <f>(Occurrence!I$3-K843)^2</f>
        <v>0.98009999999999997</v>
      </c>
      <c r="V843" s="1">
        <f>(Occurrence!J$3-L843)^2</f>
        <v>4.9000000000000007E-3</v>
      </c>
      <c r="W843" s="1">
        <f>(Occurrence!K$3-M843)^2</f>
        <v>0.88359999999999994</v>
      </c>
      <c r="X843" s="1">
        <f t="shared" si="157"/>
        <v>4.5358000000000001</v>
      </c>
      <c r="Z843" s="1">
        <f t="shared" si="158"/>
        <v>0</v>
      </c>
      <c r="AA843" s="1">
        <f t="shared" si="159"/>
        <v>0</v>
      </c>
      <c r="AB843" s="1">
        <f t="shared" si="160"/>
        <v>0</v>
      </c>
      <c r="AC843" s="1">
        <f t="shared" si="161"/>
        <v>0</v>
      </c>
      <c r="AD843" s="1">
        <f t="shared" si="162"/>
        <v>0</v>
      </c>
      <c r="AE843" s="1">
        <f t="shared" si="163"/>
        <v>0</v>
      </c>
      <c r="AF843" s="1">
        <f t="shared" si="164"/>
        <v>0</v>
      </c>
      <c r="AG843" s="1">
        <f t="shared" si="165"/>
        <v>0</v>
      </c>
      <c r="AH843" s="1">
        <f t="shared" si="166"/>
        <v>0</v>
      </c>
      <c r="AI843" s="1">
        <f t="shared" si="167"/>
        <v>0</v>
      </c>
      <c r="AJ843" s="1">
        <f>SUMXMY2(Z843:AI843, Occurrence!B$3:K$3)</f>
        <v>5</v>
      </c>
      <c r="AK843" s="1">
        <f t="shared" si="168"/>
        <v>5</v>
      </c>
    </row>
    <row r="844" spans="1:37">
      <c r="A844" s="1">
        <v>843</v>
      </c>
      <c r="B844" s="1">
        <v>4252842</v>
      </c>
      <c r="C844" s="6" t="s">
        <v>51</v>
      </c>
      <c r="D844" s="1">
        <v>0.4</v>
      </c>
      <c r="E844" s="1">
        <v>0.5</v>
      </c>
      <c r="F844" s="1">
        <v>0.4</v>
      </c>
      <c r="G844" s="1">
        <v>0.5</v>
      </c>
      <c r="H844" s="1">
        <v>0.2</v>
      </c>
      <c r="I844" s="1">
        <v>0.4</v>
      </c>
      <c r="J844" s="1">
        <v>0.6</v>
      </c>
      <c r="K844" s="1">
        <v>0.5</v>
      </c>
      <c r="L844" s="1">
        <v>0.6</v>
      </c>
      <c r="M844" s="1">
        <v>0.7</v>
      </c>
      <c r="N844" s="1">
        <f>(Occurrence!B$3-D844)^2</f>
        <v>0.16000000000000003</v>
      </c>
      <c r="O844" s="1">
        <f>(Occurrence!C$3-E844)^2</f>
        <v>0.25</v>
      </c>
      <c r="P844" s="1">
        <f>(Occurrence!D$3-F844)^2</f>
        <v>0.36</v>
      </c>
      <c r="Q844" s="1">
        <f>(Occurrence!E$3-G844)^2</f>
        <v>0.25</v>
      </c>
      <c r="R844" s="1">
        <f>(Occurrence!F$3-H844)^2</f>
        <v>4.0000000000000008E-2</v>
      </c>
      <c r="S844" s="1">
        <f>(Occurrence!G$3-I844)^2</f>
        <v>0.16000000000000003</v>
      </c>
      <c r="T844" s="1">
        <f>(Occurrence!H$3-J844)^2</f>
        <v>0.16000000000000003</v>
      </c>
      <c r="U844" s="1">
        <f>(Occurrence!I$3-K844)^2</f>
        <v>0.25</v>
      </c>
      <c r="V844" s="1">
        <f>(Occurrence!J$3-L844)^2</f>
        <v>0.36</v>
      </c>
      <c r="W844" s="1">
        <f>(Occurrence!K$3-M844)^2</f>
        <v>9.0000000000000024E-2</v>
      </c>
      <c r="X844" s="1">
        <f t="shared" si="157"/>
        <v>2.08</v>
      </c>
      <c r="Z844" s="1">
        <f t="shared" si="158"/>
        <v>0</v>
      </c>
      <c r="AA844" s="1">
        <f t="shared" si="159"/>
        <v>1</v>
      </c>
      <c r="AB844" s="1">
        <f t="shared" si="160"/>
        <v>0</v>
      </c>
      <c r="AC844" s="1">
        <f t="shared" si="161"/>
        <v>1</v>
      </c>
      <c r="AD844" s="1">
        <f t="shared" si="162"/>
        <v>0</v>
      </c>
      <c r="AE844" s="1">
        <f t="shared" si="163"/>
        <v>0</v>
      </c>
      <c r="AF844" s="1">
        <f t="shared" si="164"/>
        <v>1</v>
      </c>
      <c r="AG844" s="1">
        <f t="shared" si="165"/>
        <v>1</v>
      </c>
      <c r="AH844" s="1">
        <f t="shared" si="166"/>
        <v>1</v>
      </c>
      <c r="AI844" s="1">
        <f t="shared" si="167"/>
        <v>1</v>
      </c>
      <c r="AJ844" s="1">
        <f>SUMXMY2(Z844:AI844, Occurrence!B$3:K$3)</f>
        <v>3</v>
      </c>
      <c r="AK844" s="1">
        <f t="shared" si="168"/>
        <v>7</v>
      </c>
    </row>
    <row r="845" spans="1:37">
      <c r="A845" s="1">
        <v>844</v>
      </c>
      <c r="B845" s="1">
        <v>4252843</v>
      </c>
      <c r="C845" s="6" t="s">
        <v>51</v>
      </c>
      <c r="D845" s="1">
        <v>0.2</v>
      </c>
      <c r="E845" s="1">
        <v>0.4</v>
      </c>
      <c r="F845" s="1">
        <v>0.3</v>
      </c>
      <c r="G845" s="1">
        <v>0.4</v>
      </c>
      <c r="H845" s="1">
        <v>0.5</v>
      </c>
      <c r="I845" s="1">
        <v>0.6</v>
      </c>
      <c r="J845" s="1">
        <v>1</v>
      </c>
      <c r="K845" s="1">
        <v>0.4</v>
      </c>
      <c r="L845" s="1">
        <v>0.3</v>
      </c>
      <c r="M845" s="1">
        <v>0.7</v>
      </c>
      <c r="N845" s="1">
        <f>(Occurrence!B$3-D845)^2</f>
        <v>4.0000000000000008E-2</v>
      </c>
      <c r="O845" s="1">
        <f>(Occurrence!C$3-E845)^2</f>
        <v>0.16000000000000003</v>
      </c>
      <c r="P845" s="1">
        <f>(Occurrence!D$3-F845)^2</f>
        <v>0.48999999999999994</v>
      </c>
      <c r="Q845" s="1">
        <f>(Occurrence!E$3-G845)^2</f>
        <v>0.36</v>
      </c>
      <c r="R845" s="1">
        <f>(Occurrence!F$3-H845)^2</f>
        <v>0.25</v>
      </c>
      <c r="S845" s="1">
        <f>(Occurrence!G$3-I845)^2</f>
        <v>0.36</v>
      </c>
      <c r="T845" s="1">
        <f>(Occurrence!H$3-J845)^2</f>
        <v>0</v>
      </c>
      <c r="U845" s="1">
        <f>(Occurrence!I$3-K845)^2</f>
        <v>0.36</v>
      </c>
      <c r="V845" s="1">
        <f>(Occurrence!J$3-L845)^2</f>
        <v>0.09</v>
      </c>
      <c r="W845" s="1">
        <f>(Occurrence!K$3-M845)^2</f>
        <v>9.0000000000000024E-2</v>
      </c>
      <c r="X845" s="1">
        <f t="shared" si="157"/>
        <v>2.1999999999999993</v>
      </c>
      <c r="Z845" s="1">
        <f t="shared" si="158"/>
        <v>0</v>
      </c>
      <c r="AA845" s="1">
        <f t="shared" si="159"/>
        <v>0</v>
      </c>
      <c r="AB845" s="1">
        <f t="shared" si="160"/>
        <v>0</v>
      </c>
      <c r="AC845" s="1">
        <f t="shared" si="161"/>
        <v>0</v>
      </c>
      <c r="AD845" s="1">
        <f t="shared" si="162"/>
        <v>1</v>
      </c>
      <c r="AE845" s="1">
        <f t="shared" si="163"/>
        <v>1</v>
      </c>
      <c r="AF845" s="1">
        <f t="shared" si="164"/>
        <v>1</v>
      </c>
      <c r="AG845" s="1">
        <f t="shared" si="165"/>
        <v>0</v>
      </c>
      <c r="AH845" s="1">
        <f t="shared" si="166"/>
        <v>0</v>
      </c>
      <c r="AI845" s="1">
        <f t="shared" si="167"/>
        <v>1</v>
      </c>
      <c r="AJ845" s="1">
        <f>SUMXMY2(Z845:AI845, Occurrence!B$3:K$3)</f>
        <v>5</v>
      </c>
      <c r="AK845" s="1">
        <f t="shared" si="168"/>
        <v>5</v>
      </c>
    </row>
    <row r="846" spans="1:37">
      <c r="A846" s="1">
        <v>845</v>
      </c>
      <c r="B846" s="1">
        <v>4252844</v>
      </c>
      <c r="C846" s="6" t="s">
        <v>51</v>
      </c>
      <c r="D846" s="1">
        <v>0.5</v>
      </c>
      <c r="E846" s="1">
        <v>0.6</v>
      </c>
      <c r="F846" s="1">
        <v>0.5</v>
      </c>
      <c r="G846" s="1">
        <v>0.4</v>
      </c>
      <c r="H846" s="1">
        <v>0.25</v>
      </c>
      <c r="I846" s="1">
        <v>0.2</v>
      </c>
      <c r="J846" s="1">
        <v>0.12</v>
      </c>
      <c r="K846" s="1">
        <v>0.04</v>
      </c>
      <c r="L846" s="1">
        <v>7.0000000000000007E-2</v>
      </c>
      <c r="M846" s="1">
        <v>0.09</v>
      </c>
      <c r="N846" s="1">
        <f>(Occurrence!B$3-D846)^2</f>
        <v>0.25</v>
      </c>
      <c r="O846" s="1">
        <f>(Occurrence!C$3-E846)^2</f>
        <v>0.36</v>
      </c>
      <c r="P846" s="1">
        <f>(Occurrence!D$3-F846)^2</f>
        <v>0.25</v>
      </c>
      <c r="Q846" s="1">
        <f>(Occurrence!E$3-G846)^2</f>
        <v>0.36</v>
      </c>
      <c r="R846" s="1">
        <f>(Occurrence!F$3-H846)^2</f>
        <v>6.25E-2</v>
      </c>
      <c r="S846" s="1">
        <f>(Occurrence!G$3-I846)^2</f>
        <v>4.0000000000000008E-2</v>
      </c>
      <c r="T846" s="1">
        <f>(Occurrence!H$3-J846)^2</f>
        <v>0.77439999999999998</v>
      </c>
      <c r="U846" s="1">
        <f>(Occurrence!I$3-K846)^2</f>
        <v>0.92159999999999997</v>
      </c>
      <c r="V846" s="1">
        <f>(Occurrence!J$3-L846)^2</f>
        <v>4.9000000000000007E-3</v>
      </c>
      <c r="W846" s="1">
        <f>(Occurrence!K$3-M846)^2</f>
        <v>0.82810000000000006</v>
      </c>
      <c r="X846" s="1">
        <f t="shared" si="157"/>
        <v>3.8514999999999997</v>
      </c>
      <c r="Z846" s="1">
        <f t="shared" si="158"/>
        <v>1</v>
      </c>
      <c r="AA846" s="1">
        <f t="shared" si="159"/>
        <v>1</v>
      </c>
      <c r="AB846" s="1">
        <f t="shared" si="160"/>
        <v>1</v>
      </c>
      <c r="AC846" s="1">
        <f t="shared" si="161"/>
        <v>0</v>
      </c>
      <c r="AD846" s="1">
        <f t="shared" si="162"/>
        <v>0</v>
      </c>
      <c r="AE846" s="1">
        <f t="shared" si="163"/>
        <v>0</v>
      </c>
      <c r="AF846" s="1">
        <f t="shared" si="164"/>
        <v>0</v>
      </c>
      <c r="AG846" s="1">
        <f t="shared" si="165"/>
        <v>0</v>
      </c>
      <c r="AH846" s="1">
        <f t="shared" si="166"/>
        <v>0</v>
      </c>
      <c r="AI846" s="1">
        <f t="shared" si="167"/>
        <v>0</v>
      </c>
      <c r="AJ846" s="1">
        <f>SUMXMY2(Z846:AI846, Occurrence!B$3:K$3)</f>
        <v>6</v>
      </c>
      <c r="AK846" s="1">
        <f t="shared" si="168"/>
        <v>4</v>
      </c>
    </row>
    <row r="847" spans="1:37">
      <c r="A847" s="1">
        <v>846</v>
      </c>
      <c r="B847" s="1">
        <v>4252845</v>
      </c>
      <c r="C847" s="6" t="s">
        <v>51</v>
      </c>
      <c r="D847" s="1">
        <v>0.3</v>
      </c>
      <c r="E847" s="1">
        <v>0.39</v>
      </c>
      <c r="F847" s="1">
        <v>0.3</v>
      </c>
      <c r="G847" s="1">
        <v>0.25</v>
      </c>
      <c r="H847" s="1">
        <v>0.6</v>
      </c>
      <c r="I847" s="1">
        <v>0.55000000000000004</v>
      </c>
      <c r="J847" s="1">
        <v>0.3</v>
      </c>
      <c r="K847" s="1">
        <v>0.45</v>
      </c>
      <c r="L847" s="1">
        <v>0.35</v>
      </c>
      <c r="M847" s="1">
        <v>0.2</v>
      </c>
      <c r="N847" s="1">
        <f>(Occurrence!B$3-D847)^2</f>
        <v>0.09</v>
      </c>
      <c r="O847" s="1">
        <f>(Occurrence!C$3-E847)^2</f>
        <v>0.15210000000000001</v>
      </c>
      <c r="P847" s="1">
        <f>(Occurrence!D$3-F847)^2</f>
        <v>0.48999999999999994</v>
      </c>
      <c r="Q847" s="1">
        <f>(Occurrence!E$3-G847)^2</f>
        <v>0.5625</v>
      </c>
      <c r="R847" s="1">
        <f>(Occurrence!F$3-H847)^2</f>
        <v>0.36</v>
      </c>
      <c r="S847" s="1">
        <f>(Occurrence!G$3-I847)^2</f>
        <v>0.30250000000000005</v>
      </c>
      <c r="T847" s="1">
        <f>(Occurrence!H$3-J847)^2</f>
        <v>0.48999999999999994</v>
      </c>
      <c r="U847" s="1">
        <f>(Occurrence!I$3-K847)^2</f>
        <v>0.30250000000000005</v>
      </c>
      <c r="V847" s="1">
        <f>(Occurrence!J$3-L847)^2</f>
        <v>0.12249999999999998</v>
      </c>
      <c r="W847" s="1">
        <f>(Occurrence!K$3-M847)^2</f>
        <v>0.64000000000000012</v>
      </c>
      <c r="X847" s="1">
        <f t="shared" si="157"/>
        <v>3.5121000000000002</v>
      </c>
      <c r="Z847" s="1">
        <f t="shared" si="158"/>
        <v>0</v>
      </c>
      <c r="AA847" s="1">
        <f t="shared" si="159"/>
        <v>0</v>
      </c>
      <c r="AB847" s="1">
        <f t="shared" si="160"/>
        <v>0</v>
      </c>
      <c r="AC847" s="1">
        <f t="shared" si="161"/>
        <v>0</v>
      </c>
      <c r="AD847" s="1">
        <f t="shared" si="162"/>
        <v>1</v>
      </c>
      <c r="AE847" s="1">
        <f t="shared" si="163"/>
        <v>1</v>
      </c>
      <c r="AF847" s="1">
        <f t="shared" si="164"/>
        <v>0</v>
      </c>
      <c r="AG847" s="1">
        <f t="shared" si="165"/>
        <v>0</v>
      </c>
      <c r="AH847" s="1">
        <f t="shared" si="166"/>
        <v>0</v>
      </c>
      <c r="AI847" s="1">
        <f t="shared" si="167"/>
        <v>0</v>
      </c>
      <c r="AJ847" s="1">
        <f>SUMXMY2(Z847:AI847, Occurrence!B$3:K$3)</f>
        <v>7</v>
      </c>
      <c r="AK847" s="1">
        <f t="shared" si="168"/>
        <v>3</v>
      </c>
    </row>
    <row r="848" spans="1:37">
      <c r="A848" s="1">
        <v>847</v>
      </c>
      <c r="B848" s="1">
        <v>4252846</v>
      </c>
      <c r="C848" s="6" t="s">
        <v>51</v>
      </c>
      <c r="D848" s="1">
        <v>0.35</v>
      </c>
      <c r="E848" s="1">
        <v>0.45</v>
      </c>
      <c r="F848" s="1">
        <v>0.05</v>
      </c>
      <c r="G848" s="1">
        <v>0.2</v>
      </c>
      <c r="H848" s="1">
        <v>0.6</v>
      </c>
      <c r="I848" s="1">
        <v>0.4</v>
      </c>
      <c r="J848" s="1">
        <v>0.2</v>
      </c>
      <c r="K848" s="1">
        <v>0.9</v>
      </c>
      <c r="L848" s="1">
        <v>0.85</v>
      </c>
      <c r="M848" s="1">
        <v>0.96</v>
      </c>
      <c r="N848" s="1">
        <f>(Occurrence!B$3-D848)^2</f>
        <v>0.12249999999999998</v>
      </c>
      <c r="O848" s="1">
        <f>(Occurrence!C$3-E848)^2</f>
        <v>0.20250000000000001</v>
      </c>
      <c r="P848" s="1">
        <f>(Occurrence!D$3-F848)^2</f>
        <v>0.90249999999999997</v>
      </c>
      <c r="Q848" s="1">
        <f>(Occurrence!E$3-G848)^2</f>
        <v>0.64000000000000012</v>
      </c>
      <c r="R848" s="1">
        <f>(Occurrence!F$3-H848)^2</f>
        <v>0.36</v>
      </c>
      <c r="S848" s="1">
        <f>(Occurrence!G$3-I848)^2</f>
        <v>0.16000000000000003</v>
      </c>
      <c r="T848" s="1">
        <f>(Occurrence!H$3-J848)^2</f>
        <v>0.64000000000000012</v>
      </c>
      <c r="U848" s="1">
        <f>(Occurrence!I$3-K848)^2</f>
        <v>9.999999999999995E-3</v>
      </c>
      <c r="V848" s="1">
        <f>(Occurrence!J$3-L848)^2</f>
        <v>0.72249999999999992</v>
      </c>
      <c r="W848" s="1">
        <f>(Occurrence!K$3-M848)^2</f>
        <v>1.6000000000000029E-3</v>
      </c>
      <c r="X848" s="1">
        <f t="shared" si="157"/>
        <v>3.7615999999999996</v>
      </c>
      <c r="Z848" s="1">
        <f t="shared" si="158"/>
        <v>0</v>
      </c>
      <c r="AA848" s="1">
        <f t="shared" si="159"/>
        <v>0</v>
      </c>
      <c r="AB848" s="1">
        <f t="shared" si="160"/>
        <v>0</v>
      </c>
      <c r="AC848" s="1">
        <f t="shared" si="161"/>
        <v>0</v>
      </c>
      <c r="AD848" s="1">
        <f t="shared" si="162"/>
        <v>1</v>
      </c>
      <c r="AE848" s="1">
        <f t="shared" si="163"/>
        <v>0</v>
      </c>
      <c r="AF848" s="1">
        <f t="shared" si="164"/>
        <v>0</v>
      </c>
      <c r="AG848" s="1">
        <f t="shared" si="165"/>
        <v>1</v>
      </c>
      <c r="AH848" s="1">
        <f t="shared" si="166"/>
        <v>1</v>
      </c>
      <c r="AI848" s="1">
        <f t="shared" si="167"/>
        <v>1</v>
      </c>
      <c r="AJ848" s="1">
        <f>SUMXMY2(Z848:AI848, Occurrence!B$3:K$3)</f>
        <v>5</v>
      </c>
      <c r="AK848" s="1">
        <f t="shared" si="168"/>
        <v>5</v>
      </c>
    </row>
    <row r="849" spans="1:37">
      <c r="A849" s="1">
        <v>848</v>
      </c>
      <c r="B849" s="1">
        <v>4252847</v>
      </c>
      <c r="C849" s="6" t="s">
        <v>51</v>
      </c>
      <c r="D849" s="1">
        <v>0.35</v>
      </c>
      <c r="E849" s="1">
        <v>0.45</v>
      </c>
      <c r="F849" s="1">
        <v>0.05</v>
      </c>
      <c r="G849" s="1">
        <v>0.2</v>
      </c>
      <c r="H849" s="1">
        <v>0.6</v>
      </c>
      <c r="I849" s="1">
        <v>0.4</v>
      </c>
      <c r="J849" s="1">
        <v>0.2</v>
      </c>
      <c r="K849" s="1">
        <v>0.9</v>
      </c>
      <c r="L849" s="1">
        <v>0.8</v>
      </c>
      <c r="M849" s="1">
        <v>0.96</v>
      </c>
      <c r="N849" s="1">
        <f>(Occurrence!B$3-D849)^2</f>
        <v>0.12249999999999998</v>
      </c>
      <c r="O849" s="1">
        <f>(Occurrence!C$3-E849)^2</f>
        <v>0.20250000000000001</v>
      </c>
      <c r="P849" s="1">
        <f>(Occurrence!D$3-F849)^2</f>
        <v>0.90249999999999997</v>
      </c>
      <c r="Q849" s="1">
        <f>(Occurrence!E$3-G849)^2</f>
        <v>0.64000000000000012</v>
      </c>
      <c r="R849" s="1">
        <f>(Occurrence!F$3-H849)^2</f>
        <v>0.36</v>
      </c>
      <c r="S849" s="1">
        <f>(Occurrence!G$3-I849)^2</f>
        <v>0.16000000000000003</v>
      </c>
      <c r="T849" s="1">
        <f>(Occurrence!H$3-J849)^2</f>
        <v>0.64000000000000012</v>
      </c>
      <c r="U849" s="1">
        <f>(Occurrence!I$3-K849)^2</f>
        <v>9.999999999999995E-3</v>
      </c>
      <c r="V849" s="1">
        <f>(Occurrence!J$3-L849)^2</f>
        <v>0.64000000000000012</v>
      </c>
      <c r="W849" s="1">
        <f>(Occurrence!K$3-M849)^2</f>
        <v>1.6000000000000029E-3</v>
      </c>
      <c r="X849" s="1">
        <f t="shared" si="157"/>
        <v>3.6791</v>
      </c>
      <c r="Z849" s="1">
        <f t="shared" si="158"/>
        <v>0</v>
      </c>
      <c r="AA849" s="1">
        <f t="shared" si="159"/>
        <v>0</v>
      </c>
      <c r="AB849" s="1">
        <f t="shared" si="160"/>
        <v>0</v>
      </c>
      <c r="AC849" s="1">
        <f t="shared" si="161"/>
        <v>0</v>
      </c>
      <c r="AD849" s="1">
        <f t="shared" si="162"/>
        <v>1</v>
      </c>
      <c r="AE849" s="1">
        <f t="shared" si="163"/>
        <v>0</v>
      </c>
      <c r="AF849" s="1">
        <f t="shared" si="164"/>
        <v>0</v>
      </c>
      <c r="AG849" s="1">
        <f t="shared" si="165"/>
        <v>1</v>
      </c>
      <c r="AH849" s="1">
        <f t="shared" si="166"/>
        <v>1</v>
      </c>
      <c r="AI849" s="1">
        <f t="shared" si="167"/>
        <v>1</v>
      </c>
      <c r="AJ849" s="1">
        <f>SUMXMY2(Z849:AI849, Occurrence!B$3:K$3)</f>
        <v>5</v>
      </c>
      <c r="AK849" s="1">
        <f t="shared" si="168"/>
        <v>5</v>
      </c>
    </row>
    <row r="850" spans="1:37">
      <c r="A850" s="1">
        <v>849</v>
      </c>
      <c r="B850" s="1">
        <v>4252848</v>
      </c>
      <c r="C850" s="6" t="s">
        <v>51</v>
      </c>
      <c r="D850" s="1">
        <v>0.8</v>
      </c>
      <c r="E850" s="1">
        <v>0.35</v>
      </c>
      <c r="F850" s="1">
        <v>0.65</v>
      </c>
      <c r="G850" s="1">
        <v>0.9</v>
      </c>
      <c r="H850" s="1">
        <v>0.95</v>
      </c>
      <c r="I850" s="1">
        <v>0.65</v>
      </c>
      <c r="J850" s="1">
        <v>0.85</v>
      </c>
      <c r="K850" s="1">
        <v>0.56000000000000005</v>
      </c>
      <c r="L850" s="1">
        <v>0.45</v>
      </c>
      <c r="M850" s="1">
        <v>0.4</v>
      </c>
      <c r="N850" s="1">
        <f>(Occurrence!B$3-D850)^2</f>
        <v>0.64000000000000012</v>
      </c>
      <c r="O850" s="1">
        <f>(Occurrence!C$3-E850)^2</f>
        <v>0.12249999999999998</v>
      </c>
      <c r="P850" s="1">
        <f>(Occurrence!D$3-F850)^2</f>
        <v>0.12249999999999998</v>
      </c>
      <c r="Q850" s="1">
        <f>(Occurrence!E$3-G850)^2</f>
        <v>9.999999999999995E-3</v>
      </c>
      <c r="R850" s="1">
        <f>(Occurrence!F$3-H850)^2</f>
        <v>0.90249999999999997</v>
      </c>
      <c r="S850" s="1">
        <f>(Occurrence!G$3-I850)^2</f>
        <v>0.42250000000000004</v>
      </c>
      <c r="T850" s="1">
        <f>(Occurrence!H$3-J850)^2</f>
        <v>2.2500000000000006E-2</v>
      </c>
      <c r="U850" s="1">
        <f>(Occurrence!I$3-K850)^2</f>
        <v>0.19359999999999997</v>
      </c>
      <c r="V850" s="1">
        <f>(Occurrence!J$3-L850)^2</f>
        <v>0.20250000000000001</v>
      </c>
      <c r="W850" s="1">
        <f>(Occurrence!K$3-M850)^2</f>
        <v>0.36</v>
      </c>
      <c r="X850" s="1">
        <f t="shared" si="157"/>
        <v>2.9985999999999997</v>
      </c>
      <c r="Z850" s="1">
        <f t="shared" si="158"/>
        <v>1</v>
      </c>
      <c r="AA850" s="1">
        <f t="shared" si="159"/>
        <v>0</v>
      </c>
      <c r="AB850" s="1">
        <f t="shared" si="160"/>
        <v>1</v>
      </c>
      <c r="AC850" s="1">
        <f t="shared" si="161"/>
        <v>1</v>
      </c>
      <c r="AD850" s="1">
        <f t="shared" si="162"/>
        <v>1</v>
      </c>
      <c r="AE850" s="1">
        <f t="shared" si="163"/>
        <v>1</v>
      </c>
      <c r="AF850" s="1">
        <f t="shared" si="164"/>
        <v>1</v>
      </c>
      <c r="AG850" s="1">
        <f t="shared" si="165"/>
        <v>1</v>
      </c>
      <c r="AH850" s="1">
        <f t="shared" si="166"/>
        <v>0</v>
      </c>
      <c r="AI850" s="1">
        <f t="shared" si="167"/>
        <v>0</v>
      </c>
      <c r="AJ850" s="1">
        <f>SUMXMY2(Z850:AI850, Occurrence!B$3:K$3)</f>
        <v>4</v>
      </c>
      <c r="AK850" s="1">
        <f t="shared" si="168"/>
        <v>6</v>
      </c>
    </row>
    <row r="851" spans="1:37">
      <c r="A851" s="1">
        <v>850</v>
      </c>
      <c r="B851" s="1">
        <v>4252849</v>
      </c>
      <c r="C851" s="6" t="s">
        <v>51</v>
      </c>
      <c r="D851" s="1">
        <v>0.4</v>
      </c>
      <c r="E851" s="1">
        <v>0.6</v>
      </c>
      <c r="F851" s="1">
        <v>0.1</v>
      </c>
      <c r="G851" s="1">
        <v>0.2</v>
      </c>
      <c r="H851" s="1">
        <v>0.5</v>
      </c>
      <c r="I851" s="1">
        <v>0.01</v>
      </c>
      <c r="J851" s="1">
        <v>0.1</v>
      </c>
      <c r="K851" s="1">
        <v>0.9</v>
      </c>
      <c r="L851" s="1">
        <v>0.2</v>
      </c>
      <c r="M851" s="1">
        <v>0.8</v>
      </c>
      <c r="N851" s="1">
        <f>(Occurrence!B$3-D851)^2</f>
        <v>0.16000000000000003</v>
      </c>
      <c r="O851" s="1">
        <f>(Occurrence!C$3-E851)^2</f>
        <v>0.36</v>
      </c>
      <c r="P851" s="1">
        <f>(Occurrence!D$3-F851)^2</f>
        <v>0.81</v>
      </c>
      <c r="Q851" s="1">
        <f>(Occurrence!E$3-G851)^2</f>
        <v>0.64000000000000012</v>
      </c>
      <c r="R851" s="1">
        <f>(Occurrence!F$3-H851)^2</f>
        <v>0.25</v>
      </c>
      <c r="S851" s="1">
        <f>(Occurrence!G$3-I851)^2</f>
        <v>1E-4</v>
      </c>
      <c r="T851" s="1">
        <f>(Occurrence!H$3-J851)^2</f>
        <v>0.81</v>
      </c>
      <c r="U851" s="1">
        <f>(Occurrence!I$3-K851)^2</f>
        <v>9.999999999999995E-3</v>
      </c>
      <c r="V851" s="1">
        <f>(Occurrence!J$3-L851)^2</f>
        <v>4.0000000000000008E-2</v>
      </c>
      <c r="W851" s="1">
        <f>(Occurrence!K$3-M851)^2</f>
        <v>3.999999999999998E-2</v>
      </c>
      <c r="X851" s="1">
        <f t="shared" si="157"/>
        <v>3.1201000000000003</v>
      </c>
      <c r="Z851" s="1">
        <f t="shared" si="158"/>
        <v>0</v>
      </c>
      <c r="AA851" s="1">
        <f t="shared" si="159"/>
        <v>1</v>
      </c>
      <c r="AB851" s="1">
        <f t="shared" si="160"/>
        <v>0</v>
      </c>
      <c r="AC851" s="1">
        <f t="shared" si="161"/>
        <v>0</v>
      </c>
      <c r="AD851" s="1">
        <f t="shared" si="162"/>
        <v>1</v>
      </c>
      <c r="AE851" s="1">
        <f t="shared" si="163"/>
        <v>0</v>
      </c>
      <c r="AF851" s="1">
        <f t="shared" si="164"/>
        <v>0</v>
      </c>
      <c r="AG851" s="1">
        <f t="shared" si="165"/>
        <v>1</v>
      </c>
      <c r="AH851" s="1">
        <f t="shared" si="166"/>
        <v>0</v>
      </c>
      <c r="AI851" s="1">
        <f t="shared" si="167"/>
        <v>1</v>
      </c>
      <c r="AJ851" s="1">
        <f>SUMXMY2(Z851:AI851, Occurrence!B$3:K$3)</f>
        <v>5</v>
      </c>
      <c r="AK851" s="1">
        <f t="shared" si="168"/>
        <v>5</v>
      </c>
    </row>
    <row r="852" spans="1:37">
      <c r="A852" s="1">
        <v>851</v>
      </c>
      <c r="B852" s="1">
        <v>4252850</v>
      </c>
      <c r="C852" s="6" t="s">
        <v>51</v>
      </c>
      <c r="D852" s="1">
        <v>0.4</v>
      </c>
      <c r="E852" s="1">
        <v>0.6</v>
      </c>
      <c r="F852" s="1">
        <v>0.1</v>
      </c>
      <c r="G852" s="1">
        <v>0.23</v>
      </c>
      <c r="H852" s="1">
        <v>0.5</v>
      </c>
      <c r="I852" s="1">
        <v>0.01</v>
      </c>
      <c r="J852" s="1">
        <v>0.9</v>
      </c>
      <c r="K852" s="1">
        <v>0.1</v>
      </c>
      <c r="L852" s="1">
        <v>0.75</v>
      </c>
      <c r="M852" s="1">
        <v>0.4</v>
      </c>
      <c r="N852" s="1">
        <f>(Occurrence!B$3-D852)^2</f>
        <v>0.16000000000000003</v>
      </c>
      <c r="O852" s="1">
        <f>(Occurrence!C$3-E852)^2</f>
        <v>0.36</v>
      </c>
      <c r="P852" s="1">
        <f>(Occurrence!D$3-F852)^2</f>
        <v>0.81</v>
      </c>
      <c r="Q852" s="1">
        <f>(Occurrence!E$3-G852)^2</f>
        <v>0.59289999999999998</v>
      </c>
      <c r="R852" s="1">
        <f>(Occurrence!F$3-H852)^2</f>
        <v>0.25</v>
      </c>
      <c r="S852" s="1">
        <f>(Occurrence!G$3-I852)^2</f>
        <v>1E-4</v>
      </c>
      <c r="T852" s="1">
        <f>(Occurrence!H$3-J852)^2</f>
        <v>9.999999999999995E-3</v>
      </c>
      <c r="U852" s="1">
        <f>(Occurrence!I$3-K852)^2</f>
        <v>0.81</v>
      </c>
      <c r="V852" s="1">
        <f>(Occurrence!J$3-L852)^2</f>
        <v>0.5625</v>
      </c>
      <c r="W852" s="1">
        <f>(Occurrence!K$3-M852)^2</f>
        <v>0.36</v>
      </c>
      <c r="X852" s="1">
        <f t="shared" si="157"/>
        <v>3.9155000000000002</v>
      </c>
      <c r="Z852" s="1">
        <f t="shared" si="158"/>
        <v>0</v>
      </c>
      <c r="AA852" s="1">
        <f t="shared" si="159"/>
        <v>1</v>
      </c>
      <c r="AB852" s="1">
        <f t="shared" si="160"/>
        <v>0</v>
      </c>
      <c r="AC852" s="1">
        <f t="shared" si="161"/>
        <v>0</v>
      </c>
      <c r="AD852" s="1">
        <f t="shared" si="162"/>
        <v>1</v>
      </c>
      <c r="AE852" s="1">
        <f t="shared" si="163"/>
        <v>0</v>
      </c>
      <c r="AF852" s="1">
        <f t="shared" si="164"/>
        <v>1</v>
      </c>
      <c r="AG852" s="1">
        <f t="shared" si="165"/>
        <v>0</v>
      </c>
      <c r="AH852" s="1">
        <f t="shared" si="166"/>
        <v>1</v>
      </c>
      <c r="AI852" s="1">
        <f t="shared" si="167"/>
        <v>0</v>
      </c>
      <c r="AJ852" s="1">
        <f>SUMXMY2(Z852:AI852, Occurrence!B$3:K$3)</f>
        <v>7</v>
      </c>
      <c r="AK852" s="1">
        <f t="shared" si="168"/>
        <v>3</v>
      </c>
    </row>
  </sheetData>
  <dataValidations count="1">
    <dataValidation type="custom" showInputMessage="1" showErrorMessage="1" sqref="A724:E724" xr:uid="{00000000-0002-0000-0100-000000000000}">
      <formula1>IF(1,1,"WMDAU:1673290800")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82B9-4AE6-402D-8E18-95B4597B2CC3}">
  <dimension ref="A1:L44"/>
  <sheetViews>
    <sheetView tabSelected="1" workbookViewId="0">
      <selection activeCell="G12" sqref="G12"/>
    </sheetView>
  </sheetViews>
  <sheetFormatPr defaultRowHeight="15"/>
  <cols>
    <col min="6" max="6" width="9.44140625" bestFit="1" customWidth="1"/>
  </cols>
  <sheetData>
    <row r="1" spans="1:12">
      <c r="A1" t="s">
        <v>84</v>
      </c>
      <c r="B1" t="str">
        <f>Occurrence!B1</f>
        <v>Event 1</v>
      </c>
      <c r="C1" t="str">
        <f>Occurrence!C1</f>
        <v>Event 2</v>
      </c>
      <c r="D1" t="str">
        <f>Occurrence!D1</f>
        <v>Event 3</v>
      </c>
      <c r="E1" t="str">
        <f>Occurrence!E1</f>
        <v>Event 4</v>
      </c>
      <c r="F1" t="str">
        <f>Occurrence!F1</f>
        <v>Event 5</v>
      </c>
      <c r="G1" t="str">
        <f>Occurrence!G1</f>
        <v>Event 6</v>
      </c>
      <c r="H1" t="str">
        <f>Occurrence!H1</f>
        <v>Event 7</v>
      </c>
      <c r="I1" t="str">
        <f>Occurrence!I1</f>
        <v>Event 8</v>
      </c>
      <c r="J1" t="str">
        <f>Occurrence!J1</f>
        <v>Event 9</v>
      </c>
      <c r="K1" t="str">
        <f>Occurrence!K1</f>
        <v>Event 10</v>
      </c>
    </row>
    <row r="2" spans="1:12">
      <c r="A2" t="s">
        <v>85</v>
      </c>
      <c r="B2">
        <f>Occurrence!B3</f>
        <v>0</v>
      </c>
      <c r="C2">
        <f>Occurrence!C3</f>
        <v>0</v>
      </c>
      <c r="D2">
        <f>Occurrence!D3</f>
        <v>1</v>
      </c>
      <c r="E2">
        <f>Occurrence!E3</f>
        <v>1</v>
      </c>
      <c r="F2">
        <f>Occurrence!F3</f>
        <v>0</v>
      </c>
      <c r="G2">
        <f>Occurrence!G3</f>
        <v>0</v>
      </c>
      <c r="H2">
        <f>Occurrence!H3</f>
        <v>1</v>
      </c>
      <c r="I2">
        <f>Occurrence!I3</f>
        <v>1</v>
      </c>
      <c r="J2">
        <f>Occurrence!J3</f>
        <v>0</v>
      </c>
      <c r="K2">
        <f>Occurrence!K3</f>
        <v>1</v>
      </c>
    </row>
    <row r="3" spans="1:12" ht="30">
      <c r="A3" s="15" t="s">
        <v>86</v>
      </c>
      <c r="B3">
        <f>COUNTIF(Responses!Z:Z, 0)</f>
        <v>740</v>
      </c>
      <c r="C3">
        <f>COUNTIF(Responses!AA:AA, 0)</f>
        <v>676</v>
      </c>
      <c r="D3">
        <f>COUNTIF(Responses!AB:AB, 0)</f>
        <v>417</v>
      </c>
      <c r="E3">
        <f>COUNTIF(Responses!AC:AC, 0)</f>
        <v>282</v>
      </c>
      <c r="F3">
        <f>COUNTIF(Responses!AD:AD, 0)</f>
        <v>432</v>
      </c>
      <c r="G3">
        <f>COUNTIF(Responses!AE:AE, 0)</f>
        <v>464</v>
      </c>
      <c r="H3">
        <f>COUNTIF(Responses!AF:AF, 0)</f>
        <v>383</v>
      </c>
      <c r="I3">
        <f>COUNTIF(Responses!AG:AG, 0)</f>
        <v>293</v>
      </c>
      <c r="J3">
        <f>COUNTIF(Responses!AH:AH, 0)</f>
        <v>456</v>
      </c>
      <c r="K3">
        <f>COUNTIF(Responses!AI:AI, 0)</f>
        <v>308</v>
      </c>
      <c r="L3">
        <f>SUM(B3:K3)</f>
        <v>4451</v>
      </c>
    </row>
    <row r="4" spans="1:12" ht="30">
      <c r="A4" s="15" t="s">
        <v>87</v>
      </c>
      <c r="B4">
        <f>COUNTIF(Responses!Z:Z, 1)</f>
        <v>111</v>
      </c>
      <c r="C4">
        <f>COUNTIF(Responses!AA:AA, 1)</f>
        <v>175</v>
      </c>
      <c r="D4">
        <f>COUNTIF(Responses!AB:AB, 1)</f>
        <v>434</v>
      </c>
      <c r="E4">
        <f>COUNTIF(Responses!AC:AC, 1)</f>
        <v>569</v>
      </c>
      <c r="F4">
        <f>COUNTIF(Responses!AD:AD, 1)</f>
        <v>419</v>
      </c>
      <c r="G4">
        <f>COUNTIF(Responses!AE:AE, 1)</f>
        <v>387</v>
      </c>
      <c r="H4">
        <f>COUNTIF(Responses!AF:AF, 1)</f>
        <v>468</v>
      </c>
      <c r="I4">
        <f>COUNTIF(Responses!AG:AG, 1)</f>
        <v>558</v>
      </c>
      <c r="J4">
        <f>COUNTIF(Responses!AH:AH, 1)</f>
        <v>395</v>
      </c>
      <c r="K4">
        <f>COUNTIF(Responses!AI:AI, 1)</f>
        <v>543</v>
      </c>
      <c r="L4">
        <f>SUM(B4:K4)</f>
        <v>4059</v>
      </c>
    </row>
    <row r="5" spans="1:12">
      <c r="L5">
        <f>L3+L4</f>
        <v>8510</v>
      </c>
    </row>
    <row r="6" spans="1:12">
      <c r="A6" s="17">
        <f>(D3+E3+H3+I3+K3)/L5</f>
        <v>0.19776733254994125</v>
      </c>
    </row>
    <row r="7" spans="1:12">
      <c r="A7" s="17">
        <f>(D4+E4+H4+I4+K4)/L4</f>
        <v>0.63365360926336534</v>
      </c>
    </row>
    <row r="10" spans="1:12">
      <c r="G10" t="s">
        <v>76</v>
      </c>
    </row>
    <row r="11" spans="1:12">
      <c r="E11">
        <f>COUNTIF(Responses!X:X, 'Part 3'!F11)</f>
        <v>321</v>
      </c>
      <c r="F11" t="s">
        <v>89</v>
      </c>
      <c r="G11">
        <f>COUNTIF(Responses!X:X, G10)</f>
        <v>851</v>
      </c>
    </row>
    <row r="12" spans="1:12">
      <c r="F12" s="18">
        <f>E11/G11</f>
        <v>0.37720329024676852</v>
      </c>
    </row>
    <row r="14" spans="1:12" ht="15.75">
      <c r="A14" s="6" t="s">
        <v>35</v>
      </c>
      <c r="B14" s="1">
        <v>0.99</v>
      </c>
      <c r="C14" s="1">
        <v>0.5</v>
      </c>
      <c r="D14" s="1">
        <v>0.85</v>
      </c>
      <c r="E14">
        <f>SUM(B14:D14)</f>
        <v>2.34</v>
      </c>
    </row>
    <row r="15" spans="1:12" ht="15.75">
      <c r="A15" s="6" t="s">
        <v>35</v>
      </c>
      <c r="B15" s="1">
        <v>0.02</v>
      </c>
      <c r="C15" s="1">
        <v>0.25</v>
      </c>
      <c r="D15" s="1">
        <v>0.85</v>
      </c>
      <c r="E15">
        <f t="shared" ref="E15:E44" si="0">SUM(B15:D15)</f>
        <v>1.1200000000000001</v>
      </c>
    </row>
    <row r="16" spans="1:12" ht="15.75">
      <c r="A16" s="6" t="s">
        <v>35</v>
      </c>
      <c r="B16" s="1">
        <v>0.15</v>
      </c>
      <c r="C16" s="1">
        <v>0.1</v>
      </c>
      <c r="D16" s="1">
        <v>0.95</v>
      </c>
      <c r="E16">
        <f t="shared" si="0"/>
        <v>1.2</v>
      </c>
    </row>
    <row r="17" spans="1:5" ht="15.75">
      <c r="A17" s="6" t="s">
        <v>35</v>
      </c>
      <c r="B17" s="1">
        <v>0.03</v>
      </c>
      <c r="C17" s="1">
        <v>0.02</v>
      </c>
      <c r="D17" s="1">
        <v>0.2</v>
      </c>
      <c r="E17">
        <f t="shared" si="0"/>
        <v>0.25</v>
      </c>
    </row>
    <row r="18" spans="1:5" ht="15.75">
      <c r="A18" s="6" t="s">
        <v>35</v>
      </c>
      <c r="B18" s="1">
        <v>0.05</v>
      </c>
      <c r="C18" s="1">
        <v>0.64</v>
      </c>
      <c r="D18" s="1">
        <v>0.87</v>
      </c>
      <c r="E18">
        <f t="shared" si="0"/>
        <v>1.56</v>
      </c>
    </row>
    <row r="19" spans="1:5" ht="15.75">
      <c r="A19" s="6" t="s">
        <v>35</v>
      </c>
      <c r="B19" s="1">
        <v>3.0000000000000001E-3</v>
      </c>
      <c r="C19" s="1">
        <v>2E-3</v>
      </c>
      <c r="D19" s="1">
        <v>0</v>
      </c>
      <c r="E19">
        <f t="shared" si="0"/>
        <v>5.0000000000000001E-3</v>
      </c>
    </row>
    <row r="20" spans="1:5" ht="15.75">
      <c r="A20" s="6" t="s">
        <v>35</v>
      </c>
      <c r="B20" s="1">
        <v>0.2</v>
      </c>
      <c r="C20" s="1">
        <v>0.3</v>
      </c>
      <c r="D20" s="1">
        <v>0.7</v>
      </c>
      <c r="E20">
        <f t="shared" si="0"/>
        <v>1.2</v>
      </c>
    </row>
    <row r="21" spans="1:5" ht="15.75">
      <c r="A21" s="6" t="s">
        <v>35</v>
      </c>
      <c r="B21" s="1">
        <v>0.2</v>
      </c>
      <c r="C21" s="1">
        <v>0.3</v>
      </c>
      <c r="D21" s="1">
        <v>0.9</v>
      </c>
      <c r="E21">
        <f t="shared" si="0"/>
        <v>1.4</v>
      </c>
    </row>
    <row r="22" spans="1:5" ht="15.75">
      <c r="A22" s="6" t="s">
        <v>35</v>
      </c>
      <c r="B22" s="1">
        <v>0.1</v>
      </c>
      <c r="C22" s="1">
        <v>0.35</v>
      </c>
      <c r="D22" s="1">
        <v>0.05</v>
      </c>
      <c r="E22">
        <f t="shared" si="0"/>
        <v>0.49999999999999994</v>
      </c>
    </row>
    <row r="23" spans="1:5" ht="15.75">
      <c r="A23" s="6" t="s">
        <v>35</v>
      </c>
      <c r="B23" s="1">
        <v>0.2</v>
      </c>
      <c r="C23" s="1">
        <v>0.4</v>
      </c>
      <c r="D23" s="1">
        <v>0</v>
      </c>
      <c r="E23">
        <f t="shared" si="0"/>
        <v>0.60000000000000009</v>
      </c>
    </row>
    <row r="24" spans="1:5" ht="15.75">
      <c r="A24" s="6" t="s">
        <v>35</v>
      </c>
      <c r="B24" s="1">
        <v>0.4</v>
      </c>
      <c r="C24" s="1">
        <v>0.3</v>
      </c>
      <c r="D24" s="1">
        <v>0.89</v>
      </c>
      <c r="E24">
        <f t="shared" si="0"/>
        <v>1.5899999999999999</v>
      </c>
    </row>
    <row r="25" spans="1:5" ht="15.75">
      <c r="A25" s="6" t="s">
        <v>35</v>
      </c>
      <c r="B25" s="1">
        <v>0.3</v>
      </c>
      <c r="C25" s="1">
        <v>0.6</v>
      </c>
      <c r="D25" s="1">
        <v>0.8</v>
      </c>
      <c r="E25">
        <f t="shared" si="0"/>
        <v>1.7</v>
      </c>
    </row>
    <row r="26" spans="1:5" ht="15.75">
      <c r="A26" s="6" t="s">
        <v>35</v>
      </c>
      <c r="B26" s="1">
        <v>2.5000000000000001E-2</v>
      </c>
      <c r="C26" s="1">
        <v>0.7</v>
      </c>
      <c r="D26" s="1">
        <v>0.45</v>
      </c>
      <c r="E26">
        <f t="shared" si="0"/>
        <v>1.175</v>
      </c>
    </row>
    <row r="27" spans="1:5" ht="15.75">
      <c r="A27" s="6" t="s">
        <v>35</v>
      </c>
      <c r="B27" s="1">
        <v>0.22</v>
      </c>
      <c r="C27" s="1">
        <v>0.33</v>
      </c>
      <c r="D27" s="1">
        <v>0.5</v>
      </c>
      <c r="E27">
        <f t="shared" si="0"/>
        <v>1.05</v>
      </c>
    </row>
    <row r="28" spans="1:5" ht="15.75">
      <c r="A28" s="6" t="s">
        <v>35</v>
      </c>
      <c r="B28" s="1">
        <v>0.02</v>
      </c>
      <c r="C28" s="1">
        <v>0.95</v>
      </c>
      <c r="D28" s="1">
        <v>0.03</v>
      </c>
      <c r="E28">
        <f t="shared" si="0"/>
        <v>1</v>
      </c>
    </row>
    <row r="29" spans="1:5" ht="15.75">
      <c r="A29" s="6" t="s">
        <v>35</v>
      </c>
      <c r="B29" s="1">
        <v>0.01</v>
      </c>
      <c r="C29" s="1">
        <v>0.8</v>
      </c>
      <c r="D29" s="1">
        <v>1</v>
      </c>
      <c r="E29">
        <f t="shared" si="0"/>
        <v>1.81</v>
      </c>
    </row>
    <row r="30" spans="1:5" ht="15.75">
      <c r="A30" s="6" t="s">
        <v>35</v>
      </c>
      <c r="B30" s="1">
        <v>0.05</v>
      </c>
      <c r="C30" s="1">
        <v>0.96530000000000005</v>
      </c>
      <c r="D30" s="1">
        <v>0.56120000000000003</v>
      </c>
      <c r="E30">
        <f t="shared" si="0"/>
        <v>1.5765000000000002</v>
      </c>
    </row>
    <row r="31" spans="1:5" ht="15.75">
      <c r="A31" s="6" t="s">
        <v>35</v>
      </c>
      <c r="B31" s="1">
        <v>0.1</v>
      </c>
      <c r="C31" s="1">
        <v>0.1</v>
      </c>
      <c r="D31" s="1">
        <v>0.25</v>
      </c>
      <c r="E31">
        <f t="shared" si="0"/>
        <v>0.45</v>
      </c>
    </row>
    <row r="32" spans="1:5" ht="15.75">
      <c r="A32" s="6" t="s">
        <v>35</v>
      </c>
      <c r="B32" s="1">
        <v>0.09</v>
      </c>
      <c r="C32" s="1">
        <v>0.32</v>
      </c>
      <c r="D32" s="1">
        <v>0.84</v>
      </c>
      <c r="E32">
        <f t="shared" si="0"/>
        <v>1.25</v>
      </c>
    </row>
    <row r="33" spans="1:5" ht="15.75">
      <c r="A33" s="6" t="s">
        <v>35</v>
      </c>
      <c r="B33" s="1">
        <v>0.21</v>
      </c>
      <c r="C33" s="1">
        <v>0.4</v>
      </c>
      <c r="D33" s="1">
        <v>0.5</v>
      </c>
      <c r="E33">
        <f t="shared" si="0"/>
        <v>1.1099999999999999</v>
      </c>
    </row>
    <row r="34" spans="1:5" ht="15.75">
      <c r="A34" s="6" t="s">
        <v>35</v>
      </c>
      <c r="B34" s="1">
        <v>0.2</v>
      </c>
      <c r="C34" s="1">
        <v>0.3</v>
      </c>
      <c r="D34" s="1">
        <v>0.6</v>
      </c>
      <c r="E34">
        <f t="shared" si="0"/>
        <v>1.1000000000000001</v>
      </c>
    </row>
    <row r="35" spans="1:5" ht="15.75">
      <c r="A35" s="6" t="s">
        <v>35</v>
      </c>
      <c r="B35" s="1">
        <v>0.2</v>
      </c>
      <c r="C35" s="1">
        <v>0.5</v>
      </c>
      <c r="D35" s="1">
        <v>0.2</v>
      </c>
      <c r="E35">
        <f t="shared" si="0"/>
        <v>0.89999999999999991</v>
      </c>
    </row>
    <row r="36" spans="1:5" ht="15.75">
      <c r="A36" s="6" t="s">
        <v>35</v>
      </c>
      <c r="B36" s="1">
        <v>0.1</v>
      </c>
      <c r="C36" s="1">
        <v>0.9</v>
      </c>
      <c r="D36" s="1">
        <v>0.75</v>
      </c>
      <c r="E36">
        <f t="shared" si="0"/>
        <v>1.75</v>
      </c>
    </row>
    <row r="37" spans="1:5" ht="15.75">
      <c r="A37" s="6" t="s">
        <v>35</v>
      </c>
      <c r="B37" s="1">
        <v>0.15</v>
      </c>
      <c r="C37" s="1">
        <v>0.35</v>
      </c>
      <c r="D37" s="1">
        <v>0.1</v>
      </c>
      <c r="E37">
        <f t="shared" si="0"/>
        <v>0.6</v>
      </c>
    </row>
    <row r="38" spans="1:5" ht="15.75">
      <c r="A38" s="6" t="s">
        <v>35</v>
      </c>
      <c r="B38" s="1">
        <v>0.06</v>
      </c>
      <c r="C38" s="1">
        <v>0.26</v>
      </c>
      <c r="D38" s="1">
        <v>0.08</v>
      </c>
      <c r="E38">
        <f t="shared" si="0"/>
        <v>0.4</v>
      </c>
    </row>
    <row r="39" spans="1:5" ht="15.75">
      <c r="A39" s="6" t="s">
        <v>35</v>
      </c>
      <c r="B39" s="1">
        <v>0.2</v>
      </c>
      <c r="C39" s="1">
        <v>0.45</v>
      </c>
      <c r="D39" s="1">
        <v>0.45</v>
      </c>
      <c r="E39">
        <f t="shared" si="0"/>
        <v>1.1000000000000001</v>
      </c>
    </row>
    <row r="40" spans="1:5" ht="15.75">
      <c r="A40" s="6" t="s">
        <v>35</v>
      </c>
      <c r="B40" s="1">
        <v>0.01</v>
      </c>
      <c r="C40" s="1">
        <v>0.95</v>
      </c>
      <c r="D40" s="1">
        <v>0.04</v>
      </c>
      <c r="E40">
        <f t="shared" si="0"/>
        <v>1</v>
      </c>
    </row>
    <row r="41" spans="1:5" ht="15.75">
      <c r="A41" s="6" t="s">
        <v>35</v>
      </c>
      <c r="B41" s="1">
        <v>0.1</v>
      </c>
      <c r="C41" s="1">
        <v>0.6</v>
      </c>
      <c r="D41" s="1">
        <v>0.3</v>
      </c>
      <c r="E41">
        <f t="shared" si="0"/>
        <v>1</v>
      </c>
    </row>
    <row r="42" spans="1:5" ht="15.75">
      <c r="A42" s="6" t="s">
        <v>35</v>
      </c>
      <c r="B42" s="1">
        <v>0.1</v>
      </c>
      <c r="C42" s="1">
        <v>0.2</v>
      </c>
      <c r="D42" s="1">
        <v>0.65</v>
      </c>
      <c r="E42">
        <f t="shared" si="0"/>
        <v>0.95000000000000007</v>
      </c>
    </row>
    <row r="43" spans="1:5" ht="15.75">
      <c r="A43" s="6" t="s">
        <v>35</v>
      </c>
      <c r="B43" s="1">
        <v>0.83</v>
      </c>
      <c r="C43" s="1">
        <v>0.75</v>
      </c>
      <c r="D43" s="1">
        <v>0.69</v>
      </c>
      <c r="E43">
        <f t="shared" si="0"/>
        <v>2.27</v>
      </c>
    </row>
    <row r="44" spans="1:5" ht="15.75">
      <c r="A44" s="6" t="s">
        <v>35</v>
      </c>
      <c r="B44" s="1">
        <v>0.78569999999999995</v>
      </c>
      <c r="C44" s="1">
        <v>0.39960000000000001</v>
      </c>
      <c r="D44" s="1">
        <v>0.19980000000000001</v>
      </c>
      <c r="E44">
        <f t="shared" si="0"/>
        <v>1.3851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B0B7-8193-42A4-9CD2-876390B29D66}">
  <dimension ref="A1:F852"/>
  <sheetViews>
    <sheetView workbookViewId="0">
      <selection activeCell="E3" sqref="E3"/>
    </sheetView>
  </sheetViews>
  <sheetFormatPr defaultRowHeight="15.75"/>
  <cols>
    <col min="1" max="2" width="11.77734375" style="4" customWidth="1"/>
  </cols>
  <sheetData>
    <row r="1" spans="1:6" ht="165.75">
      <c r="A1" s="1" t="s">
        <v>26</v>
      </c>
      <c r="B1" s="1" t="s">
        <v>27</v>
      </c>
      <c r="C1" s="15" t="s">
        <v>74</v>
      </c>
      <c r="E1" s="15" t="s">
        <v>75</v>
      </c>
    </row>
    <row r="2" spans="1:6">
      <c r="A2" s="1">
        <v>0.5</v>
      </c>
      <c r="B2" s="1">
        <v>0.6</v>
      </c>
      <c r="C2">
        <f>B2-A2</f>
        <v>9.9999999999999978E-2</v>
      </c>
      <c r="E2">
        <f>COUNTIF(C:C, F2)</f>
        <v>702</v>
      </c>
      <c r="F2" t="s">
        <v>76</v>
      </c>
    </row>
    <row r="3" spans="1:6">
      <c r="A3" s="1">
        <v>1</v>
      </c>
      <c r="B3" s="1">
        <v>0.4</v>
      </c>
      <c r="C3">
        <f t="shared" ref="C3:C66" si="0">B3-A3</f>
        <v>-0.6</v>
      </c>
    </row>
    <row r="4" spans="1:6">
      <c r="A4" s="1">
        <v>0.75</v>
      </c>
      <c r="B4" s="1">
        <v>0.95</v>
      </c>
      <c r="C4">
        <f t="shared" si="0"/>
        <v>0.19999999999999996</v>
      </c>
    </row>
    <row r="5" spans="1:6">
      <c r="A5" s="1">
        <v>0.7</v>
      </c>
      <c r="B5" s="1">
        <v>0.8</v>
      </c>
      <c r="C5">
        <f t="shared" si="0"/>
        <v>0.10000000000000009</v>
      </c>
    </row>
    <row r="6" spans="1:6">
      <c r="A6" s="1">
        <v>0.05</v>
      </c>
      <c r="B6" s="1">
        <v>0.6</v>
      </c>
      <c r="C6">
        <f t="shared" si="0"/>
        <v>0.54999999999999993</v>
      </c>
    </row>
    <row r="7" spans="1:6">
      <c r="A7" s="1">
        <v>0.48799999999999999</v>
      </c>
      <c r="B7" s="1">
        <v>0.54400000000000004</v>
      </c>
      <c r="C7">
        <f t="shared" si="0"/>
        <v>5.600000000000005E-2</v>
      </c>
    </row>
    <row r="8" spans="1:6">
      <c r="A8" s="1">
        <v>0.25</v>
      </c>
      <c r="B8" s="1">
        <v>0.8</v>
      </c>
      <c r="C8">
        <f t="shared" si="0"/>
        <v>0.55000000000000004</v>
      </c>
    </row>
    <row r="9" spans="1:6">
      <c r="A9" s="1">
        <v>0.5</v>
      </c>
      <c r="B9" s="1">
        <v>0.3</v>
      </c>
      <c r="C9">
        <f t="shared" si="0"/>
        <v>-0.2</v>
      </c>
    </row>
    <row r="10" spans="1:6">
      <c r="A10" s="1">
        <v>0.99</v>
      </c>
      <c r="B10" s="1">
        <v>0.99</v>
      </c>
      <c r="C10">
        <f t="shared" si="0"/>
        <v>0</v>
      </c>
    </row>
    <row r="11" spans="1:6">
      <c r="A11" s="1">
        <v>0.99</v>
      </c>
      <c r="B11" s="1">
        <v>0.95</v>
      </c>
      <c r="C11">
        <f t="shared" si="0"/>
        <v>-4.0000000000000036E-2</v>
      </c>
    </row>
    <row r="12" spans="1:6">
      <c r="A12" s="1">
        <v>0.05</v>
      </c>
      <c r="B12" s="1">
        <v>0.1</v>
      </c>
      <c r="C12">
        <f t="shared" si="0"/>
        <v>0.05</v>
      </c>
    </row>
    <row r="13" spans="1:6">
      <c r="A13" s="1">
        <v>0.03</v>
      </c>
      <c r="B13" s="1">
        <v>0.04</v>
      </c>
      <c r="C13">
        <f t="shared" si="0"/>
        <v>1.0000000000000002E-2</v>
      </c>
    </row>
    <row r="14" spans="1:6">
      <c r="A14" s="1">
        <v>0.45</v>
      </c>
      <c r="B14" s="1">
        <v>0.35</v>
      </c>
      <c r="C14">
        <f t="shared" si="0"/>
        <v>-0.10000000000000003</v>
      </c>
    </row>
    <row r="15" spans="1:6">
      <c r="A15" s="1">
        <v>0.246</v>
      </c>
      <c r="B15" s="1">
        <v>0.745</v>
      </c>
      <c r="C15">
        <f t="shared" si="0"/>
        <v>0.499</v>
      </c>
    </row>
    <row r="16" spans="1:6">
      <c r="A16" s="1">
        <v>0.35</v>
      </c>
      <c r="B16" s="1">
        <v>0.52</v>
      </c>
      <c r="C16">
        <f t="shared" si="0"/>
        <v>0.17000000000000004</v>
      </c>
    </row>
    <row r="17" spans="1:3">
      <c r="A17" s="1">
        <v>0.85</v>
      </c>
      <c r="B17" s="1">
        <v>1</v>
      </c>
      <c r="C17">
        <f t="shared" si="0"/>
        <v>0.15000000000000002</v>
      </c>
    </row>
    <row r="18" spans="1:3">
      <c r="A18" s="1">
        <v>0.75</v>
      </c>
      <c r="B18" s="1">
        <v>0.97</v>
      </c>
      <c r="C18">
        <f t="shared" si="0"/>
        <v>0.21999999999999997</v>
      </c>
    </row>
    <row r="19" spans="1:3">
      <c r="A19" s="1">
        <v>0.99999990000000005</v>
      </c>
      <c r="B19" s="1">
        <v>1</v>
      </c>
      <c r="C19">
        <f t="shared" si="0"/>
        <v>9.9999999947364415E-8</v>
      </c>
    </row>
    <row r="20" spans="1:3">
      <c r="A20" s="1">
        <v>0.8</v>
      </c>
      <c r="B20" s="1">
        <v>0.9</v>
      </c>
      <c r="C20">
        <f t="shared" si="0"/>
        <v>9.9999999999999978E-2</v>
      </c>
    </row>
    <row r="21" spans="1:3">
      <c r="A21" s="1">
        <v>0.93700000000000006</v>
      </c>
      <c r="B21" s="1">
        <v>0.96499999999999997</v>
      </c>
      <c r="C21">
        <f t="shared" si="0"/>
        <v>2.7999999999999914E-2</v>
      </c>
    </row>
    <row r="22" spans="1:3">
      <c r="A22" s="1">
        <v>0.93700000000000006</v>
      </c>
      <c r="B22" s="1">
        <v>0.97</v>
      </c>
      <c r="C22">
        <f t="shared" si="0"/>
        <v>3.2999999999999918E-2</v>
      </c>
    </row>
    <row r="23" spans="1:3">
      <c r="A23" s="1">
        <v>0.25</v>
      </c>
      <c r="B23" s="1">
        <v>0.35</v>
      </c>
      <c r="C23">
        <f t="shared" si="0"/>
        <v>9.9999999999999978E-2</v>
      </c>
    </row>
    <row r="24" spans="1:3">
      <c r="A24" s="1">
        <v>0.05</v>
      </c>
      <c r="B24" s="1">
        <v>0.2</v>
      </c>
      <c r="C24">
        <f t="shared" si="0"/>
        <v>0.15000000000000002</v>
      </c>
    </row>
    <row r="25" spans="1:3">
      <c r="A25" s="1">
        <v>0.24</v>
      </c>
      <c r="B25" s="1">
        <v>0.7</v>
      </c>
      <c r="C25">
        <f t="shared" si="0"/>
        <v>0.45999999999999996</v>
      </c>
    </row>
    <row r="26" spans="1:3">
      <c r="A26" s="1">
        <v>0.7</v>
      </c>
      <c r="B26" s="1">
        <v>0.9</v>
      </c>
      <c r="C26">
        <f t="shared" si="0"/>
        <v>0.20000000000000007</v>
      </c>
    </row>
    <row r="27" spans="1:3">
      <c r="A27" s="1">
        <v>1</v>
      </c>
      <c r="B27" s="1">
        <v>1</v>
      </c>
      <c r="C27">
        <f t="shared" si="0"/>
        <v>0</v>
      </c>
    </row>
    <row r="28" spans="1:3">
      <c r="A28" s="1">
        <v>0.7</v>
      </c>
      <c r="B28" s="1">
        <v>0.9</v>
      </c>
      <c r="C28">
        <f t="shared" si="0"/>
        <v>0.20000000000000007</v>
      </c>
    </row>
    <row r="29" spans="1:3">
      <c r="A29" s="1">
        <v>0.65</v>
      </c>
      <c r="B29" s="1">
        <v>0.6</v>
      </c>
      <c r="C29">
        <f t="shared" si="0"/>
        <v>-5.0000000000000044E-2</v>
      </c>
    </row>
    <row r="30" spans="1:3">
      <c r="A30" s="1">
        <v>0.50009999999999999</v>
      </c>
      <c r="B30" s="1">
        <v>0.6028</v>
      </c>
      <c r="C30">
        <f t="shared" si="0"/>
        <v>0.10270000000000001</v>
      </c>
    </row>
    <row r="31" spans="1:3">
      <c r="A31" s="1">
        <v>0.25</v>
      </c>
      <c r="B31" s="1">
        <v>0.9</v>
      </c>
      <c r="C31">
        <f t="shared" si="0"/>
        <v>0.65</v>
      </c>
    </row>
    <row r="32" spans="1:3">
      <c r="A32" s="1">
        <v>0.12</v>
      </c>
      <c r="B32" s="1">
        <v>0.69</v>
      </c>
      <c r="C32">
        <f t="shared" si="0"/>
        <v>0.56999999999999995</v>
      </c>
    </row>
    <row r="33" spans="1:3">
      <c r="A33" s="1">
        <v>0.49990000000000001</v>
      </c>
      <c r="B33" s="1">
        <v>1</v>
      </c>
      <c r="C33">
        <f t="shared" si="0"/>
        <v>0.50009999999999999</v>
      </c>
    </row>
    <row r="34" spans="1:3">
      <c r="A34" s="1">
        <v>0.18210000000000001</v>
      </c>
      <c r="B34" s="1">
        <v>0.65229999999999999</v>
      </c>
      <c r="C34">
        <f t="shared" si="0"/>
        <v>0.47019999999999995</v>
      </c>
    </row>
    <row r="35" spans="1:3">
      <c r="A35" s="1">
        <v>0.5</v>
      </c>
      <c r="B35" s="1">
        <v>0.6</v>
      </c>
      <c r="C35">
        <f t="shared" si="0"/>
        <v>9.9999999999999978E-2</v>
      </c>
    </row>
    <row r="36" spans="1:3">
      <c r="A36" s="1">
        <v>0.95</v>
      </c>
      <c r="B36" s="1">
        <v>0.99</v>
      </c>
      <c r="C36">
        <f t="shared" si="0"/>
        <v>4.0000000000000036E-2</v>
      </c>
    </row>
    <row r="37" spans="1:3">
      <c r="A37" s="1">
        <v>0.3</v>
      </c>
      <c r="B37" s="1">
        <v>0.6</v>
      </c>
      <c r="C37">
        <f t="shared" si="0"/>
        <v>0.3</v>
      </c>
    </row>
    <row r="38" spans="1:3">
      <c r="A38" s="1">
        <v>0.64570000000000005</v>
      </c>
      <c r="B38" s="1">
        <v>0.73619999999999997</v>
      </c>
      <c r="C38">
        <f t="shared" si="0"/>
        <v>9.0499999999999914E-2</v>
      </c>
    </row>
    <row r="39" spans="1:3">
      <c r="A39" s="1">
        <v>0.56000000000000005</v>
      </c>
      <c r="B39" s="1">
        <v>0.62549999999999994</v>
      </c>
      <c r="C39">
        <f t="shared" si="0"/>
        <v>6.5499999999999892E-2</v>
      </c>
    </row>
    <row r="40" spans="1:3">
      <c r="A40" s="1">
        <v>0.5</v>
      </c>
      <c r="B40" s="1">
        <v>0.6</v>
      </c>
      <c r="C40">
        <f t="shared" si="0"/>
        <v>9.9999999999999978E-2</v>
      </c>
    </row>
    <row r="41" spans="1:3">
      <c r="A41" s="1">
        <v>0.5</v>
      </c>
      <c r="B41" s="1">
        <v>0.6</v>
      </c>
      <c r="C41">
        <f t="shared" si="0"/>
        <v>9.9999999999999978E-2</v>
      </c>
    </row>
    <row r="42" spans="1:3">
      <c r="A42" s="1">
        <v>0.49990000000000001</v>
      </c>
      <c r="B42" s="1">
        <v>0.3972</v>
      </c>
      <c r="C42">
        <f t="shared" si="0"/>
        <v>-0.10270000000000001</v>
      </c>
    </row>
    <row r="43" spans="1:3">
      <c r="A43" s="1">
        <v>0.34</v>
      </c>
      <c r="B43" s="1">
        <v>7.0000000000000007E-2</v>
      </c>
      <c r="C43">
        <f t="shared" si="0"/>
        <v>-0.27</v>
      </c>
    </row>
    <row r="44" spans="1:3">
      <c r="A44" s="1">
        <v>0.48</v>
      </c>
      <c r="B44" s="1">
        <v>0.67</v>
      </c>
      <c r="C44">
        <f t="shared" si="0"/>
        <v>0.19000000000000006</v>
      </c>
    </row>
    <row r="45" spans="1:3">
      <c r="A45" s="1">
        <v>1.745E-2</v>
      </c>
      <c r="B45" s="1">
        <v>3.49E-3</v>
      </c>
      <c r="C45">
        <f t="shared" si="0"/>
        <v>-1.396E-2</v>
      </c>
    </row>
    <row r="46" spans="1:3">
      <c r="A46" s="1">
        <v>1.4999999999999999E-2</v>
      </c>
      <c r="B46" s="1">
        <v>6.4000000000000001E-2</v>
      </c>
      <c r="C46">
        <f t="shared" si="0"/>
        <v>4.9000000000000002E-2</v>
      </c>
    </row>
    <row r="47" spans="1:3">
      <c r="A47" s="1">
        <v>0.747</v>
      </c>
      <c r="B47" s="1">
        <v>0.85770000000000002</v>
      </c>
      <c r="C47">
        <f t="shared" si="0"/>
        <v>0.11070000000000002</v>
      </c>
    </row>
    <row r="48" spans="1:3">
      <c r="A48" s="1">
        <v>0.52</v>
      </c>
      <c r="B48" s="1">
        <v>0.77</v>
      </c>
      <c r="C48">
        <f t="shared" si="0"/>
        <v>0.25</v>
      </c>
    </row>
    <row r="49" spans="1:3">
      <c r="A49" s="1">
        <v>0.5</v>
      </c>
      <c r="B49" s="1">
        <v>0.6</v>
      </c>
      <c r="C49">
        <f t="shared" si="0"/>
        <v>9.9999999999999978E-2</v>
      </c>
    </row>
    <row r="50" spans="1:3">
      <c r="A50" s="1">
        <v>0.44750000000000001</v>
      </c>
      <c r="B50" s="1">
        <v>0.58560000000000001</v>
      </c>
      <c r="C50">
        <f t="shared" si="0"/>
        <v>0.1381</v>
      </c>
    </row>
    <row r="51" spans="1:3">
      <c r="A51" s="1">
        <v>0.98409999999999997</v>
      </c>
      <c r="B51" s="1">
        <v>0.98939999999999995</v>
      </c>
      <c r="C51">
        <f t="shared" si="0"/>
        <v>5.2999999999999714E-3</v>
      </c>
    </row>
    <row r="52" spans="1:3">
      <c r="A52" s="1">
        <v>0.72430000000000005</v>
      </c>
      <c r="B52" s="1">
        <v>0.76390000000000002</v>
      </c>
      <c r="C52">
        <f t="shared" si="0"/>
        <v>3.9599999999999969E-2</v>
      </c>
    </row>
    <row r="53" spans="1:3">
      <c r="A53" s="1">
        <v>0.98419999999999996</v>
      </c>
      <c r="B53" s="1">
        <v>0.98950000000000005</v>
      </c>
      <c r="C53">
        <f t="shared" si="0"/>
        <v>5.3000000000000824E-3</v>
      </c>
    </row>
    <row r="54" spans="1:3">
      <c r="A54" s="1">
        <v>0.995</v>
      </c>
      <c r="B54" s="1">
        <v>0.99</v>
      </c>
      <c r="C54">
        <f t="shared" si="0"/>
        <v>-5.0000000000000044E-3</v>
      </c>
    </row>
    <row r="55" spans="1:3">
      <c r="A55" s="1">
        <v>1</v>
      </c>
      <c r="B55" s="1">
        <v>1</v>
      </c>
      <c r="C55">
        <f t="shared" si="0"/>
        <v>0</v>
      </c>
    </row>
    <row r="56" spans="1:3">
      <c r="A56" s="1">
        <v>0.85</v>
      </c>
      <c r="B56" s="1">
        <v>0.72</v>
      </c>
      <c r="C56">
        <f t="shared" si="0"/>
        <v>-0.13</v>
      </c>
    </row>
    <row r="57" spans="1:3">
      <c r="A57" s="1">
        <v>0.98421052600000003</v>
      </c>
      <c r="B57" s="1">
        <v>0.98947368400000002</v>
      </c>
      <c r="C57">
        <f t="shared" si="0"/>
        <v>5.26315799999999E-3</v>
      </c>
    </row>
    <row r="58" spans="1:3">
      <c r="A58" s="1">
        <v>0.15</v>
      </c>
      <c r="B58" s="1">
        <v>0.3</v>
      </c>
      <c r="C58">
        <f t="shared" si="0"/>
        <v>0.15</v>
      </c>
    </row>
    <row r="59" spans="1:3">
      <c r="A59" s="1">
        <v>0.01</v>
      </c>
      <c r="B59" s="1">
        <v>3.0000000000000001E-3</v>
      </c>
      <c r="C59">
        <f t="shared" si="0"/>
        <v>-7.0000000000000001E-3</v>
      </c>
    </row>
    <row r="60" spans="1:3">
      <c r="A60" s="1">
        <v>0.64680000000000004</v>
      </c>
      <c r="B60" s="1">
        <v>0.6028</v>
      </c>
      <c r="C60">
        <f t="shared" si="0"/>
        <v>-4.4000000000000039E-2</v>
      </c>
    </row>
    <row r="61" spans="1:3">
      <c r="A61" s="1">
        <v>0.66669999999999996</v>
      </c>
      <c r="B61" s="1">
        <v>0.66669999999999996</v>
      </c>
      <c r="C61">
        <f t="shared" si="0"/>
        <v>0</v>
      </c>
    </row>
    <row r="62" spans="1:3">
      <c r="A62" s="1">
        <v>0.44</v>
      </c>
      <c r="B62" s="1">
        <v>0.1</v>
      </c>
      <c r="C62">
        <f t="shared" si="0"/>
        <v>-0.33999999999999997</v>
      </c>
    </row>
    <row r="63" spans="1:3">
      <c r="A63" s="1">
        <v>0.87</v>
      </c>
      <c r="B63" s="1">
        <v>0.79</v>
      </c>
      <c r="C63">
        <f t="shared" si="0"/>
        <v>-7.999999999999996E-2</v>
      </c>
    </row>
    <row r="64" spans="1:3">
      <c r="A64" s="1">
        <v>0.24</v>
      </c>
      <c r="B64" s="1">
        <v>0.53</v>
      </c>
      <c r="C64">
        <f t="shared" si="0"/>
        <v>0.29000000000000004</v>
      </c>
    </row>
    <row r="65" spans="1:3">
      <c r="A65" s="1">
        <v>0.6</v>
      </c>
      <c r="B65" s="1">
        <v>0.4</v>
      </c>
      <c r="C65">
        <f t="shared" si="0"/>
        <v>-0.19999999999999996</v>
      </c>
    </row>
    <row r="66" spans="1:3">
      <c r="A66" s="1">
        <v>0.2</v>
      </c>
      <c r="B66" s="1">
        <v>0.4</v>
      </c>
      <c r="C66">
        <f t="shared" si="0"/>
        <v>0.2</v>
      </c>
    </row>
    <row r="67" spans="1:3">
      <c r="A67" s="1">
        <v>0.5</v>
      </c>
      <c r="B67" s="1">
        <v>0.2</v>
      </c>
      <c r="C67">
        <f t="shared" ref="C67:C130" si="1">B67-A67</f>
        <v>-0.3</v>
      </c>
    </row>
    <row r="68" spans="1:3">
      <c r="A68" s="1">
        <v>0.5</v>
      </c>
      <c r="B68" s="1">
        <v>0.3</v>
      </c>
      <c r="C68">
        <f t="shared" si="1"/>
        <v>-0.2</v>
      </c>
    </row>
    <row r="69" spans="1:3">
      <c r="A69" s="1">
        <v>0.1</v>
      </c>
      <c r="B69" s="1">
        <v>0.9</v>
      </c>
      <c r="C69">
        <f t="shared" si="1"/>
        <v>0.8</v>
      </c>
    </row>
    <row r="70" spans="1:3">
      <c r="A70" s="1">
        <v>0.2</v>
      </c>
      <c r="B70" s="1">
        <v>0.3</v>
      </c>
      <c r="C70">
        <f t="shared" si="1"/>
        <v>9.9999999999999978E-2</v>
      </c>
    </row>
    <row r="71" spans="1:3">
      <c r="A71" s="1">
        <v>0.9</v>
      </c>
      <c r="B71" s="1">
        <v>0.92</v>
      </c>
      <c r="C71">
        <f t="shared" si="1"/>
        <v>2.0000000000000018E-2</v>
      </c>
    </row>
    <row r="72" spans="1:3">
      <c r="A72" s="1">
        <v>0.6</v>
      </c>
      <c r="B72" s="1">
        <v>0.9</v>
      </c>
      <c r="C72">
        <f t="shared" si="1"/>
        <v>0.30000000000000004</v>
      </c>
    </row>
    <row r="73" spans="1:3">
      <c r="A73" s="1">
        <v>0.8</v>
      </c>
      <c r="B73" s="1">
        <v>0.86</v>
      </c>
      <c r="C73">
        <f t="shared" si="1"/>
        <v>5.9999999999999942E-2</v>
      </c>
    </row>
    <row r="74" spans="1:3">
      <c r="A74" s="1">
        <v>0.2</v>
      </c>
      <c r="B74" s="1">
        <v>0.3</v>
      </c>
      <c r="C74">
        <f t="shared" si="1"/>
        <v>9.9999999999999978E-2</v>
      </c>
    </row>
    <row r="75" spans="1:3">
      <c r="A75" s="1">
        <v>0.6</v>
      </c>
      <c r="B75" s="1">
        <v>0.65</v>
      </c>
      <c r="C75">
        <f t="shared" si="1"/>
        <v>5.0000000000000044E-2</v>
      </c>
    </row>
    <row r="76" spans="1:3">
      <c r="A76" s="1">
        <v>0.15</v>
      </c>
      <c r="B76" s="1">
        <v>0.4</v>
      </c>
      <c r="C76">
        <f t="shared" si="1"/>
        <v>0.25</v>
      </c>
    </row>
    <row r="77" spans="1:3">
      <c r="A77" s="1">
        <v>0.8</v>
      </c>
      <c r="B77" s="1">
        <v>0.4</v>
      </c>
      <c r="C77">
        <f t="shared" si="1"/>
        <v>-0.4</v>
      </c>
    </row>
    <row r="78" spans="1:3">
      <c r="A78" s="1">
        <v>0.67</v>
      </c>
      <c r="B78" s="1">
        <v>0.9</v>
      </c>
      <c r="C78">
        <f t="shared" si="1"/>
        <v>0.22999999999999998</v>
      </c>
    </row>
    <row r="79" spans="1:3">
      <c r="A79" s="1">
        <v>1.2500000000000001E-2</v>
      </c>
      <c r="B79" s="1">
        <v>0.35399999999999998</v>
      </c>
      <c r="C79">
        <f t="shared" si="1"/>
        <v>0.34149999999999997</v>
      </c>
    </row>
    <row r="80" spans="1:3">
      <c r="A80" s="1">
        <v>0.5</v>
      </c>
      <c r="B80" s="1">
        <v>0.7</v>
      </c>
      <c r="C80">
        <f t="shared" si="1"/>
        <v>0.19999999999999996</v>
      </c>
    </row>
    <row r="81" spans="1:3">
      <c r="A81" s="1">
        <v>0.2</v>
      </c>
      <c r="B81" s="1">
        <v>0.7</v>
      </c>
      <c r="C81">
        <f t="shared" si="1"/>
        <v>0.49999999999999994</v>
      </c>
    </row>
    <row r="82" spans="1:3">
      <c r="A82" s="1">
        <v>0.88</v>
      </c>
      <c r="B82" s="1">
        <v>0.12</v>
      </c>
      <c r="C82">
        <f t="shared" si="1"/>
        <v>-0.76</v>
      </c>
    </row>
    <row r="83" spans="1:3">
      <c r="A83" s="1">
        <v>0.8</v>
      </c>
      <c r="B83" s="1">
        <v>0.95</v>
      </c>
      <c r="C83">
        <f t="shared" si="1"/>
        <v>0.14999999999999991</v>
      </c>
    </row>
    <row r="84" spans="1:3">
      <c r="A84" s="1">
        <v>0.2</v>
      </c>
      <c r="B84" s="1">
        <v>0.7</v>
      </c>
      <c r="C84">
        <f t="shared" si="1"/>
        <v>0.49999999999999994</v>
      </c>
    </row>
    <row r="85" spans="1:3">
      <c r="A85" s="1">
        <v>0.01</v>
      </c>
      <c r="B85" s="1">
        <v>0.3</v>
      </c>
      <c r="C85">
        <f t="shared" si="1"/>
        <v>0.28999999999999998</v>
      </c>
    </row>
    <row r="86" spans="1:3">
      <c r="A86" s="1">
        <v>0.34</v>
      </c>
      <c r="B86" s="1">
        <v>0.57999999999999996</v>
      </c>
      <c r="C86">
        <f t="shared" si="1"/>
        <v>0.23999999999999994</v>
      </c>
    </row>
    <row r="87" spans="1:3">
      <c r="A87" s="1">
        <v>0.25</v>
      </c>
      <c r="B87" s="1">
        <v>0.85</v>
      </c>
      <c r="C87">
        <f t="shared" si="1"/>
        <v>0.6</v>
      </c>
    </row>
    <row r="88" spans="1:3">
      <c r="A88" s="1">
        <v>0.39629999999999999</v>
      </c>
      <c r="B88" s="1">
        <v>0.25729999999999997</v>
      </c>
      <c r="C88">
        <f t="shared" si="1"/>
        <v>-0.13900000000000001</v>
      </c>
    </row>
    <row r="89" spans="1:3">
      <c r="A89" s="1">
        <v>0.2903</v>
      </c>
      <c r="B89" s="1">
        <v>0.99160000000000004</v>
      </c>
      <c r="C89">
        <f t="shared" si="1"/>
        <v>0.70130000000000003</v>
      </c>
    </row>
    <row r="90" spans="1:3">
      <c r="A90" s="1">
        <v>0.2</v>
      </c>
      <c r="B90" s="1">
        <v>0.1</v>
      </c>
      <c r="C90">
        <f t="shared" si="1"/>
        <v>-0.1</v>
      </c>
    </row>
    <row r="91" spans="1:3">
      <c r="A91" s="1">
        <v>0.45</v>
      </c>
      <c r="B91" s="1">
        <v>0.23</v>
      </c>
      <c r="C91">
        <f t="shared" si="1"/>
        <v>-0.22</v>
      </c>
    </row>
    <row r="92" spans="1:3">
      <c r="A92" s="1">
        <v>0.6</v>
      </c>
      <c r="B92" s="1">
        <v>0.85</v>
      </c>
      <c r="C92">
        <f t="shared" si="1"/>
        <v>0.25</v>
      </c>
    </row>
    <row r="93" spans="1:3">
      <c r="A93" s="1">
        <v>0.85</v>
      </c>
      <c r="B93" s="1">
        <v>0.98</v>
      </c>
      <c r="C93">
        <f t="shared" si="1"/>
        <v>0.13</v>
      </c>
    </row>
    <row r="94" spans="1:3">
      <c r="A94" s="1">
        <v>0.78</v>
      </c>
      <c r="B94" s="1">
        <v>0.96</v>
      </c>
      <c r="C94">
        <f t="shared" si="1"/>
        <v>0.17999999999999994</v>
      </c>
    </row>
    <row r="95" spans="1:3">
      <c r="A95" s="1">
        <v>0.8</v>
      </c>
      <c r="B95" s="1">
        <v>0.9</v>
      </c>
      <c r="C95">
        <f t="shared" si="1"/>
        <v>9.9999999999999978E-2</v>
      </c>
    </row>
    <row r="96" spans="1:3">
      <c r="A96" s="1">
        <v>0.25</v>
      </c>
      <c r="B96" s="1">
        <v>0.05</v>
      </c>
      <c r="C96">
        <f t="shared" si="1"/>
        <v>-0.2</v>
      </c>
    </row>
    <row r="97" spans="1:3">
      <c r="A97" s="1">
        <v>0.15</v>
      </c>
      <c r="B97" s="1">
        <v>0.3</v>
      </c>
      <c r="C97">
        <f t="shared" si="1"/>
        <v>0.15</v>
      </c>
    </row>
    <row r="98" spans="1:3">
      <c r="A98" s="1">
        <v>0.3</v>
      </c>
      <c r="B98" s="1">
        <v>0.57999999999999996</v>
      </c>
      <c r="C98">
        <f t="shared" si="1"/>
        <v>0.27999999999999997</v>
      </c>
    </row>
    <row r="99" spans="1:3">
      <c r="A99" s="1">
        <v>0.3</v>
      </c>
      <c r="B99" s="1">
        <v>0.5</v>
      </c>
      <c r="C99">
        <f t="shared" si="1"/>
        <v>0.2</v>
      </c>
    </row>
    <row r="100" spans="1:3">
      <c r="A100" s="1">
        <v>0.26</v>
      </c>
      <c r="B100" s="1">
        <v>0.28999999999999998</v>
      </c>
      <c r="C100">
        <f t="shared" si="1"/>
        <v>2.9999999999999971E-2</v>
      </c>
    </row>
    <row r="101" spans="1:3">
      <c r="A101" s="1">
        <v>0.9</v>
      </c>
      <c r="B101" s="1">
        <v>0.8</v>
      </c>
      <c r="C101">
        <f t="shared" si="1"/>
        <v>-9.9999999999999978E-2</v>
      </c>
    </row>
    <row r="102" spans="1:3">
      <c r="A102" s="1">
        <v>0.56000000000000005</v>
      </c>
      <c r="B102" s="1">
        <v>0.89</v>
      </c>
      <c r="C102">
        <f t="shared" si="1"/>
        <v>0.32999999999999996</v>
      </c>
    </row>
    <row r="103" spans="1:3">
      <c r="A103" s="1">
        <v>0.88</v>
      </c>
      <c r="B103" s="1">
        <v>0.99</v>
      </c>
      <c r="C103">
        <f t="shared" si="1"/>
        <v>0.10999999999999999</v>
      </c>
    </row>
    <row r="104" spans="1:3">
      <c r="A104" s="1">
        <v>0.187</v>
      </c>
      <c r="B104" s="1">
        <v>0.27400000000000002</v>
      </c>
      <c r="C104">
        <f t="shared" si="1"/>
        <v>8.7000000000000022E-2</v>
      </c>
    </row>
    <row r="105" spans="1:3">
      <c r="A105" s="1">
        <v>0.2</v>
      </c>
      <c r="B105" s="1">
        <v>0.8</v>
      </c>
      <c r="C105">
        <f t="shared" si="1"/>
        <v>0.60000000000000009</v>
      </c>
    </row>
    <row r="106" spans="1:3">
      <c r="A106" s="1">
        <v>7.0000000000000007E-2</v>
      </c>
      <c r="B106" s="1">
        <v>0.34</v>
      </c>
      <c r="C106">
        <f t="shared" si="1"/>
        <v>0.27</v>
      </c>
    </row>
    <row r="107" spans="1:3">
      <c r="A107" s="1">
        <v>0.6</v>
      </c>
      <c r="B107" s="1">
        <v>0.8</v>
      </c>
      <c r="C107">
        <f t="shared" si="1"/>
        <v>0.20000000000000007</v>
      </c>
    </row>
    <row r="108" spans="1:3">
      <c r="A108" s="1">
        <v>0.06</v>
      </c>
      <c r="B108" s="1">
        <v>0.33</v>
      </c>
      <c r="C108">
        <f t="shared" si="1"/>
        <v>0.27</v>
      </c>
    </row>
    <row r="109" spans="1:3">
      <c r="A109" s="1">
        <v>0.2</v>
      </c>
      <c r="B109" s="1">
        <v>0.2</v>
      </c>
      <c r="C109">
        <f t="shared" si="1"/>
        <v>0</v>
      </c>
    </row>
    <row r="110" spans="1:3">
      <c r="A110" s="1">
        <v>0.72</v>
      </c>
      <c r="B110" s="1">
        <v>0.01</v>
      </c>
      <c r="C110">
        <f t="shared" si="1"/>
        <v>-0.71</v>
      </c>
    </row>
    <row r="111" spans="1:3">
      <c r="A111" s="1">
        <v>0.50009999999999999</v>
      </c>
      <c r="B111" s="1">
        <v>0.6028</v>
      </c>
      <c r="C111">
        <f t="shared" si="1"/>
        <v>0.10270000000000001</v>
      </c>
    </row>
    <row r="112" spans="1:3">
      <c r="A112" s="1">
        <v>0.5</v>
      </c>
      <c r="B112" s="1">
        <v>0.6</v>
      </c>
      <c r="C112">
        <f t="shared" si="1"/>
        <v>9.9999999999999978E-2</v>
      </c>
    </row>
    <row r="113" spans="1:3">
      <c r="A113" s="1">
        <v>0.3</v>
      </c>
      <c r="B113" s="1">
        <v>0.7</v>
      </c>
      <c r="C113">
        <f t="shared" si="1"/>
        <v>0.39999999999999997</v>
      </c>
    </row>
    <row r="114" spans="1:3">
      <c r="A114" s="1">
        <v>0.4</v>
      </c>
      <c r="B114" s="1">
        <v>0.6</v>
      </c>
      <c r="C114">
        <f t="shared" si="1"/>
        <v>0.19999999999999996</v>
      </c>
    </row>
    <row r="115" spans="1:3">
      <c r="A115" s="1">
        <v>0.4</v>
      </c>
      <c r="B115" s="1">
        <v>0.5</v>
      </c>
      <c r="C115">
        <f t="shared" si="1"/>
        <v>9.9999999999999978E-2</v>
      </c>
    </row>
    <row r="116" spans="1:3">
      <c r="A116" s="1">
        <v>0.26</v>
      </c>
      <c r="B116" s="1">
        <v>0.81</v>
      </c>
      <c r="C116">
        <f t="shared" si="1"/>
        <v>0.55000000000000004</v>
      </c>
    </row>
    <row r="117" spans="1:3">
      <c r="A117" s="1">
        <v>0.44</v>
      </c>
      <c r="B117" s="1">
        <v>0.25</v>
      </c>
      <c r="C117">
        <f t="shared" si="1"/>
        <v>-0.19</v>
      </c>
    </row>
    <row r="118" spans="1:3">
      <c r="A118" s="1">
        <v>0.87</v>
      </c>
      <c r="B118" s="1">
        <v>0.23</v>
      </c>
      <c r="C118">
        <f t="shared" si="1"/>
        <v>-0.64</v>
      </c>
    </row>
    <row r="119" spans="1:3">
      <c r="A119" s="1">
        <v>0.57999999999999996</v>
      </c>
      <c r="B119" s="1">
        <v>0.9</v>
      </c>
      <c r="C119">
        <f t="shared" si="1"/>
        <v>0.32000000000000006</v>
      </c>
    </row>
    <row r="120" spans="1:3">
      <c r="A120" s="1">
        <v>0.03</v>
      </c>
      <c r="B120" s="1">
        <v>0.04</v>
      </c>
      <c r="C120">
        <f t="shared" si="1"/>
        <v>1.0000000000000002E-2</v>
      </c>
    </row>
    <row r="121" spans="1:3">
      <c r="A121" s="1">
        <v>0.45</v>
      </c>
      <c r="B121" s="1">
        <v>0.6</v>
      </c>
      <c r="C121">
        <f t="shared" si="1"/>
        <v>0.14999999999999997</v>
      </c>
    </row>
    <row r="122" spans="1:3">
      <c r="A122" s="1">
        <v>0.2</v>
      </c>
      <c r="B122" s="1">
        <v>0.6</v>
      </c>
      <c r="C122">
        <f t="shared" si="1"/>
        <v>0.39999999999999997</v>
      </c>
    </row>
    <row r="123" spans="1:3">
      <c r="A123" s="1">
        <v>1</v>
      </c>
      <c r="B123" s="1">
        <v>0</v>
      </c>
      <c r="C123">
        <f t="shared" si="1"/>
        <v>-1</v>
      </c>
    </row>
    <row r="124" spans="1:3">
      <c r="A124" s="1">
        <v>0.4</v>
      </c>
      <c r="B124" s="1">
        <v>0.6</v>
      </c>
      <c r="C124">
        <f t="shared" si="1"/>
        <v>0.19999999999999996</v>
      </c>
    </row>
    <row r="125" spans="1:3">
      <c r="A125" s="1">
        <v>0.75</v>
      </c>
      <c r="B125" s="1">
        <v>0.9</v>
      </c>
      <c r="C125">
        <f t="shared" si="1"/>
        <v>0.15000000000000002</v>
      </c>
    </row>
    <row r="126" spans="1:3">
      <c r="A126" s="1">
        <v>0.43</v>
      </c>
      <c r="B126" s="1">
        <v>0.21</v>
      </c>
      <c r="C126">
        <f t="shared" si="1"/>
        <v>-0.22</v>
      </c>
    </row>
    <row r="127" spans="1:3">
      <c r="A127" s="1">
        <v>0</v>
      </c>
      <c r="B127" s="1">
        <v>1</v>
      </c>
      <c r="C127">
        <f t="shared" si="1"/>
        <v>1</v>
      </c>
    </row>
    <row r="128" spans="1:3">
      <c r="A128" s="1">
        <v>0.3</v>
      </c>
      <c r="B128" s="1">
        <v>0.65</v>
      </c>
      <c r="C128">
        <f t="shared" si="1"/>
        <v>0.35000000000000003</v>
      </c>
    </row>
    <row r="129" spans="1:3">
      <c r="A129" s="1">
        <v>0.95</v>
      </c>
      <c r="B129" s="1">
        <v>0.93</v>
      </c>
      <c r="C129">
        <f t="shared" si="1"/>
        <v>-1.9999999999999907E-2</v>
      </c>
    </row>
    <row r="130" spans="1:3">
      <c r="A130" s="1">
        <v>0.21</v>
      </c>
      <c r="B130" s="1">
        <v>0.65</v>
      </c>
      <c r="C130">
        <f t="shared" si="1"/>
        <v>0.44000000000000006</v>
      </c>
    </row>
    <row r="131" spans="1:3">
      <c r="A131" s="1">
        <v>0.45</v>
      </c>
      <c r="B131" s="1">
        <v>0.65</v>
      </c>
      <c r="C131">
        <f t="shared" ref="C131:C194" si="2">B131-A131</f>
        <v>0.2</v>
      </c>
    </row>
    <row r="132" spans="1:3">
      <c r="A132" s="1">
        <v>5.5E-2</v>
      </c>
      <c r="B132" s="1">
        <v>0.06</v>
      </c>
      <c r="C132">
        <f t="shared" si="2"/>
        <v>4.9999999999999975E-3</v>
      </c>
    </row>
    <row r="133" spans="1:3">
      <c r="A133" s="1">
        <v>0.5</v>
      </c>
      <c r="B133" s="1">
        <v>0.3</v>
      </c>
      <c r="C133">
        <f t="shared" si="2"/>
        <v>-0.2</v>
      </c>
    </row>
    <row r="134" spans="1:3">
      <c r="A134" s="1">
        <v>0.9</v>
      </c>
      <c r="B134" s="1">
        <v>0.95</v>
      </c>
      <c r="C134">
        <f t="shared" si="2"/>
        <v>4.9999999999999933E-2</v>
      </c>
    </row>
    <row r="135" spans="1:3">
      <c r="A135" s="1">
        <v>0.88</v>
      </c>
      <c r="B135" s="1">
        <v>0.92</v>
      </c>
      <c r="C135">
        <f t="shared" si="2"/>
        <v>4.0000000000000036E-2</v>
      </c>
    </row>
    <row r="136" spans="1:3">
      <c r="A136" s="1">
        <v>0.9</v>
      </c>
      <c r="B136" s="1">
        <v>0.96</v>
      </c>
      <c r="C136">
        <f t="shared" si="2"/>
        <v>5.9999999999999942E-2</v>
      </c>
    </row>
    <row r="137" spans="1:3">
      <c r="A137" s="1">
        <v>0.5</v>
      </c>
      <c r="B137" s="1">
        <v>0.1</v>
      </c>
      <c r="C137">
        <f t="shared" si="2"/>
        <v>-0.4</v>
      </c>
    </row>
    <row r="138" spans="1:3">
      <c r="A138" s="1">
        <v>0.9</v>
      </c>
      <c r="B138" s="1">
        <v>0.99</v>
      </c>
      <c r="C138">
        <f t="shared" si="2"/>
        <v>8.9999999999999969E-2</v>
      </c>
    </row>
    <row r="139" spans="1:3">
      <c r="A139" s="1">
        <v>0.6</v>
      </c>
      <c r="B139" s="1">
        <v>0.7</v>
      </c>
      <c r="C139">
        <f t="shared" si="2"/>
        <v>9.9999999999999978E-2</v>
      </c>
    </row>
    <row r="140" spans="1:3">
      <c r="A140" s="1">
        <v>0.2</v>
      </c>
      <c r="B140" s="1">
        <v>0.5</v>
      </c>
      <c r="C140">
        <f t="shared" si="2"/>
        <v>0.3</v>
      </c>
    </row>
    <row r="141" spans="1:3">
      <c r="A141" s="1">
        <v>0.8</v>
      </c>
      <c r="B141" s="1">
        <v>1</v>
      </c>
      <c r="C141">
        <f t="shared" si="2"/>
        <v>0.19999999999999996</v>
      </c>
    </row>
    <row r="142" spans="1:3">
      <c r="A142" s="1">
        <v>0.5</v>
      </c>
      <c r="B142" s="1">
        <v>0.75</v>
      </c>
      <c r="C142">
        <f t="shared" si="2"/>
        <v>0.25</v>
      </c>
    </row>
    <row r="143" spans="1:3">
      <c r="A143" s="1">
        <v>0.66</v>
      </c>
      <c r="B143" s="1">
        <v>0.05</v>
      </c>
      <c r="C143">
        <f t="shared" si="2"/>
        <v>-0.61</v>
      </c>
    </row>
    <row r="144" spans="1:3">
      <c r="A144" s="1">
        <v>0.7</v>
      </c>
      <c r="B144" s="1">
        <v>0.9</v>
      </c>
      <c r="C144">
        <f t="shared" si="2"/>
        <v>0.20000000000000007</v>
      </c>
    </row>
    <row r="145" spans="1:3">
      <c r="A145" s="1">
        <v>0.21</v>
      </c>
      <c r="B145" s="1">
        <v>0.15</v>
      </c>
      <c r="C145">
        <f t="shared" si="2"/>
        <v>-0.06</v>
      </c>
    </row>
    <row r="146" spans="1:3">
      <c r="A146" s="1">
        <v>0.50009999999999999</v>
      </c>
      <c r="B146" s="1">
        <v>0.6028</v>
      </c>
      <c r="C146">
        <f t="shared" si="2"/>
        <v>0.10270000000000001</v>
      </c>
    </row>
    <row r="147" spans="1:3">
      <c r="A147" s="1">
        <v>0.06</v>
      </c>
      <c r="B147" s="1">
        <v>0.7</v>
      </c>
      <c r="C147">
        <f t="shared" si="2"/>
        <v>0.6399999999999999</v>
      </c>
    </row>
    <row r="148" spans="1:3">
      <c r="A148" s="1">
        <v>0.45</v>
      </c>
      <c r="B148" s="1">
        <v>0.85</v>
      </c>
      <c r="C148">
        <f t="shared" si="2"/>
        <v>0.39999999999999997</v>
      </c>
    </row>
    <row r="149" spans="1:3">
      <c r="A149" s="1">
        <v>0.34</v>
      </c>
      <c r="B149" s="1">
        <v>0.16</v>
      </c>
      <c r="C149">
        <f t="shared" si="2"/>
        <v>-0.18000000000000002</v>
      </c>
    </row>
    <row r="150" spans="1:3">
      <c r="A150" s="1">
        <v>0.08</v>
      </c>
      <c r="B150" s="1">
        <v>0.4</v>
      </c>
      <c r="C150">
        <f t="shared" si="2"/>
        <v>0.32</v>
      </c>
    </row>
    <row r="151" spans="1:3">
      <c r="A151" s="1">
        <v>0.64</v>
      </c>
      <c r="B151" s="1">
        <v>0.78</v>
      </c>
      <c r="C151">
        <f t="shared" si="2"/>
        <v>0.14000000000000001</v>
      </c>
    </row>
    <row r="152" spans="1:3">
      <c r="A152" s="1">
        <v>0.25</v>
      </c>
      <c r="B152" s="1">
        <v>0.8</v>
      </c>
      <c r="C152">
        <f t="shared" si="2"/>
        <v>0.55000000000000004</v>
      </c>
    </row>
    <row r="153" spans="1:3">
      <c r="A153" s="1">
        <v>0.8</v>
      </c>
      <c r="B153" s="1">
        <v>0.95</v>
      </c>
      <c r="C153">
        <f t="shared" si="2"/>
        <v>0.14999999999999991</v>
      </c>
    </row>
    <row r="154" spans="1:3">
      <c r="A154" s="1">
        <v>0.63</v>
      </c>
      <c r="B154" s="1">
        <v>0.28999999999999998</v>
      </c>
      <c r="C154">
        <f t="shared" si="2"/>
        <v>-0.34</v>
      </c>
    </row>
    <row r="155" spans="1:3">
      <c r="A155" s="1">
        <v>7.0749999999999993E-2</v>
      </c>
      <c r="B155" s="1">
        <v>0.33901999999999999</v>
      </c>
      <c r="C155">
        <f t="shared" si="2"/>
        <v>0.26827000000000001</v>
      </c>
    </row>
    <row r="156" spans="1:3">
      <c r="A156" s="1">
        <v>0.6</v>
      </c>
      <c r="B156" s="1">
        <v>0.7</v>
      </c>
      <c r="C156">
        <f t="shared" si="2"/>
        <v>9.9999999999999978E-2</v>
      </c>
    </row>
    <row r="157" spans="1:3">
      <c r="A157" s="1">
        <v>0.50009999999999999</v>
      </c>
      <c r="B157" s="1">
        <v>0.6028</v>
      </c>
      <c r="C157">
        <f t="shared" si="2"/>
        <v>0.10270000000000001</v>
      </c>
    </row>
    <row r="158" spans="1:3">
      <c r="A158" s="1">
        <v>0.3</v>
      </c>
      <c r="B158" s="1">
        <v>0.6</v>
      </c>
      <c r="C158">
        <f t="shared" si="2"/>
        <v>0.3</v>
      </c>
    </row>
    <row r="159" spans="1:3">
      <c r="A159" s="1">
        <v>0.05</v>
      </c>
      <c r="B159" s="1">
        <v>0.02</v>
      </c>
      <c r="C159">
        <f t="shared" si="2"/>
        <v>-3.0000000000000002E-2</v>
      </c>
    </row>
    <row r="160" spans="1:3">
      <c r="A160" s="1">
        <v>0.3</v>
      </c>
      <c r="B160" s="1">
        <v>0.4</v>
      </c>
      <c r="C160">
        <f t="shared" si="2"/>
        <v>0.10000000000000003</v>
      </c>
    </row>
    <row r="161" spans="1:3">
      <c r="A161" s="1">
        <v>0.03</v>
      </c>
      <c r="B161" s="1">
        <v>0.05</v>
      </c>
      <c r="C161">
        <f t="shared" si="2"/>
        <v>2.0000000000000004E-2</v>
      </c>
    </row>
    <row r="162" spans="1:3">
      <c r="A162" s="1">
        <v>0.5</v>
      </c>
      <c r="B162" s="1">
        <v>0.4</v>
      </c>
      <c r="C162">
        <f t="shared" si="2"/>
        <v>-9.9999999999999978E-2</v>
      </c>
    </row>
    <row r="163" spans="1:3">
      <c r="A163" s="1">
        <v>0.79</v>
      </c>
      <c r="B163" s="1">
        <v>0.92</v>
      </c>
      <c r="C163">
        <f t="shared" si="2"/>
        <v>0.13</v>
      </c>
    </row>
    <row r="164" spans="1:3">
      <c r="A164" s="1">
        <v>0.83</v>
      </c>
      <c r="B164" s="1">
        <v>0.91</v>
      </c>
      <c r="C164">
        <f t="shared" si="2"/>
        <v>8.0000000000000071E-2</v>
      </c>
    </row>
    <row r="165" spans="1:3">
      <c r="A165" s="1">
        <v>0.8</v>
      </c>
      <c r="B165" s="1">
        <v>0.83</v>
      </c>
      <c r="C165">
        <f t="shared" si="2"/>
        <v>2.9999999999999916E-2</v>
      </c>
    </row>
    <row r="166" spans="1:3">
      <c r="A166" s="1">
        <v>0.9</v>
      </c>
      <c r="B166" s="1">
        <v>0.9</v>
      </c>
      <c r="C166">
        <f t="shared" si="2"/>
        <v>0</v>
      </c>
    </row>
    <row r="167" spans="1:3">
      <c r="A167" s="1">
        <v>0.17</v>
      </c>
      <c r="B167" s="1">
        <v>0.17</v>
      </c>
      <c r="C167">
        <f t="shared" si="2"/>
        <v>0</v>
      </c>
    </row>
    <row r="168" spans="1:3">
      <c r="A168" s="1">
        <v>0.4</v>
      </c>
      <c r="B168" s="1">
        <v>0.6</v>
      </c>
      <c r="C168">
        <f t="shared" si="2"/>
        <v>0.19999999999999996</v>
      </c>
    </row>
    <row r="169" spans="1:3">
      <c r="A169" s="1">
        <v>0.2</v>
      </c>
      <c r="B169" s="1">
        <v>0.4</v>
      </c>
      <c r="C169">
        <f t="shared" si="2"/>
        <v>0.2</v>
      </c>
    </row>
    <row r="170" spans="1:3">
      <c r="A170" s="1">
        <v>0.04</v>
      </c>
      <c r="B170" s="1">
        <v>7.0000000000000007E-2</v>
      </c>
      <c r="C170">
        <f t="shared" si="2"/>
        <v>3.0000000000000006E-2</v>
      </c>
    </row>
    <row r="171" spans="1:3">
      <c r="A171" s="1">
        <v>0.75</v>
      </c>
      <c r="B171" s="1">
        <v>0.23</v>
      </c>
      <c r="C171">
        <f t="shared" si="2"/>
        <v>-0.52</v>
      </c>
    </row>
    <row r="172" spans="1:3">
      <c r="A172" s="1">
        <v>0.2</v>
      </c>
      <c r="B172" s="1">
        <v>0.4</v>
      </c>
      <c r="C172">
        <f t="shared" si="2"/>
        <v>0.2</v>
      </c>
    </row>
    <row r="173" spans="1:3">
      <c r="A173" s="1">
        <v>0.25</v>
      </c>
      <c r="B173" s="1">
        <v>0.4</v>
      </c>
      <c r="C173">
        <f t="shared" si="2"/>
        <v>0.15000000000000002</v>
      </c>
    </row>
    <row r="174" spans="1:3">
      <c r="A174" s="1">
        <v>0.5</v>
      </c>
      <c r="B174" s="1">
        <v>0.1</v>
      </c>
      <c r="C174">
        <f t="shared" si="2"/>
        <v>-0.4</v>
      </c>
    </row>
    <row r="175" spans="1:3">
      <c r="A175" s="1">
        <v>0.8</v>
      </c>
      <c r="B175" s="1">
        <v>0.92</v>
      </c>
      <c r="C175">
        <f t="shared" si="2"/>
        <v>0.12</v>
      </c>
    </row>
    <row r="176" spans="1:3">
      <c r="A176" s="1">
        <v>0.99</v>
      </c>
      <c r="B176" s="1">
        <v>0.99</v>
      </c>
      <c r="C176">
        <f t="shared" si="2"/>
        <v>0</v>
      </c>
    </row>
    <row r="177" spans="1:3">
      <c r="A177" s="1">
        <v>0.02</v>
      </c>
      <c r="B177" s="1">
        <v>0.23</v>
      </c>
      <c r="C177">
        <f t="shared" si="2"/>
        <v>0.21000000000000002</v>
      </c>
    </row>
    <row r="178" spans="1:3">
      <c r="A178" s="1">
        <v>0.05</v>
      </c>
      <c r="B178" s="1">
        <v>7.0000000000000007E-2</v>
      </c>
      <c r="C178">
        <f t="shared" si="2"/>
        <v>2.0000000000000004E-2</v>
      </c>
    </row>
    <row r="179" spans="1:3">
      <c r="A179" s="1">
        <v>0.2</v>
      </c>
      <c r="B179" s="1">
        <v>0.47</v>
      </c>
      <c r="C179">
        <f t="shared" si="2"/>
        <v>0.26999999999999996</v>
      </c>
    </row>
    <row r="180" spans="1:3">
      <c r="A180" s="1">
        <v>0.5</v>
      </c>
      <c r="B180" s="1">
        <v>0.1</v>
      </c>
      <c r="C180">
        <f t="shared" si="2"/>
        <v>-0.4</v>
      </c>
    </row>
    <row r="181" spans="1:3">
      <c r="A181" s="1">
        <v>0.6</v>
      </c>
      <c r="B181" s="1">
        <v>0.8</v>
      </c>
      <c r="C181">
        <f t="shared" si="2"/>
        <v>0.20000000000000007</v>
      </c>
    </row>
    <row r="182" spans="1:3">
      <c r="A182" s="1">
        <v>0.2</v>
      </c>
      <c r="B182" s="1">
        <v>0.5</v>
      </c>
      <c r="C182">
        <f t="shared" si="2"/>
        <v>0.3</v>
      </c>
    </row>
    <row r="183" spans="1:3">
      <c r="A183" s="1">
        <v>0.02</v>
      </c>
      <c r="B183" s="1">
        <v>0.45</v>
      </c>
      <c r="C183">
        <f t="shared" si="2"/>
        <v>0.43</v>
      </c>
    </row>
    <row r="184" spans="1:3">
      <c r="A184" s="1">
        <v>0.2117</v>
      </c>
      <c r="B184" s="1">
        <v>0.61919999999999997</v>
      </c>
      <c r="C184">
        <f t="shared" si="2"/>
        <v>0.40749999999999997</v>
      </c>
    </row>
    <row r="185" spans="1:3">
      <c r="A185" s="1">
        <v>0.6</v>
      </c>
      <c r="B185" s="1">
        <v>0.2</v>
      </c>
      <c r="C185">
        <f t="shared" si="2"/>
        <v>-0.39999999999999997</v>
      </c>
    </row>
    <row r="186" spans="1:3">
      <c r="A186" s="1">
        <v>0.7</v>
      </c>
      <c r="B186" s="1">
        <v>0.99990000000000001</v>
      </c>
      <c r="C186">
        <f t="shared" si="2"/>
        <v>0.29990000000000006</v>
      </c>
    </row>
    <row r="187" spans="1:3">
      <c r="A187" s="1">
        <v>0.03</v>
      </c>
      <c r="B187" s="1">
        <v>0.85</v>
      </c>
      <c r="C187">
        <f t="shared" si="2"/>
        <v>0.82</v>
      </c>
    </row>
    <row r="188" spans="1:3">
      <c r="A188" s="1">
        <v>0.02</v>
      </c>
      <c r="B188" s="1">
        <v>0.5</v>
      </c>
      <c r="C188">
        <f t="shared" si="2"/>
        <v>0.48</v>
      </c>
    </row>
    <row r="189" spans="1:3">
      <c r="A189" s="1">
        <v>0.35759999999999997</v>
      </c>
      <c r="B189" s="1">
        <v>0.82130000000000003</v>
      </c>
      <c r="C189">
        <f t="shared" si="2"/>
        <v>0.46370000000000006</v>
      </c>
    </row>
    <row r="190" spans="1:3">
      <c r="A190" s="1">
        <v>0.67</v>
      </c>
      <c r="B190" s="1">
        <v>0.88</v>
      </c>
      <c r="C190">
        <f t="shared" si="2"/>
        <v>0.20999999999999996</v>
      </c>
    </row>
    <row r="191" spans="1:3">
      <c r="A191" s="1">
        <v>0.86</v>
      </c>
      <c r="B191" s="1">
        <v>0.89</v>
      </c>
      <c r="C191">
        <f t="shared" si="2"/>
        <v>3.0000000000000027E-2</v>
      </c>
    </row>
    <row r="192" spans="1:3">
      <c r="A192" s="1">
        <v>0.7</v>
      </c>
      <c r="B192" s="1">
        <v>0.3</v>
      </c>
      <c r="C192">
        <f t="shared" si="2"/>
        <v>-0.39999999999999997</v>
      </c>
    </row>
    <row r="193" spans="1:3">
      <c r="A193" s="1">
        <v>0.2</v>
      </c>
      <c r="B193" s="1">
        <v>0.3</v>
      </c>
      <c r="C193">
        <f t="shared" si="2"/>
        <v>9.9999999999999978E-2</v>
      </c>
    </row>
    <row r="194" spans="1:3">
      <c r="A194" s="1">
        <v>0.56000000000000005</v>
      </c>
      <c r="B194" s="1">
        <v>0.65</v>
      </c>
      <c r="C194">
        <f t="shared" si="2"/>
        <v>8.9999999999999969E-2</v>
      </c>
    </row>
    <row r="195" spans="1:3">
      <c r="A195" s="1">
        <v>0.4</v>
      </c>
      <c r="B195" s="1">
        <v>0.8</v>
      </c>
      <c r="C195">
        <f t="shared" ref="C195:C258" si="3">B195-A195</f>
        <v>0.4</v>
      </c>
    </row>
    <row r="196" spans="1:3">
      <c r="A196" s="1">
        <v>0.6</v>
      </c>
      <c r="B196" s="1">
        <v>0.88</v>
      </c>
      <c r="C196">
        <f t="shared" si="3"/>
        <v>0.28000000000000003</v>
      </c>
    </row>
    <row r="197" spans="1:3">
      <c r="A197" s="1">
        <v>0.95</v>
      </c>
      <c r="B197" s="1">
        <v>0.9</v>
      </c>
      <c r="C197">
        <f t="shared" si="3"/>
        <v>-4.9999999999999933E-2</v>
      </c>
    </row>
    <row r="198" spans="1:3">
      <c r="A198" s="1">
        <v>0.1</v>
      </c>
      <c r="B198" s="1">
        <v>0.2</v>
      </c>
      <c r="C198">
        <f t="shared" si="3"/>
        <v>0.1</v>
      </c>
    </row>
    <row r="199" spans="1:3">
      <c r="A199" s="1">
        <v>1</v>
      </c>
      <c r="B199" s="1">
        <v>1</v>
      </c>
      <c r="C199">
        <f t="shared" si="3"/>
        <v>0</v>
      </c>
    </row>
    <row r="200" spans="1:3">
      <c r="A200" s="1">
        <v>0.3</v>
      </c>
      <c r="B200" s="1">
        <v>0.5</v>
      </c>
      <c r="C200">
        <f t="shared" si="3"/>
        <v>0.2</v>
      </c>
    </row>
    <row r="201" spans="1:3">
      <c r="A201" s="1">
        <v>0.3</v>
      </c>
      <c r="B201" s="1">
        <v>0.5</v>
      </c>
      <c r="C201">
        <f t="shared" si="3"/>
        <v>0.2</v>
      </c>
    </row>
    <row r="202" spans="1:3">
      <c r="A202" s="1">
        <v>0.3</v>
      </c>
      <c r="B202" s="1">
        <v>0.9</v>
      </c>
      <c r="C202">
        <f t="shared" si="3"/>
        <v>0.60000000000000009</v>
      </c>
    </row>
    <row r="203" spans="1:3">
      <c r="A203" s="1">
        <v>0.2</v>
      </c>
      <c r="B203" s="1">
        <v>0.3</v>
      </c>
      <c r="C203">
        <f t="shared" si="3"/>
        <v>9.9999999999999978E-2</v>
      </c>
    </row>
    <row r="204" spans="1:3">
      <c r="A204" s="1">
        <v>0.64680000000000004</v>
      </c>
      <c r="B204" s="1">
        <v>0.78710000000000002</v>
      </c>
      <c r="C204">
        <f t="shared" si="3"/>
        <v>0.14029999999999998</v>
      </c>
    </row>
    <row r="205" spans="1:3">
      <c r="A205" s="1">
        <v>0.7</v>
      </c>
      <c r="B205" s="1">
        <v>0.8</v>
      </c>
      <c r="C205">
        <f t="shared" si="3"/>
        <v>0.10000000000000009</v>
      </c>
    </row>
    <row r="206" spans="1:3">
      <c r="A206" s="1">
        <v>0.50009999999999999</v>
      </c>
      <c r="B206" s="1">
        <v>0.6028</v>
      </c>
      <c r="C206">
        <f t="shared" si="3"/>
        <v>0.10270000000000001</v>
      </c>
    </row>
    <row r="207" spans="1:3">
      <c r="A207" s="1">
        <v>0.35699999999999998</v>
      </c>
      <c r="B207" s="1">
        <v>0.95599999999999996</v>
      </c>
      <c r="C207">
        <f t="shared" si="3"/>
        <v>0.59899999999999998</v>
      </c>
    </row>
    <row r="208" spans="1:3">
      <c r="A208" s="1">
        <v>0.63</v>
      </c>
      <c r="B208" s="1">
        <v>0.47</v>
      </c>
      <c r="C208">
        <f t="shared" si="3"/>
        <v>-0.16000000000000003</v>
      </c>
    </row>
    <row r="209" spans="1:3">
      <c r="A209" s="1">
        <v>0.35</v>
      </c>
      <c r="B209" s="1">
        <v>0.96543000000000001</v>
      </c>
      <c r="C209">
        <f t="shared" si="3"/>
        <v>0.61543000000000003</v>
      </c>
    </row>
    <row r="210" spans="1:3">
      <c r="A210" s="1">
        <v>0.56699999999999995</v>
      </c>
      <c r="B210" s="1">
        <v>0.67700000000000005</v>
      </c>
      <c r="C210">
        <f t="shared" si="3"/>
        <v>0.1100000000000001</v>
      </c>
    </row>
    <row r="211" spans="1:3">
      <c r="A211" s="1">
        <v>0.49580000000000002</v>
      </c>
      <c r="B211" s="1">
        <v>0.59760000000000002</v>
      </c>
      <c r="C211">
        <f t="shared" si="3"/>
        <v>0.1018</v>
      </c>
    </row>
    <row r="212" spans="1:3">
      <c r="A212" s="1">
        <v>0.5</v>
      </c>
      <c r="B212" s="1">
        <v>0.6</v>
      </c>
      <c r="C212">
        <f t="shared" si="3"/>
        <v>9.9999999999999978E-2</v>
      </c>
    </row>
    <row r="213" spans="1:3">
      <c r="A213" s="1">
        <v>0.13</v>
      </c>
      <c r="B213" s="1">
        <v>0.2</v>
      </c>
      <c r="C213">
        <f t="shared" si="3"/>
        <v>7.0000000000000007E-2</v>
      </c>
    </row>
    <row r="214" spans="1:3">
      <c r="A214" s="1">
        <v>0.4</v>
      </c>
      <c r="B214" s="1">
        <v>0.6</v>
      </c>
      <c r="C214">
        <f t="shared" si="3"/>
        <v>0.19999999999999996</v>
      </c>
    </row>
    <row r="215" spans="1:3">
      <c r="A215" s="1">
        <v>0.7</v>
      </c>
      <c r="B215" s="1">
        <v>0.73</v>
      </c>
      <c r="C215">
        <f t="shared" si="3"/>
        <v>3.0000000000000027E-2</v>
      </c>
    </row>
    <row r="216" spans="1:3">
      <c r="A216" s="1">
        <v>0.94</v>
      </c>
      <c r="B216" s="1">
        <v>0.95</v>
      </c>
      <c r="C216">
        <f t="shared" si="3"/>
        <v>1.0000000000000009E-2</v>
      </c>
    </row>
    <row r="217" spans="1:3">
      <c r="A217" s="1">
        <v>0.8</v>
      </c>
      <c r="B217" s="1">
        <v>0.13</v>
      </c>
      <c r="C217">
        <f t="shared" si="3"/>
        <v>-0.67</v>
      </c>
    </row>
    <row r="218" spans="1:3">
      <c r="A218" s="1">
        <v>0.13</v>
      </c>
      <c r="B218" s="1">
        <v>0.2</v>
      </c>
      <c r="C218">
        <f t="shared" si="3"/>
        <v>7.0000000000000007E-2</v>
      </c>
    </row>
    <row r="219" spans="1:3">
      <c r="A219" s="1">
        <v>0.69</v>
      </c>
      <c r="B219" s="1">
        <v>0.9</v>
      </c>
      <c r="C219">
        <f t="shared" si="3"/>
        <v>0.21000000000000008</v>
      </c>
    </row>
    <row r="220" spans="1:3">
      <c r="A220" s="1">
        <v>0.3</v>
      </c>
      <c r="B220" s="1">
        <v>0.6</v>
      </c>
      <c r="C220">
        <f t="shared" si="3"/>
        <v>0.3</v>
      </c>
    </row>
    <row r="221" spans="1:3">
      <c r="A221" s="1">
        <v>0.25</v>
      </c>
      <c r="B221" s="1">
        <v>0.6</v>
      </c>
      <c r="C221">
        <f t="shared" si="3"/>
        <v>0.35</v>
      </c>
    </row>
    <row r="222" spans="1:3">
      <c r="A222" s="1">
        <v>0.04</v>
      </c>
      <c r="B222" s="1">
        <v>0.28000000000000003</v>
      </c>
      <c r="C222">
        <f t="shared" si="3"/>
        <v>0.24000000000000002</v>
      </c>
    </row>
    <row r="223" spans="1:3">
      <c r="A223" s="1">
        <v>0.4</v>
      </c>
      <c r="B223" s="1">
        <v>0.3</v>
      </c>
      <c r="C223">
        <f t="shared" si="3"/>
        <v>-0.10000000000000003</v>
      </c>
    </row>
    <row r="224" spans="1:3">
      <c r="A224" s="1">
        <v>0.1</v>
      </c>
      <c r="B224" s="1">
        <v>0.75</v>
      </c>
      <c r="C224">
        <f t="shared" si="3"/>
        <v>0.65</v>
      </c>
    </row>
    <row r="225" spans="1:3">
      <c r="A225" s="1">
        <v>0.5</v>
      </c>
      <c r="B225" s="1">
        <v>0.7</v>
      </c>
      <c r="C225">
        <f t="shared" si="3"/>
        <v>0.19999999999999996</v>
      </c>
    </row>
    <row r="226" spans="1:3">
      <c r="A226" s="1">
        <v>0.5</v>
      </c>
      <c r="B226" s="1">
        <v>0.75</v>
      </c>
      <c r="C226">
        <f t="shared" si="3"/>
        <v>0.25</v>
      </c>
    </row>
    <row r="227" spans="1:3">
      <c r="A227" s="1">
        <v>0.3</v>
      </c>
      <c r="B227" s="1">
        <v>0.5</v>
      </c>
      <c r="C227">
        <f t="shared" si="3"/>
        <v>0.2</v>
      </c>
    </row>
    <row r="228" spans="1:3">
      <c r="A228" s="1">
        <v>0.8</v>
      </c>
      <c r="B228" s="1">
        <v>0.85</v>
      </c>
      <c r="C228">
        <f t="shared" si="3"/>
        <v>4.9999999999999933E-2</v>
      </c>
    </row>
    <row r="229" spans="1:3">
      <c r="A229" s="1">
        <v>0.27</v>
      </c>
      <c r="B229" s="1">
        <v>0.54</v>
      </c>
      <c r="C229">
        <f t="shared" si="3"/>
        <v>0.27</v>
      </c>
    </row>
    <row r="230" spans="1:3">
      <c r="A230" s="1">
        <v>0.65</v>
      </c>
      <c r="B230" s="1">
        <v>0.75</v>
      </c>
      <c r="C230">
        <f t="shared" si="3"/>
        <v>9.9999999999999978E-2</v>
      </c>
    </row>
    <row r="231" spans="1:3">
      <c r="A231" s="1">
        <v>0.45</v>
      </c>
      <c r="B231" s="1">
        <v>0.55000000000000004</v>
      </c>
      <c r="C231">
        <f t="shared" si="3"/>
        <v>0.10000000000000003</v>
      </c>
    </row>
    <row r="232" spans="1:3">
      <c r="A232" s="1">
        <v>0.4</v>
      </c>
      <c r="B232" s="1">
        <v>0.5</v>
      </c>
      <c r="C232">
        <f t="shared" si="3"/>
        <v>9.9999999999999978E-2</v>
      </c>
    </row>
    <row r="233" spans="1:3">
      <c r="A233" s="1">
        <v>0.25</v>
      </c>
      <c r="B233" s="1">
        <v>0.3</v>
      </c>
      <c r="C233">
        <f t="shared" si="3"/>
        <v>4.9999999999999989E-2</v>
      </c>
    </row>
    <row r="234" spans="1:3">
      <c r="A234" s="1">
        <v>0.12</v>
      </c>
      <c r="B234" s="1">
        <v>0.35</v>
      </c>
      <c r="C234">
        <f t="shared" si="3"/>
        <v>0.22999999999999998</v>
      </c>
    </row>
    <row r="235" spans="1:3">
      <c r="A235" s="1">
        <v>0.35</v>
      </c>
      <c r="B235" s="1">
        <v>0.6</v>
      </c>
      <c r="C235">
        <f t="shared" si="3"/>
        <v>0.25</v>
      </c>
    </row>
    <row r="236" spans="1:3">
      <c r="A236" s="1">
        <v>0.5</v>
      </c>
      <c r="B236" s="1">
        <v>0.6</v>
      </c>
      <c r="C236">
        <f t="shared" si="3"/>
        <v>9.9999999999999978E-2</v>
      </c>
    </row>
    <row r="237" spans="1:3">
      <c r="A237" s="1">
        <v>0.3</v>
      </c>
      <c r="B237" s="1">
        <v>0.81</v>
      </c>
      <c r="C237">
        <f t="shared" si="3"/>
        <v>0.51</v>
      </c>
    </row>
    <row r="238" spans="1:3">
      <c r="A238" s="1">
        <v>0.35</v>
      </c>
      <c r="B238" s="1">
        <v>0.8</v>
      </c>
      <c r="C238">
        <f t="shared" si="3"/>
        <v>0.45000000000000007</v>
      </c>
    </row>
    <row r="239" spans="1:3">
      <c r="A239" s="1">
        <v>0.25</v>
      </c>
      <c r="B239" s="1">
        <v>0.8</v>
      </c>
      <c r="C239">
        <f t="shared" si="3"/>
        <v>0.55000000000000004</v>
      </c>
    </row>
    <row r="240" spans="1:3">
      <c r="A240" s="1">
        <v>0.65</v>
      </c>
      <c r="B240" s="1">
        <v>0.8</v>
      </c>
      <c r="C240">
        <f t="shared" si="3"/>
        <v>0.15000000000000002</v>
      </c>
    </row>
    <row r="241" spans="1:3">
      <c r="A241" s="1">
        <v>0.2</v>
      </c>
      <c r="B241" s="1">
        <v>0.53</v>
      </c>
      <c r="C241">
        <f t="shared" si="3"/>
        <v>0.33</v>
      </c>
    </row>
    <row r="242" spans="1:3">
      <c r="A242" s="1">
        <v>0.15</v>
      </c>
      <c r="B242" s="1">
        <v>0.4</v>
      </c>
      <c r="C242">
        <f t="shared" si="3"/>
        <v>0.25</v>
      </c>
    </row>
    <row r="243" spans="1:3">
      <c r="A243" s="1">
        <v>0.50010469999999996</v>
      </c>
      <c r="B243" s="1">
        <v>0.39723444400000002</v>
      </c>
      <c r="C243">
        <f t="shared" si="3"/>
        <v>-0.10287025599999994</v>
      </c>
    </row>
    <row r="244" spans="1:3">
      <c r="A244" s="1">
        <v>0.64680000000000004</v>
      </c>
      <c r="B244" s="1">
        <v>0.78169999999999995</v>
      </c>
      <c r="C244">
        <f t="shared" si="3"/>
        <v>0.13489999999999991</v>
      </c>
    </row>
    <row r="245" spans="1:3">
      <c r="A245" s="1">
        <v>0.9</v>
      </c>
      <c r="B245" s="1">
        <v>0.8</v>
      </c>
      <c r="C245">
        <f t="shared" si="3"/>
        <v>-9.9999999999999978E-2</v>
      </c>
    </row>
    <row r="246" spans="1:3">
      <c r="A246" s="1">
        <v>0.9</v>
      </c>
      <c r="B246" s="1">
        <v>0.95</v>
      </c>
      <c r="C246">
        <f t="shared" si="3"/>
        <v>4.9999999999999933E-2</v>
      </c>
    </row>
    <row r="247" spans="1:3">
      <c r="A247" s="1">
        <v>0.1</v>
      </c>
      <c r="B247" s="1">
        <v>0.1</v>
      </c>
      <c r="C247">
        <f t="shared" si="3"/>
        <v>0</v>
      </c>
    </row>
    <row r="248" spans="1:3">
      <c r="A248" s="1">
        <v>0.95</v>
      </c>
      <c r="B248" s="1">
        <v>0.99</v>
      </c>
      <c r="C248">
        <f t="shared" si="3"/>
        <v>4.0000000000000036E-2</v>
      </c>
    </row>
    <row r="249" spans="1:3">
      <c r="A249" s="1">
        <v>0.8</v>
      </c>
      <c r="B249" s="1">
        <v>0.4</v>
      </c>
      <c r="C249">
        <f t="shared" si="3"/>
        <v>-0.4</v>
      </c>
    </row>
    <row r="250" spans="1:3">
      <c r="A250" s="1">
        <v>0.3</v>
      </c>
      <c r="B250" s="1">
        <v>0.5</v>
      </c>
      <c r="C250">
        <f t="shared" si="3"/>
        <v>0.2</v>
      </c>
    </row>
    <row r="251" spans="1:3">
      <c r="A251" s="1">
        <v>0.78169999999999995</v>
      </c>
      <c r="B251" s="1">
        <v>0.78180000000000005</v>
      </c>
      <c r="C251">
        <f t="shared" si="3"/>
        <v>1.0000000000010001E-4</v>
      </c>
    </row>
    <row r="252" spans="1:3">
      <c r="A252" s="1">
        <v>1</v>
      </c>
      <c r="B252" s="1">
        <v>1</v>
      </c>
      <c r="C252">
        <f t="shared" si="3"/>
        <v>0</v>
      </c>
    </row>
    <row r="253" spans="1:3">
      <c r="A253" s="1">
        <v>1</v>
      </c>
      <c r="B253" s="1">
        <v>1</v>
      </c>
      <c r="C253">
        <f t="shared" si="3"/>
        <v>0</v>
      </c>
    </row>
    <row r="254" spans="1:3">
      <c r="A254" s="1">
        <v>0.82620000000000005</v>
      </c>
      <c r="B254" s="1">
        <v>0.79469999999999996</v>
      </c>
      <c r="C254">
        <f t="shared" si="3"/>
        <v>-3.1500000000000083E-2</v>
      </c>
    </row>
    <row r="255" spans="1:3">
      <c r="A255" s="1">
        <v>0.5</v>
      </c>
      <c r="B255" s="1">
        <v>0.56000000000000005</v>
      </c>
      <c r="C255">
        <f t="shared" si="3"/>
        <v>6.0000000000000053E-2</v>
      </c>
    </row>
    <row r="256" spans="1:3">
      <c r="A256" s="1">
        <v>0.68210000000000004</v>
      </c>
      <c r="B256" s="1">
        <v>0.70960000000000001</v>
      </c>
      <c r="C256">
        <f t="shared" si="3"/>
        <v>2.7499999999999969E-2</v>
      </c>
    </row>
    <row r="257" spans="1:3">
      <c r="A257" s="1">
        <v>0.49280000000000002</v>
      </c>
      <c r="B257" s="1">
        <v>0.59519999999999995</v>
      </c>
      <c r="C257">
        <f t="shared" si="3"/>
        <v>0.10239999999999994</v>
      </c>
    </row>
    <row r="258" spans="1:3">
      <c r="A258" s="1">
        <v>0.68410000000000004</v>
      </c>
      <c r="B258" s="1">
        <v>0.70979999999999999</v>
      </c>
      <c r="C258">
        <f t="shared" si="3"/>
        <v>2.5699999999999945E-2</v>
      </c>
    </row>
    <row r="259" spans="1:3">
      <c r="A259" s="1">
        <v>0.69440000000000002</v>
      </c>
      <c r="B259" s="1">
        <v>0.53269999999999995</v>
      </c>
      <c r="C259">
        <f t="shared" ref="C259:C322" si="4">B259-A259</f>
        <v>-0.16170000000000007</v>
      </c>
    </row>
    <row r="260" spans="1:3">
      <c r="A260" s="1">
        <v>0.69</v>
      </c>
      <c r="B260" s="1">
        <v>0.71</v>
      </c>
      <c r="C260">
        <f t="shared" si="4"/>
        <v>2.0000000000000018E-2</v>
      </c>
    </row>
    <row r="261" spans="1:3">
      <c r="A261" s="1">
        <v>0.99339999999999995</v>
      </c>
      <c r="B261" s="1">
        <v>0.99780000000000002</v>
      </c>
      <c r="C261">
        <f t="shared" si="4"/>
        <v>4.4000000000000705E-3</v>
      </c>
    </row>
    <row r="262" spans="1:3">
      <c r="A262" s="1">
        <v>0.50009999999999999</v>
      </c>
      <c r="B262" s="1">
        <v>0.6028</v>
      </c>
      <c r="C262">
        <f t="shared" si="4"/>
        <v>0.10270000000000001</v>
      </c>
    </row>
    <row r="263" spans="1:3">
      <c r="A263" s="1">
        <v>0.68410000000000004</v>
      </c>
      <c r="B263" s="1">
        <v>0.70979999999999999</v>
      </c>
      <c r="C263">
        <f t="shared" si="4"/>
        <v>2.5699999999999945E-2</v>
      </c>
    </row>
    <row r="264" spans="1:3">
      <c r="A264" s="1">
        <v>0.95</v>
      </c>
      <c r="B264" s="1">
        <v>0.75</v>
      </c>
      <c r="C264">
        <f t="shared" si="4"/>
        <v>-0.19999999999999996</v>
      </c>
    </row>
    <row r="265" spans="1:3">
      <c r="A265" s="1">
        <v>0.6</v>
      </c>
      <c r="B265" s="1">
        <v>0.1</v>
      </c>
      <c r="C265">
        <f t="shared" si="4"/>
        <v>-0.5</v>
      </c>
    </row>
    <row r="266" spans="1:3">
      <c r="A266" s="1">
        <v>0.25</v>
      </c>
      <c r="B266" s="1">
        <v>0.75</v>
      </c>
      <c r="C266">
        <f t="shared" si="4"/>
        <v>0.5</v>
      </c>
    </row>
    <row r="267" spans="1:3">
      <c r="A267" s="1">
        <v>0.68410000000000004</v>
      </c>
      <c r="B267" s="1">
        <v>0.70979999999999999</v>
      </c>
      <c r="C267">
        <f t="shared" si="4"/>
        <v>2.5699999999999945E-2</v>
      </c>
    </row>
    <row r="268" spans="1:3">
      <c r="A268" s="1">
        <v>1</v>
      </c>
      <c r="B268" s="1">
        <v>1</v>
      </c>
      <c r="C268">
        <f t="shared" si="4"/>
        <v>0</v>
      </c>
    </row>
    <row r="269" spans="1:3">
      <c r="A269" s="1">
        <v>0.68</v>
      </c>
      <c r="B269" s="1">
        <v>0.89</v>
      </c>
      <c r="C269">
        <f t="shared" si="4"/>
        <v>0.20999999999999996</v>
      </c>
    </row>
    <row r="270" spans="1:3">
      <c r="A270" s="1">
        <v>0</v>
      </c>
      <c r="B270" s="1">
        <v>1</v>
      </c>
      <c r="C270">
        <f t="shared" si="4"/>
        <v>1</v>
      </c>
    </row>
    <row r="271" spans="1:3">
      <c r="A271" s="1">
        <v>0.50009999999999999</v>
      </c>
      <c r="B271" s="1">
        <v>0.6028</v>
      </c>
      <c r="C271">
        <f t="shared" si="4"/>
        <v>0.10270000000000001</v>
      </c>
    </row>
    <row r="272" spans="1:3">
      <c r="A272" s="1">
        <v>0.15</v>
      </c>
      <c r="B272" s="1">
        <v>0.8</v>
      </c>
      <c r="C272">
        <f t="shared" si="4"/>
        <v>0.65</v>
      </c>
    </row>
    <row r="273" spans="1:3">
      <c r="A273" s="1">
        <v>0.34599999999999997</v>
      </c>
      <c r="B273" s="1">
        <v>0.14799999999999999</v>
      </c>
      <c r="C273">
        <f t="shared" si="4"/>
        <v>-0.19799999999999998</v>
      </c>
    </row>
    <row r="274" spans="1:3">
      <c r="A274" s="1">
        <v>0.78680000000000005</v>
      </c>
      <c r="B274" s="1">
        <v>0.98980000000000001</v>
      </c>
      <c r="C274">
        <f t="shared" si="4"/>
        <v>0.20299999999999996</v>
      </c>
    </row>
    <row r="275" spans="1:3">
      <c r="A275" s="1">
        <v>0.2467</v>
      </c>
      <c r="B275" s="1">
        <v>0.37459999999999999</v>
      </c>
      <c r="C275">
        <f t="shared" si="4"/>
        <v>0.12789999999999999</v>
      </c>
    </row>
    <row r="276" spans="1:3">
      <c r="A276" s="1">
        <v>0.4</v>
      </c>
      <c r="B276" s="1">
        <v>0.8</v>
      </c>
      <c r="C276">
        <f t="shared" si="4"/>
        <v>0.4</v>
      </c>
    </row>
    <row r="277" spans="1:3">
      <c r="A277" s="1">
        <v>0.37209999999999999</v>
      </c>
      <c r="B277" s="1">
        <v>9.5600000000000004E-2</v>
      </c>
      <c r="C277">
        <f t="shared" si="4"/>
        <v>-0.27649999999999997</v>
      </c>
    </row>
    <row r="278" spans="1:3">
      <c r="A278" s="1">
        <v>0.2</v>
      </c>
      <c r="B278" s="1">
        <v>0.9</v>
      </c>
      <c r="C278">
        <f t="shared" si="4"/>
        <v>0.7</v>
      </c>
    </row>
    <row r="279" spans="1:3">
      <c r="A279" s="1">
        <v>0.5</v>
      </c>
      <c r="B279" s="1">
        <v>0.1</v>
      </c>
      <c r="C279">
        <f t="shared" si="4"/>
        <v>-0.4</v>
      </c>
    </row>
    <row r="280" spans="1:3">
      <c r="A280" s="1">
        <v>0.7</v>
      </c>
      <c r="B280" s="1">
        <v>0.8</v>
      </c>
      <c r="C280">
        <f t="shared" si="4"/>
        <v>0.10000000000000009</v>
      </c>
    </row>
    <row r="281" spans="1:3">
      <c r="A281" s="1">
        <v>0.50009999999999999</v>
      </c>
      <c r="B281" s="1">
        <v>0.60009999999999997</v>
      </c>
      <c r="C281">
        <f t="shared" si="4"/>
        <v>9.9999999999999978E-2</v>
      </c>
    </row>
    <row r="282" spans="1:3">
      <c r="A282" s="1">
        <v>0.95</v>
      </c>
      <c r="B282" s="1">
        <v>0.99</v>
      </c>
      <c r="C282">
        <f t="shared" si="4"/>
        <v>4.0000000000000036E-2</v>
      </c>
    </row>
    <row r="283" spans="1:3">
      <c r="A283" s="1">
        <v>0.99</v>
      </c>
      <c r="B283" s="1">
        <v>0.99</v>
      </c>
      <c r="C283">
        <f t="shared" si="4"/>
        <v>0</v>
      </c>
    </row>
    <row r="284" spans="1:3">
      <c r="A284" s="1">
        <v>0.83919999999999995</v>
      </c>
      <c r="B284" s="1">
        <v>0.93640000000000001</v>
      </c>
      <c r="C284">
        <f t="shared" si="4"/>
        <v>9.7200000000000064E-2</v>
      </c>
    </row>
    <row r="285" spans="1:3">
      <c r="A285" s="1">
        <v>0.05</v>
      </c>
      <c r="B285" s="1">
        <v>7.0000000000000007E-2</v>
      </c>
      <c r="C285">
        <f t="shared" si="4"/>
        <v>2.0000000000000004E-2</v>
      </c>
    </row>
    <row r="286" spans="1:3">
      <c r="A286" s="1">
        <v>0.95</v>
      </c>
      <c r="B286" s="1">
        <v>0.99</v>
      </c>
      <c r="C286">
        <f t="shared" si="4"/>
        <v>4.0000000000000036E-2</v>
      </c>
    </row>
    <row r="287" spans="1:3">
      <c r="A287" s="1">
        <v>0.50009999999999999</v>
      </c>
      <c r="B287" s="1">
        <v>0.6028</v>
      </c>
      <c r="C287">
        <f t="shared" si="4"/>
        <v>0.10270000000000001</v>
      </c>
    </row>
    <row r="288" spans="1:3">
      <c r="A288" s="1">
        <v>0.9</v>
      </c>
      <c r="B288" s="1">
        <v>0.9</v>
      </c>
      <c r="C288">
        <f t="shared" si="4"/>
        <v>0</v>
      </c>
    </row>
    <row r="289" spans="1:3">
      <c r="A289" s="1">
        <v>0.5</v>
      </c>
      <c r="B289" s="1">
        <v>0.9</v>
      </c>
      <c r="C289">
        <f t="shared" si="4"/>
        <v>0.4</v>
      </c>
    </row>
    <row r="290" spans="1:3">
      <c r="A290" s="1">
        <v>0.4</v>
      </c>
      <c r="B290" s="1">
        <v>0.5</v>
      </c>
      <c r="C290">
        <f t="shared" si="4"/>
        <v>9.9999999999999978E-2</v>
      </c>
    </row>
    <row r="291" spans="1:3">
      <c r="A291" s="1">
        <v>0.8</v>
      </c>
      <c r="B291" s="1">
        <v>0.1</v>
      </c>
      <c r="C291">
        <f t="shared" si="4"/>
        <v>-0.70000000000000007</v>
      </c>
    </row>
    <row r="292" spans="1:3">
      <c r="A292" s="1">
        <v>0.06</v>
      </c>
      <c r="B292" s="1">
        <v>0.09</v>
      </c>
      <c r="C292">
        <f t="shared" si="4"/>
        <v>0.03</v>
      </c>
    </row>
    <row r="293" spans="1:3">
      <c r="A293" s="1">
        <v>0</v>
      </c>
      <c r="B293" s="1">
        <v>0.75</v>
      </c>
      <c r="C293">
        <f t="shared" si="4"/>
        <v>0.75</v>
      </c>
    </row>
    <row r="294" spans="1:3">
      <c r="A294" s="1">
        <v>0.8</v>
      </c>
      <c r="B294" s="1">
        <v>0.75</v>
      </c>
      <c r="C294">
        <f t="shared" si="4"/>
        <v>-5.0000000000000044E-2</v>
      </c>
    </row>
    <row r="295" spans="1:3">
      <c r="A295" s="1">
        <v>0.8</v>
      </c>
      <c r="B295" s="1">
        <v>0.9</v>
      </c>
      <c r="C295">
        <f t="shared" si="4"/>
        <v>9.9999999999999978E-2</v>
      </c>
    </row>
    <row r="296" spans="1:3">
      <c r="A296" s="1">
        <v>0.98</v>
      </c>
      <c r="B296" s="1">
        <v>1</v>
      </c>
      <c r="C296">
        <f t="shared" si="4"/>
        <v>2.0000000000000018E-2</v>
      </c>
    </row>
    <row r="297" spans="1:3">
      <c r="A297" s="1">
        <v>0.5</v>
      </c>
      <c r="B297" s="1">
        <v>0.6</v>
      </c>
      <c r="C297">
        <f t="shared" si="4"/>
        <v>9.9999999999999978E-2</v>
      </c>
    </row>
    <row r="298" spans="1:3">
      <c r="A298" s="1">
        <v>0.99</v>
      </c>
      <c r="B298" s="1">
        <v>1</v>
      </c>
      <c r="C298">
        <f t="shared" si="4"/>
        <v>1.0000000000000009E-2</v>
      </c>
    </row>
    <row r="299" spans="1:3">
      <c r="A299" s="1">
        <v>1</v>
      </c>
      <c r="B299" s="1">
        <v>0.99</v>
      </c>
      <c r="C299">
        <f t="shared" si="4"/>
        <v>-1.0000000000000009E-2</v>
      </c>
    </row>
    <row r="300" spans="1:3">
      <c r="A300" s="1">
        <v>0.99</v>
      </c>
      <c r="B300" s="1">
        <v>0.99</v>
      </c>
      <c r="C300">
        <f t="shared" si="4"/>
        <v>0</v>
      </c>
    </row>
    <row r="301" spans="1:3">
      <c r="A301" s="1">
        <v>0.99</v>
      </c>
      <c r="B301" s="1">
        <v>0.99</v>
      </c>
      <c r="C301">
        <f t="shared" si="4"/>
        <v>0</v>
      </c>
    </row>
    <row r="302" spans="1:3">
      <c r="A302" s="1">
        <v>0.4</v>
      </c>
      <c r="B302" s="1">
        <v>0.8</v>
      </c>
      <c r="C302">
        <f t="shared" si="4"/>
        <v>0.4</v>
      </c>
    </row>
    <row r="303" spans="1:3">
      <c r="A303" s="1">
        <v>0.64680000000000004</v>
      </c>
      <c r="B303" s="1">
        <v>0.78169999999999995</v>
      </c>
      <c r="C303">
        <f t="shared" si="4"/>
        <v>0.13489999999999991</v>
      </c>
    </row>
    <row r="304" spans="1:3">
      <c r="A304" s="1">
        <v>0.7</v>
      </c>
      <c r="B304" s="1">
        <v>0.8</v>
      </c>
      <c r="C304">
        <f t="shared" si="4"/>
        <v>0.10000000000000009</v>
      </c>
    </row>
    <row r="305" spans="1:3">
      <c r="A305" s="1">
        <v>0.8</v>
      </c>
      <c r="B305" s="1">
        <v>0.99</v>
      </c>
      <c r="C305">
        <f t="shared" si="4"/>
        <v>0.18999999999999995</v>
      </c>
    </row>
    <row r="306" spans="1:3">
      <c r="A306" s="1">
        <v>0.8</v>
      </c>
      <c r="B306" s="1">
        <v>0.95</v>
      </c>
      <c r="C306">
        <f t="shared" si="4"/>
        <v>0.14999999999999991</v>
      </c>
    </row>
    <row r="307" spans="1:3">
      <c r="A307" s="1">
        <v>0.5</v>
      </c>
      <c r="B307" s="1">
        <v>0.6</v>
      </c>
      <c r="C307">
        <f t="shared" si="4"/>
        <v>9.9999999999999978E-2</v>
      </c>
    </row>
    <row r="308" spans="1:3">
      <c r="A308" s="1">
        <v>0.76890000000000003</v>
      </c>
      <c r="B308" s="1">
        <v>0.59770000000000001</v>
      </c>
      <c r="C308">
        <f t="shared" si="4"/>
        <v>-0.17120000000000002</v>
      </c>
    </row>
    <row r="309" spans="1:3">
      <c r="A309" s="1">
        <v>0.7</v>
      </c>
      <c r="B309" s="1">
        <v>0.8</v>
      </c>
      <c r="C309">
        <f t="shared" si="4"/>
        <v>0.10000000000000009</v>
      </c>
    </row>
    <row r="310" spans="1:3">
      <c r="A310" s="1">
        <v>0.7</v>
      </c>
      <c r="B310" s="1">
        <v>0.8</v>
      </c>
      <c r="C310">
        <f t="shared" si="4"/>
        <v>0.10000000000000009</v>
      </c>
    </row>
    <row r="311" spans="1:3">
      <c r="A311" s="1">
        <v>0.2</v>
      </c>
      <c r="B311" s="1">
        <v>0.5</v>
      </c>
      <c r="C311">
        <f t="shared" si="4"/>
        <v>0.3</v>
      </c>
    </row>
    <row r="312" spans="1:3">
      <c r="A312" s="1">
        <v>0.23499999999999999</v>
      </c>
      <c r="B312" s="1">
        <v>4.7E-2</v>
      </c>
      <c r="C312">
        <f t="shared" si="4"/>
        <v>-0.188</v>
      </c>
    </row>
    <row r="313" spans="1:3">
      <c r="A313" s="1">
        <v>0.9</v>
      </c>
      <c r="B313" s="1">
        <v>0.99990000000000001</v>
      </c>
      <c r="C313">
        <f t="shared" si="4"/>
        <v>9.9899999999999989E-2</v>
      </c>
    </row>
    <row r="314" spans="1:3">
      <c r="A314" s="1">
        <v>0.8</v>
      </c>
      <c r="B314" s="1">
        <v>0.9</v>
      </c>
      <c r="C314">
        <f t="shared" si="4"/>
        <v>9.9999999999999978E-2</v>
      </c>
    </row>
    <row r="315" spans="1:3">
      <c r="A315" s="1">
        <v>0.99873999999999996</v>
      </c>
      <c r="B315" s="1">
        <v>0.99399999999999999</v>
      </c>
      <c r="C315">
        <f t="shared" si="4"/>
        <v>-4.7399999999999665E-3</v>
      </c>
    </row>
    <row r="316" spans="1:3">
      <c r="A316" s="1">
        <v>0.6</v>
      </c>
      <c r="B316" s="1">
        <v>0.8</v>
      </c>
      <c r="C316">
        <f t="shared" si="4"/>
        <v>0.20000000000000007</v>
      </c>
    </row>
    <row r="317" spans="1:3">
      <c r="A317" s="1">
        <v>0.25</v>
      </c>
      <c r="B317" s="1">
        <v>0.4</v>
      </c>
      <c r="C317">
        <f t="shared" si="4"/>
        <v>0.15000000000000002</v>
      </c>
    </row>
    <row r="318" spans="1:3">
      <c r="A318" s="1">
        <v>0.8</v>
      </c>
      <c r="B318" s="1">
        <v>0.9</v>
      </c>
      <c r="C318">
        <f t="shared" si="4"/>
        <v>9.9999999999999978E-2</v>
      </c>
    </row>
    <row r="319" spans="1:3">
      <c r="A319" s="1">
        <v>0.8</v>
      </c>
      <c r="B319" s="1">
        <v>0.8</v>
      </c>
      <c r="C319">
        <f t="shared" si="4"/>
        <v>0</v>
      </c>
    </row>
    <row r="320" spans="1:3">
      <c r="A320" s="1">
        <v>0.4</v>
      </c>
      <c r="B320" s="1">
        <v>0.8</v>
      </c>
      <c r="C320">
        <f t="shared" si="4"/>
        <v>0.4</v>
      </c>
    </row>
    <row r="321" spans="1:3">
      <c r="A321" s="1">
        <v>0.3</v>
      </c>
      <c r="B321" s="1">
        <v>0.4</v>
      </c>
      <c r="C321">
        <f t="shared" si="4"/>
        <v>0.10000000000000003</v>
      </c>
    </row>
    <row r="322" spans="1:3">
      <c r="A322" s="1">
        <v>0.85</v>
      </c>
      <c r="B322" s="1">
        <v>0.87</v>
      </c>
      <c r="C322">
        <f t="shared" si="4"/>
        <v>2.0000000000000018E-2</v>
      </c>
    </row>
    <row r="323" spans="1:3">
      <c r="A323" s="1">
        <v>0.3</v>
      </c>
      <c r="B323" s="1">
        <v>0.4</v>
      </c>
      <c r="C323">
        <f t="shared" ref="C323:C386" si="5">B323-A323</f>
        <v>0.10000000000000003</v>
      </c>
    </row>
    <row r="324" spans="1:3">
      <c r="A324" s="1">
        <v>0.2</v>
      </c>
      <c r="B324" s="1">
        <v>0.4</v>
      </c>
      <c r="C324">
        <f t="shared" si="5"/>
        <v>0.2</v>
      </c>
    </row>
    <row r="325" spans="1:3">
      <c r="A325" s="1">
        <v>0.8</v>
      </c>
      <c r="B325" s="1">
        <v>0.9</v>
      </c>
      <c r="C325">
        <f t="shared" si="5"/>
        <v>9.9999999999999978E-2</v>
      </c>
    </row>
    <row r="326" spans="1:3">
      <c r="A326" s="1">
        <v>0.8</v>
      </c>
      <c r="B326" s="1">
        <v>0.9</v>
      </c>
      <c r="C326">
        <f t="shared" si="5"/>
        <v>9.9999999999999978E-2</v>
      </c>
    </row>
    <row r="327" spans="1:3">
      <c r="A327" s="1">
        <v>0.8</v>
      </c>
      <c r="B327" s="1">
        <v>0.9</v>
      </c>
      <c r="C327">
        <f t="shared" si="5"/>
        <v>9.9999999999999978E-2</v>
      </c>
    </row>
    <row r="328" spans="1:3">
      <c r="A328" s="1">
        <v>0.8</v>
      </c>
      <c r="B328" s="1">
        <v>0.9</v>
      </c>
      <c r="C328">
        <f t="shared" si="5"/>
        <v>9.9999999999999978E-2</v>
      </c>
    </row>
    <row r="329" spans="1:3">
      <c r="A329" s="1">
        <v>0.4</v>
      </c>
      <c r="B329" s="1">
        <v>0.6</v>
      </c>
      <c r="C329">
        <f t="shared" si="5"/>
        <v>0.19999999999999996</v>
      </c>
    </row>
    <row r="330" spans="1:3">
      <c r="A330" s="1">
        <v>0.8</v>
      </c>
      <c r="B330" s="1">
        <v>0.9</v>
      </c>
      <c r="C330">
        <f t="shared" si="5"/>
        <v>9.9999999999999978E-2</v>
      </c>
    </row>
    <row r="331" spans="1:3">
      <c r="A331" s="1">
        <v>0.4</v>
      </c>
      <c r="B331" s="1">
        <v>0.5</v>
      </c>
      <c r="C331">
        <f t="shared" si="5"/>
        <v>9.9999999999999978E-2</v>
      </c>
    </row>
    <row r="332" spans="1:3">
      <c r="A332" s="1">
        <v>0.7</v>
      </c>
      <c r="B332" s="1">
        <v>0.9</v>
      </c>
      <c r="C332">
        <f t="shared" si="5"/>
        <v>0.20000000000000007</v>
      </c>
    </row>
    <row r="333" spans="1:3">
      <c r="A333" s="1">
        <v>0.7</v>
      </c>
      <c r="B333" s="1">
        <v>0.9</v>
      </c>
      <c r="C333">
        <f t="shared" si="5"/>
        <v>0.20000000000000007</v>
      </c>
    </row>
    <row r="334" spans="1:3">
      <c r="A334" s="1">
        <v>2.5999999999999999E-2</v>
      </c>
      <c r="B334" s="1">
        <v>4.2000000000000003E-2</v>
      </c>
      <c r="C334">
        <f t="shared" si="5"/>
        <v>1.6000000000000004E-2</v>
      </c>
    </row>
    <row r="335" spans="1:3">
      <c r="A335" s="1">
        <v>0.85</v>
      </c>
      <c r="B335" s="1">
        <v>0.9</v>
      </c>
      <c r="C335">
        <f t="shared" si="5"/>
        <v>5.0000000000000044E-2</v>
      </c>
    </row>
    <row r="336" spans="1:3">
      <c r="A336" s="1">
        <v>0.75</v>
      </c>
      <c r="B336" s="1">
        <v>0.8</v>
      </c>
      <c r="C336">
        <f t="shared" si="5"/>
        <v>5.0000000000000044E-2</v>
      </c>
    </row>
    <row r="337" spans="1:3">
      <c r="A337" s="1">
        <v>0.9</v>
      </c>
      <c r="B337" s="1">
        <v>0.95</v>
      </c>
      <c r="C337">
        <f t="shared" si="5"/>
        <v>4.9999999999999933E-2</v>
      </c>
    </row>
    <row r="338" spans="1:3">
      <c r="A338" s="1">
        <v>0.2</v>
      </c>
      <c r="B338" s="1">
        <v>0.25</v>
      </c>
      <c r="C338">
        <f t="shared" si="5"/>
        <v>4.9999999999999989E-2</v>
      </c>
    </row>
    <row r="339" spans="1:3">
      <c r="A339" s="1">
        <v>0.7</v>
      </c>
      <c r="B339" s="1">
        <v>0.9</v>
      </c>
      <c r="C339">
        <f t="shared" si="5"/>
        <v>0.20000000000000007</v>
      </c>
    </row>
    <row r="340" spans="1:3">
      <c r="A340" s="1">
        <v>0.7</v>
      </c>
      <c r="B340" s="1">
        <v>0.9</v>
      </c>
      <c r="C340">
        <f t="shared" si="5"/>
        <v>0.20000000000000007</v>
      </c>
    </row>
    <row r="341" spans="1:3">
      <c r="A341" s="1">
        <v>0.5</v>
      </c>
      <c r="B341" s="1">
        <v>0.4</v>
      </c>
      <c r="C341">
        <f t="shared" si="5"/>
        <v>-9.9999999999999978E-2</v>
      </c>
    </row>
    <row r="342" spans="1:3">
      <c r="A342" s="1">
        <v>0.7</v>
      </c>
      <c r="B342" s="1">
        <v>0.8</v>
      </c>
      <c r="C342">
        <f t="shared" si="5"/>
        <v>0.10000000000000009</v>
      </c>
    </row>
    <row r="343" spans="1:3">
      <c r="A343" s="1">
        <v>0.7</v>
      </c>
      <c r="B343" s="1">
        <v>0.96699999999999997</v>
      </c>
      <c r="C343">
        <f t="shared" si="5"/>
        <v>0.26700000000000002</v>
      </c>
    </row>
    <row r="344" spans="1:3">
      <c r="A344" s="1">
        <v>0.5</v>
      </c>
      <c r="B344" s="1">
        <v>0</v>
      </c>
      <c r="C344">
        <f t="shared" si="5"/>
        <v>-0.5</v>
      </c>
    </row>
    <row r="345" spans="1:3">
      <c r="A345" s="1">
        <v>0.25</v>
      </c>
      <c r="B345" s="1">
        <v>0.45</v>
      </c>
      <c r="C345">
        <f t="shared" si="5"/>
        <v>0.2</v>
      </c>
    </row>
    <row r="346" spans="1:3">
      <c r="A346" s="1">
        <v>0.1</v>
      </c>
      <c r="B346" s="1">
        <v>0.35</v>
      </c>
      <c r="C346">
        <f t="shared" si="5"/>
        <v>0.24999999999999997</v>
      </c>
    </row>
    <row r="347" spans="1:3">
      <c r="A347" s="1">
        <v>0.02</v>
      </c>
      <c r="B347" s="1">
        <v>0.6</v>
      </c>
      <c r="C347">
        <f t="shared" si="5"/>
        <v>0.57999999999999996</v>
      </c>
    </row>
    <row r="348" spans="1:3">
      <c r="A348" s="1">
        <v>0.64</v>
      </c>
      <c r="B348" s="1">
        <v>0.78</v>
      </c>
      <c r="C348">
        <f t="shared" si="5"/>
        <v>0.14000000000000001</v>
      </c>
    </row>
    <row r="349" spans="1:3">
      <c r="A349" s="1">
        <v>2E-3</v>
      </c>
      <c r="B349" s="1">
        <v>0.4</v>
      </c>
      <c r="C349">
        <f t="shared" si="5"/>
        <v>0.39800000000000002</v>
      </c>
    </row>
    <row r="350" spans="1:3">
      <c r="A350" s="1">
        <v>0.3</v>
      </c>
      <c r="B350" s="1">
        <v>0.6</v>
      </c>
      <c r="C350">
        <f t="shared" si="5"/>
        <v>0.3</v>
      </c>
    </row>
    <row r="351" spans="1:3">
      <c r="A351" s="1">
        <v>0.3</v>
      </c>
      <c r="B351" s="1">
        <v>0.8</v>
      </c>
      <c r="C351">
        <f t="shared" si="5"/>
        <v>0.5</v>
      </c>
    </row>
    <row r="352" spans="1:3">
      <c r="A352" s="1">
        <v>0.35</v>
      </c>
      <c r="B352" s="1">
        <v>0.25</v>
      </c>
      <c r="C352">
        <f t="shared" si="5"/>
        <v>-9.9999999999999978E-2</v>
      </c>
    </row>
    <row r="353" spans="1:3">
      <c r="A353" s="1">
        <v>0.4</v>
      </c>
      <c r="B353" s="1">
        <v>0.7</v>
      </c>
      <c r="C353">
        <f t="shared" si="5"/>
        <v>0.29999999999999993</v>
      </c>
    </row>
    <row r="354" spans="1:3">
      <c r="A354" s="1">
        <v>0.3</v>
      </c>
      <c r="B354" s="1">
        <v>0.45</v>
      </c>
      <c r="C354">
        <f t="shared" si="5"/>
        <v>0.15000000000000002</v>
      </c>
    </row>
    <row r="355" spans="1:3">
      <c r="A355" s="1">
        <v>0.6</v>
      </c>
      <c r="B355" s="1">
        <v>0.5</v>
      </c>
      <c r="C355">
        <f t="shared" si="5"/>
        <v>-9.9999999999999978E-2</v>
      </c>
    </row>
    <row r="356" spans="1:3">
      <c r="A356" s="1">
        <v>0.7</v>
      </c>
      <c r="B356" s="1">
        <v>0.75</v>
      </c>
      <c r="C356">
        <f t="shared" si="5"/>
        <v>5.0000000000000044E-2</v>
      </c>
    </row>
    <row r="357" spans="1:3">
      <c r="A357" s="1">
        <v>0.33</v>
      </c>
      <c r="B357" s="1">
        <v>0.28000000000000003</v>
      </c>
      <c r="C357">
        <f t="shared" si="5"/>
        <v>-4.9999999999999989E-2</v>
      </c>
    </row>
    <row r="358" spans="1:3">
      <c r="A358" s="1">
        <v>0.95</v>
      </c>
      <c r="B358" s="1">
        <v>0.95</v>
      </c>
      <c r="C358">
        <f t="shared" si="5"/>
        <v>0</v>
      </c>
    </row>
    <row r="359" spans="1:3">
      <c r="A359" s="1">
        <v>0.8</v>
      </c>
      <c r="B359" s="1">
        <v>0.97</v>
      </c>
      <c r="C359">
        <f t="shared" si="5"/>
        <v>0.16999999999999993</v>
      </c>
    </row>
    <row r="360" spans="1:3">
      <c r="A360" s="1">
        <v>0.96530000000000005</v>
      </c>
      <c r="B360" s="1">
        <v>5.4100000000000002E-2</v>
      </c>
      <c r="C360">
        <f t="shared" si="5"/>
        <v>-0.91120000000000001</v>
      </c>
    </row>
    <row r="361" spans="1:3">
      <c r="A361" s="1">
        <v>0.1</v>
      </c>
      <c r="B361" s="1">
        <v>0.25</v>
      </c>
      <c r="C361">
        <f t="shared" si="5"/>
        <v>0.15</v>
      </c>
    </row>
    <row r="362" spans="1:3">
      <c r="A362" s="1">
        <v>0.32</v>
      </c>
      <c r="B362" s="1">
        <v>0.74</v>
      </c>
      <c r="C362">
        <f t="shared" si="5"/>
        <v>0.42</v>
      </c>
    </row>
    <row r="363" spans="1:3">
      <c r="A363" s="1">
        <v>0.4</v>
      </c>
      <c r="B363" s="1">
        <v>0.3</v>
      </c>
      <c r="C363">
        <f t="shared" si="5"/>
        <v>-0.10000000000000003</v>
      </c>
    </row>
    <row r="364" spans="1:3">
      <c r="A364" s="1">
        <v>0.3</v>
      </c>
      <c r="B364" s="1">
        <v>0.25</v>
      </c>
      <c r="C364">
        <f t="shared" si="5"/>
        <v>-4.9999999999999989E-2</v>
      </c>
    </row>
    <row r="365" spans="1:3">
      <c r="A365" s="1">
        <v>0.5</v>
      </c>
      <c r="B365" s="1">
        <v>0.7</v>
      </c>
      <c r="C365">
        <f t="shared" si="5"/>
        <v>0.19999999999999996</v>
      </c>
    </row>
    <row r="366" spans="1:3">
      <c r="A366" s="1">
        <v>0.9</v>
      </c>
      <c r="B366" s="1">
        <v>0.95</v>
      </c>
      <c r="C366">
        <f t="shared" si="5"/>
        <v>4.9999999999999933E-2</v>
      </c>
    </row>
    <row r="367" spans="1:3">
      <c r="A367" s="1">
        <v>0.35</v>
      </c>
      <c r="B367" s="1">
        <v>0.2</v>
      </c>
      <c r="C367">
        <f t="shared" si="5"/>
        <v>-0.14999999999999997</v>
      </c>
    </row>
    <row r="368" spans="1:3">
      <c r="A368" s="1">
        <v>0.26</v>
      </c>
      <c r="B368" s="1">
        <v>0.41</v>
      </c>
      <c r="C368">
        <f t="shared" si="5"/>
        <v>0.14999999999999997</v>
      </c>
    </row>
    <row r="369" spans="1:3">
      <c r="A369" s="1">
        <v>0.45</v>
      </c>
      <c r="B369" s="1">
        <v>0.45</v>
      </c>
      <c r="C369">
        <f t="shared" si="5"/>
        <v>0</v>
      </c>
    </row>
    <row r="370" spans="1:3">
      <c r="A370" s="1">
        <v>0.95</v>
      </c>
      <c r="B370" s="1">
        <v>0.96</v>
      </c>
      <c r="C370">
        <f t="shared" si="5"/>
        <v>1.0000000000000009E-2</v>
      </c>
    </row>
    <row r="371" spans="1:3">
      <c r="A371" s="1">
        <v>0.6</v>
      </c>
      <c r="B371" s="1">
        <v>0.75</v>
      </c>
      <c r="C371">
        <f t="shared" si="5"/>
        <v>0.15000000000000002</v>
      </c>
    </row>
    <row r="372" spans="1:3">
      <c r="A372" s="1">
        <v>0.2</v>
      </c>
      <c r="B372" s="1">
        <v>0.25</v>
      </c>
      <c r="C372">
        <f t="shared" si="5"/>
        <v>4.9999999999999989E-2</v>
      </c>
    </row>
    <row r="373" spans="1:3">
      <c r="A373" s="1">
        <v>0.75</v>
      </c>
      <c r="B373" s="1">
        <v>0.44</v>
      </c>
      <c r="C373">
        <f t="shared" si="5"/>
        <v>-0.31</v>
      </c>
    </row>
    <row r="374" spans="1:3">
      <c r="A374" s="1">
        <v>0.39960000000000001</v>
      </c>
      <c r="B374" s="1">
        <v>7.9899999999999999E-2</v>
      </c>
      <c r="C374">
        <f t="shared" si="5"/>
        <v>-0.31969999999999998</v>
      </c>
    </row>
    <row r="375" spans="1:3">
      <c r="A375" s="1">
        <v>0.45</v>
      </c>
      <c r="B375" s="1">
        <v>0.75</v>
      </c>
      <c r="C375">
        <f t="shared" si="5"/>
        <v>0.3</v>
      </c>
    </row>
    <row r="376" spans="1:3">
      <c r="A376" s="1">
        <v>0.1</v>
      </c>
      <c r="B376" s="1">
        <v>0.9</v>
      </c>
      <c r="C376">
        <f t="shared" si="5"/>
        <v>0.8</v>
      </c>
    </row>
    <row r="377" spans="1:3">
      <c r="A377" s="1">
        <v>0.1</v>
      </c>
      <c r="B377" s="1">
        <v>0.8</v>
      </c>
      <c r="C377">
        <f t="shared" si="5"/>
        <v>0.70000000000000007</v>
      </c>
    </row>
    <row r="378" spans="1:3">
      <c r="A378" s="1">
        <v>0.5</v>
      </c>
      <c r="B378" s="1">
        <v>0.7</v>
      </c>
      <c r="C378">
        <f t="shared" si="5"/>
        <v>0.19999999999999996</v>
      </c>
    </row>
    <row r="379" spans="1:3">
      <c r="A379" s="1">
        <v>0.5</v>
      </c>
      <c r="B379" s="1">
        <v>1</v>
      </c>
      <c r="C379">
        <f t="shared" si="5"/>
        <v>0.5</v>
      </c>
    </row>
    <row r="380" spans="1:3">
      <c r="A380" s="1">
        <v>0.4</v>
      </c>
      <c r="B380" s="1">
        <v>0.6</v>
      </c>
      <c r="C380">
        <f t="shared" si="5"/>
        <v>0.19999999999999996</v>
      </c>
    </row>
    <row r="381" spans="1:3">
      <c r="A381" s="1">
        <v>0.4</v>
      </c>
      <c r="B381" s="1">
        <v>0.75</v>
      </c>
      <c r="C381">
        <f t="shared" si="5"/>
        <v>0.35</v>
      </c>
    </row>
    <row r="382" spans="1:3">
      <c r="A382" s="1">
        <v>0.3</v>
      </c>
      <c r="B382" s="1">
        <v>0.7</v>
      </c>
      <c r="C382">
        <f t="shared" si="5"/>
        <v>0.39999999999999997</v>
      </c>
    </row>
    <row r="383" spans="1:3">
      <c r="A383" s="1">
        <v>0.66779999999999995</v>
      </c>
      <c r="B383" s="1">
        <v>0.1288</v>
      </c>
      <c r="C383">
        <f t="shared" si="5"/>
        <v>-0.53899999999999992</v>
      </c>
    </row>
    <row r="384" spans="1:3">
      <c r="A384" s="1">
        <v>0.999</v>
      </c>
      <c r="B384" s="1">
        <v>0.99990000000000001</v>
      </c>
      <c r="C384">
        <f t="shared" si="5"/>
        <v>9.000000000000119E-4</v>
      </c>
    </row>
    <row r="385" spans="1:3">
      <c r="A385" s="1">
        <v>0.98</v>
      </c>
      <c r="B385" s="1">
        <v>0.98</v>
      </c>
      <c r="C385">
        <f t="shared" si="5"/>
        <v>0</v>
      </c>
    </row>
    <row r="386" spans="1:3">
      <c r="A386" s="1">
        <v>0.98</v>
      </c>
      <c r="B386" s="1">
        <v>0.98</v>
      </c>
      <c r="C386">
        <f t="shared" si="5"/>
        <v>0</v>
      </c>
    </row>
    <row r="387" spans="1:3">
      <c r="A387" s="1">
        <v>0.8</v>
      </c>
      <c r="B387" s="1">
        <v>0.85</v>
      </c>
      <c r="C387">
        <f t="shared" ref="C387:C450" si="6">B387-A387</f>
        <v>4.9999999999999933E-2</v>
      </c>
    </row>
    <row r="388" spans="1:3">
      <c r="A388" s="1">
        <v>0.1</v>
      </c>
      <c r="B388" s="1">
        <v>0.3</v>
      </c>
      <c r="C388">
        <f t="shared" si="6"/>
        <v>0.19999999999999998</v>
      </c>
    </row>
    <row r="389" spans="1:3">
      <c r="A389" s="1">
        <v>0.75</v>
      </c>
      <c r="B389" s="1">
        <v>0.72</v>
      </c>
      <c r="C389">
        <f t="shared" si="6"/>
        <v>-3.0000000000000027E-2</v>
      </c>
    </row>
    <row r="390" spans="1:3">
      <c r="A390" s="1">
        <v>0.75</v>
      </c>
      <c r="B390" s="1">
        <v>0.83</v>
      </c>
      <c r="C390">
        <f t="shared" si="6"/>
        <v>7.999999999999996E-2</v>
      </c>
    </row>
    <row r="391" spans="1:3">
      <c r="A391" s="1">
        <v>0.5</v>
      </c>
      <c r="B391" s="1">
        <v>0.6</v>
      </c>
      <c r="C391">
        <f t="shared" si="6"/>
        <v>9.9999999999999978E-2</v>
      </c>
    </row>
    <row r="392" spans="1:3">
      <c r="A392" s="1">
        <v>0.4</v>
      </c>
      <c r="B392" s="1">
        <v>0.03</v>
      </c>
      <c r="C392">
        <f t="shared" si="6"/>
        <v>-0.37</v>
      </c>
    </row>
    <row r="393" spans="1:3">
      <c r="A393" s="1">
        <v>0.45319999999999999</v>
      </c>
      <c r="B393" s="1">
        <v>0.36509999999999998</v>
      </c>
      <c r="C393">
        <f t="shared" si="6"/>
        <v>-8.8100000000000012E-2</v>
      </c>
    </row>
    <row r="394" spans="1:3">
      <c r="A394" s="1">
        <v>0.25</v>
      </c>
      <c r="B394" s="1">
        <v>0.33</v>
      </c>
      <c r="C394">
        <f t="shared" si="6"/>
        <v>8.0000000000000016E-2</v>
      </c>
    </row>
    <row r="395" spans="1:3">
      <c r="A395" s="1">
        <v>0.12</v>
      </c>
      <c r="B395" s="1">
        <v>0.25</v>
      </c>
      <c r="C395">
        <f t="shared" si="6"/>
        <v>0.13</v>
      </c>
    </row>
    <row r="396" spans="1:3">
      <c r="A396" s="1">
        <v>0.4</v>
      </c>
      <c r="B396" s="1">
        <v>0.55000000000000004</v>
      </c>
      <c r="C396">
        <f t="shared" si="6"/>
        <v>0.15000000000000002</v>
      </c>
    </row>
    <row r="397" spans="1:3">
      <c r="A397" s="1">
        <v>0.8</v>
      </c>
      <c r="B397" s="1">
        <v>0.9</v>
      </c>
      <c r="C397">
        <f t="shared" si="6"/>
        <v>9.9999999999999978E-2</v>
      </c>
    </row>
    <row r="398" spans="1:3">
      <c r="A398" s="1">
        <v>0.85</v>
      </c>
      <c r="B398" s="1">
        <v>0.9</v>
      </c>
      <c r="C398">
        <f t="shared" si="6"/>
        <v>5.0000000000000044E-2</v>
      </c>
    </row>
    <row r="399" spans="1:3">
      <c r="A399" s="1">
        <v>0.95</v>
      </c>
      <c r="B399" s="1">
        <v>0.99</v>
      </c>
      <c r="C399">
        <f t="shared" si="6"/>
        <v>4.0000000000000036E-2</v>
      </c>
    </row>
    <row r="400" spans="1:3">
      <c r="A400" s="1">
        <v>0.52</v>
      </c>
      <c r="B400" s="1">
        <v>0.56000000000000005</v>
      </c>
      <c r="C400">
        <f t="shared" si="6"/>
        <v>4.0000000000000036E-2</v>
      </c>
    </row>
    <row r="401" spans="1:3">
      <c r="A401" s="1">
        <v>0.85</v>
      </c>
      <c r="B401" s="1">
        <v>0.98</v>
      </c>
      <c r="C401">
        <f t="shared" si="6"/>
        <v>0.13</v>
      </c>
    </row>
    <row r="402" spans="1:3">
      <c r="A402" s="1">
        <v>0.8</v>
      </c>
      <c r="B402" s="1">
        <v>0.98</v>
      </c>
      <c r="C402">
        <f t="shared" si="6"/>
        <v>0.17999999999999994</v>
      </c>
    </row>
    <row r="403" spans="1:3">
      <c r="A403" s="1">
        <v>0.77</v>
      </c>
      <c r="B403" s="1">
        <v>0.98</v>
      </c>
      <c r="C403">
        <f t="shared" si="6"/>
        <v>0.20999999999999996</v>
      </c>
    </row>
    <row r="404" spans="1:3">
      <c r="A404" s="1">
        <v>0.26</v>
      </c>
      <c r="B404" s="1">
        <v>0.62</v>
      </c>
      <c r="C404">
        <f t="shared" si="6"/>
        <v>0.36</v>
      </c>
    </row>
    <row r="405" spans="1:3">
      <c r="A405" s="1">
        <v>0.59</v>
      </c>
      <c r="B405" s="1">
        <v>0.77</v>
      </c>
      <c r="C405">
        <f t="shared" si="6"/>
        <v>0.18000000000000005</v>
      </c>
    </row>
    <row r="406" spans="1:3">
      <c r="A406" s="1">
        <v>0.8</v>
      </c>
      <c r="B406" s="1">
        <v>1</v>
      </c>
      <c r="C406">
        <f t="shared" si="6"/>
        <v>0.19999999999999996</v>
      </c>
    </row>
    <row r="407" spans="1:3">
      <c r="A407" s="1">
        <v>1</v>
      </c>
      <c r="B407" s="1">
        <v>1</v>
      </c>
      <c r="C407">
        <f t="shared" si="6"/>
        <v>0</v>
      </c>
    </row>
    <row r="408" spans="1:3">
      <c r="A408" s="1">
        <v>0.64680000000000004</v>
      </c>
      <c r="B408" s="1">
        <v>0.79369999999999996</v>
      </c>
      <c r="C408">
        <f t="shared" si="6"/>
        <v>0.14689999999999992</v>
      </c>
    </row>
    <row r="409" spans="1:3">
      <c r="A409" s="1">
        <v>7.3999999999999996E-2</v>
      </c>
      <c r="B409" s="1">
        <v>0.21340000000000001</v>
      </c>
      <c r="C409">
        <f t="shared" si="6"/>
        <v>0.13940000000000002</v>
      </c>
    </row>
    <row r="410" spans="1:3">
      <c r="A410" s="1">
        <v>0.1</v>
      </c>
      <c r="B410" s="1">
        <v>0.7</v>
      </c>
      <c r="C410">
        <f t="shared" si="6"/>
        <v>0.6</v>
      </c>
    </row>
    <row r="411" spans="1:3">
      <c r="A411" s="1">
        <v>0.65</v>
      </c>
      <c r="B411" s="1">
        <v>0.8</v>
      </c>
      <c r="C411">
        <f t="shared" si="6"/>
        <v>0.15000000000000002</v>
      </c>
    </row>
    <row r="412" spans="1:3">
      <c r="A412" s="1">
        <v>0.1</v>
      </c>
      <c r="B412" s="1">
        <v>0.7</v>
      </c>
      <c r="C412">
        <f t="shared" si="6"/>
        <v>0.6</v>
      </c>
    </row>
    <row r="413" spans="1:3">
      <c r="A413" s="1">
        <v>0.61619999999999997</v>
      </c>
      <c r="B413" s="1">
        <v>0.87450000000000006</v>
      </c>
      <c r="C413">
        <f t="shared" si="6"/>
        <v>0.25830000000000009</v>
      </c>
    </row>
    <row r="414" spans="1:3">
      <c r="A414" s="1">
        <v>0.32990000000000003</v>
      </c>
      <c r="B414" s="1">
        <v>6.7299999999999999E-2</v>
      </c>
      <c r="C414">
        <f t="shared" si="6"/>
        <v>-0.26260000000000006</v>
      </c>
    </row>
    <row r="415" spans="1:3">
      <c r="A415" s="1">
        <v>0.4</v>
      </c>
      <c r="B415" s="1">
        <v>0.6</v>
      </c>
      <c r="C415">
        <f t="shared" si="6"/>
        <v>0.19999999999999996</v>
      </c>
    </row>
    <row r="416" spans="1:3">
      <c r="A416" s="1">
        <v>0.2</v>
      </c>
      <c r="B416" s="1">
        <v>0.85</v>
      </c>
      <c r="C416">
        <f t="shared" si="6"/>
        <v>0.64999999999999991</v>
      </c>
    </row>
    <row r="417" spans="1:3">
      <c r="A417" s="1">
        <v>0.75</v>
      </c>
      <c r="B417" s="1">
        <v>0.85</v>
      </c>
      <c r="C417">
        <f t="shared" si="6"/>
        <v>9.9999999999999978E-2</v>
      </c>
    </row>
    <row r="418" spans="1:3">
      <c r="A418" s="1">
        <v>0.4</v>
      </c>
      <c r="B418" s="1">
        <v>0.6</v>
      </c>
      <c r="C418">
        <f t="shared" si="6"/>
        <v>0.19999999999999996</v>
      </c>
    </row>
    <row r="419" spans="1:3">
      <c r="A419" s="1">
        <v>0.64</v>
      </c>
      <c r="B419" s="1">
        <v>0.78</v>
      </c>
      <c r="C419">
        <f t="shared" si="6"/>
        <v>0.14000000000000001</v>
      </c>
    </row>
    <row r="420" spans="1:3">
      <c r="A420" s="1">
        <v>0.4</v>
      </c>
      <c r="B420" s="1">
        <v>0.5</v>
      </c>
      <c r="C420">
        <f t="shared" si="6"/>
        <v>9.9999999999999978E-2</v>
      </c>
    </row>
    <row r="421" spans="1:3">
      <c r="A421" s="1">
        <v>0.5</v>
      </c>
      <c r="B421" s="1">
        <v>0.1</v>
      </c>
      <c r="C421">
        <f t="shared" si="6"/>
        <v>-0.4</v>
      </c>
    </row>
    <row r="422" spans="1:3">
      <c r="A422" s="1">
        <v>0.5</v>
      </c>
      <c r="B422" s="1">
        <v>0.75</v>
      </c>
      <c r="C422">
        <f t="shared" si="6"/>
        <v>0.25</v>
      </c>
    </row>
    <row r="423" spans="1:3">
      <c r="A423" s="1">
        <v>0.71760000000000002</v>
      </c>
      <c r="B423" s="1">
        <v>0.8</v>
      </c>
      <c r="C423">
        <f t="shared" si="6"/>
        <v>8.2400000000000029E-2</v>
      </c>
    </row>
    <row r="424" spans="1:3">
      <c r="A424" s="1">
        <v>0.5</v>
      </c>
      <c r="B424" s="1">
        <v>0.75</v>
      </c>
      <c r="C424">
        <f t="shared" si="6"/>
        <v>0.25</v>
      </c>
    </row>
    <row r="425" spans="1:3">
      <c r="A425" s="1">
        <v>0.5</v>
      </c>
      <c r="B425" s="1">
        <v>0.75</v>
      </c>
      <c r="C425">
        <f t="shared" si="6"/>
        <v>0.25</v>
      </c>
    </row>
    <row r="426" spans="1:3">
      <c r="A426" s="1">
        <v>0.5</v>
      </c>
      <c r="B426" s="1">
        <v>0.75</v>
      </c>
      <c r="C426">
        <f t="shared" si="6"/>
        <v>0.25</v>
      </c>
    </row>
    <row r="427" spans="1:3">
      <c r="A427" s="1">
        <v>0.5</v>
      </c>
      <c r="B427" s="1">
        <v>0.6</v>
      </c>
      <c r="C427">
        <f t="shared" si="6"/>
        <v>9.9999999999999978E-2</v>
      </c>
    </row>
    <row r="428" spans="1:3">
      <c r="A428" s="1">
        <v>0.5</v>
      </c>
      <c r="B428" s="1">
        <v>0.9</v>
      </c>
      <c r="C428">
        <f t="shared" si="6"/>
        <v>0.4</v>
      </c>
    </row>
    <row r="429" spans="1:3">
      <c r="A429" s="1">
        <v>0.5</v>
      </c>
      <c r="B429" s="1">
        <v>0.6</v>
      </c>
      <c r="C429">
        <f t="shared" si="6"/>
        <v>9.9999999999999978E-2</v>
      </c>
    </row>
    <row r="430" spans="1:3">
      <c r="A430" s="1">
        <v>0.2</v>
      </c>
      <c r="B430" s="1">
        <v>0.8</v>
      </c>
      <c r="C430">
        <f t="shared" si="6"/>
        <v>0.60000000000000009</v>
      </c>
    </row>
    <row r="431" spans="1:3">
      <c r="A431" s="1">
        <v>0.72619999999999996</v>
      </c>
      <c r="B431" s="1">
        <v>0.8095</v>
      </c>
      <c r="C431">
        <f t="shared" si="6"/>
        <v>8.3300000000000041E-2</v>
      </c>
    </row>
    <row r="432" spans="1:3">
      <c r="A432" s="1">
        <v>0.5</v>
      </c>
      <c r="B432" s="1">
        <v>0.5</v>
      </c>
      <c r="C432">
        <f t="shared" si="6"/>
        <v>0</v>
      </c>
    </row>
    <row r="433" spans="1:3">
      <c r="A433" s="1">
        <v>0.5</v>
      </c>
      <c r="B433" s="1">
        <v>0.5</v>
      </c>
      <c r="C433">
        <f t="shared" si="6"/>
        <v>0</v>
      </c>
    </row>
    <row r="434" spans="1:3">
      <c r="A434" s="1">
        <v>0.4</v>
      </c>
      <c r="B434" s="1">
        <v>0.9</v>
      </c>
      <c r="C434">
        <f t="shared" si="6"/>
        <v>0.5</v>
      </c>
    </row>
    <row r="435" spans="1:3">
      <c r="A435" s="1">
        <v>0.41</v>
      </c>
      <c r="B435" s="1">
        <v>0.69</v>
      </c>
      <c r="C435">
        <f t="shared" si="6"/>
        <v>0.27999999999999997</v>
      </c>
    </row>
    <row r="436" spans="1:3">
      <c r="A436" s="1">
        <v>0.5</v>
      </c>
      <c r="B436" s="1">
        <v>0.6</v>
      </c>
      <c r="C436">
        <f t="shared" si="6"/>
        <v>9.9999999999999978E-2</v>
      </c>
    </row>
    <row r="437" spans="1:3">
      <c r="A437" s="1">
        <v>0.1</v>
      </c>
      <c r="B437" s="1">
        <v>0.2</v>
      </c>
      <c r="C437">
        <f t="shared" si="6"/>
        <v>0.1</v>
      </c>
    </row>
    <row r="438" spans="1:3">
      <c r="A438" s="1">
        <v>0.5</v>
      </c>
      <c r="B438" s="1">
        <v>0.6</v>
      </c>
      <c r="C438">
        <f t="shared" si="6"/>
        <v>9.9999999999999978E-2</v>
      </c>
    </row>
    <row r="439" spans="1:3">
      <c r="A439" s="1">
        <v>0.9</v>
      </c>
      <c r="B439" s="1">
        <v>0.95</v>
      </c>
      <c r="C439">
        <f t="shared" si="6"/>
        <v>4.9999999999999933E-2</v>
      </c>
    </row>
    <row r="440" spans="1:3">
      <c r="A440" s="1">
        <v>0.7</v>
      </c>
      <c r="B440" s="1">
        <v>0.9</v>
      </c>
      <c r="C440">
        <f t="shared" si="6"/>
        <v>0.20000000000000007</v>
      </c>
    </row>
    <row r="441" spans="1:3">
      <c r="A441" s="1">
        <v>0.65</v>
      </c>
      <c r="B441" s="1">
        <v>0.8</v>
      </c>
      <c r="C441">
        <f t="shared" si="6"/>
        <v>0.15000000000000002</v>
      </c>
    </row>
    <row r="442" spans="1:3">
      <c r="A442" s="1">
        <v>0.5</v>
      </c>
      <c r="B442" s="1">
        <v>0.7</v>
      </c>
      <c r="C442">
        <f t="shared" si="6"/>
        <v>0.19999999999999996</v>
      </c>
    </row>
    <row r="443" spans="1:3">
      <c r="A443" s="1">
        <v>0.2</v>
      </c>
      <c r="B443" s="1">
        <v>0.6</v>
      </c>
      <c r="C443">
        <f t="shared" si="6"/>
        <v>0.39999999999999997</v>
      </c>
    </row>
    <row r="444" spans="1:3">
      <c r="A444" s="1">
        <v>0.75</v>
      </c>
      <c r="B444" s="1">
        <v>0.3</v>
      </c>
      <c r="C444">
        <f t="shared" si="6"/>
        <v>-0.45</v>
      </c>
    </row>
    <row r="445" spans="1:3">
      <c r="A445" s="1">
        <v>0.25</v>
      </c>
      <c r="B445" s="1">
        <v>0.25</v>
      </c>
      <c r="C445">
        <f t="shared" si="6"/>
        <v>0</v>
      </c>
    </row>
    <row r="446" spans="1:3">
      <c r="A446" s="1">
        <v>0.65</v>
      </c>
      <c r="B446" s="1">
        <v>0.75</v>
      </c>
      <c r="C446">
        <f t="shared" si="6"/>
        <v>9.9999999999999978E-2</v>
      </c>
    </row>
    <row r="447" spans="1:3">
      <c r="A447" s="1">
        <v>0.4</v>
      </c>
      <c r="B447" s="1">
        <v>0.2</v>
      </c>
      <c r="C447">
        <f t="shared" si="6"/>
        <v>-0.2</v>
      </c>
    </row>
    <row r="448" spans="1:3">
      <c r="A448" s="1">
        <v>0.21</v>
      </c>
      <c r="B448" s="1">
        <v>0.53</v>
      </c>
      <c r="C448">
        <f t="shared" si="6"/>
        <v>0.32000000000000006</v>
      </c>
    </row>
    <row r="449" spans="1:3">
      <c r="A449" s="1">
        <v>0.2</v>
      </c>
      <c r="B449" s="1">
        <v>0.3</v>
      </c>
      <c r="C449">
        <f t="shared" si="6"/>
        <v>9.9999999999999978E-2</v>
      </c>
    </row>
    <row r="450" spans="1:3">
      <c r="A450" s="1">
        <v>0.5</v>
      </c>
      <c r="B450" s="1">
        <v>0.7</v>
      </c>
      <c r="C450">
        <f t="shared" si="6"/>
        <v>0.19999999999999996</v>
      </c>
    </row>
    <row r="451" spans="1:3">
      <c r="A451" s="1">
        <v>0.3</v>
      </c>
      <c r="B451" s="1">
        <v>0.6</v>
      </c>
      <c r="C451">
        <f t="shared" ref="C451:C514" si="7">B451-A451</f>
        <v>0.3</v>
      </c>
    </row>
    <row r="452" spans="1:3">
      <c r="A452" s="1">
        <v>0.3</v>
      </c>
      <c r="B452" s="1">
        <v>0.6</v>
      </c>
      <c r="C452">
        <f t="shared" si="7"/>
        <v>0.3</v>
      </c>
    </row>
    <row r="453" spans="1:3">
      <c r="A453" s="1">
        <v>0.68</v>
      </c>
      <c r="B453" s="1">
        <v>0.8</v>
      </c>
      <c r="C453">
        <f t="shared" si="7"/>
        <v>0.12</v>
      </c>
    </row>
    <row r="454" spans="1:3">
      <c r="A454" s="1">
        <v>0.7</v>
      </c>
      <c r="B454" s="1">
        <v>0.8</v>
      </c>
      <c r="C454">
        <f t="shared" si="7"/>
        <v>0.10000000000000009</v>
      </c>
    </row>
    <row r="455" spans="1:3">
      <c r="A455" s="1">
        <v>0.2</v>
      </c>
      <c r="B455" s="1">
        <v>0.3</v>
      </c>
      <c r="C455">
        <f t="shared" si="7"/>
        <v>9.9999999999999978E-2</v>
      </c>
    </row>
    <row r="456" spans="1:3">
      <c r="A456" s="1">
        <v>0.68</v>
      </c>
      <c r="B456" s="1">
        <v>0.8</v>
      </c>
      <c r="C456">
        <f t="shared" si="7"/>
        <v>0.12</v>
      </c>
    </row>
    <row r="457" spans="1:3">
      <c r="A457" s="1">
        <v>0.64</v>
      </c>
      <c r="B457" s="1">
        <v>0.78</v>
      </c>
      <c r="C457">
        <f t="shared" si="7"/>
        <v>0.14000000000000001</v>
      </c>
    </row>
    <row r="458" spans="1:3">
      <c r="A458" s="1">
        <v>0.40100000000000002</v>
      </c>
      <c r="B458" s="1">
        <v>0.35599999999999998</v>
      </c>
      <c r="C458">
        <f t="shared" si="7"/>
        <v>-4.500000000000004E-2</v>
      </c>
    </row>
    <row r="459" spans="1:3">
      <c r="A459" s="1">
        <v>0.64</v>
      </c>
      <c r="B459" s="1">
        <v>0.6</v>
      </c>
      <c r="C459">
        <f t="shared" si="7"/>
        <v>-4.0000000000000036E-2</v>
      </c>
    </row>
    <row r="460" spans="1:3">
      <c r="A460" s="1">
        <v>0.77</v>
      </c>
      <c r="B460" s="1">
        <v>0.12</v>
      </c>
      <c r="C460">
        <f t="shared" si="7"/>
        <v>-0.65</v>
      </c>
    </row>
    <row r="461" spans="1:3">
      <c r="A461" s="1">
        <v>0.68</v>
      </c>
      <c r="B461" s="1">
        <v>0.75</v>
      </c>
      <c r="C461">
        <f t="shared" si="7"/>
        <v>6.9999999999999951E-2</v>
      </c>
    </row>
    <row r="462" spans="1:3">
      <c r="A462" s="1">
        <v>1.0999999999999999E-2</v>
      </c>
      <c r="B462" s="1">
        <v>3.1E-2</v>
      </c>
      <c r="C462">
        <f t="shared" si="7"/>
        <v>0.02</v>
      </c>
    </row>
    <row r="463" spans="1:3">
      <c r="A463" s="1">
        <v>0.6</v>
      </c>
      <c r="B463" s="1">
        <v>0.7</v>
      </c>
      <c r="C463">
        <f t="shared" si="7"/>
        <v>9.9999999999999978E-2</v>
      </c>
    </row>
    <row r="464" spans="1:3">
      <c r="A464" s="1">
        <v>0.33</v>
      </c>
      <c r="B464" s="1">
        <v>0.75</v>
      </c>
      <c r="C464">
        <f t="shared" si="7"/>
        <v>0.42</v>
      </c>
    </row>
    <row r="465" spans="1:3">
      <c r="A465" s="1">
        <v>0.5</v>
      </c>
      <c r="B465" s="1">
        <v>0.6</v>
      </c>
      <c r="C465">
        <f t="shared" si="7"/>
        <v>9.9999999999999978E-2</v>
      </c>
    </row>
    <row r="466" spans="1:3">
      <c r="A466" s="1">
        <v>0.78910000000000002</v>
      </c>
      <c r="B466" s="1">
        <v>0.25119999999999998</v>
      </c>
      <c r="C466">
        <f t="shared" si="7"/>
        <v>-0.53790000000000004</v>
      </c>
    </row>
    <row r="467" spans="1:3">
      <c r="A467" s="1">
        <v>0.5</v>
      </c>
      <c r="B467" s="1">
        <v>0.6</v>
      </c>
      <c r="C467">
        <f t="shared" si="7"/>
        <v>9.9999999999999978E-2</v>
      </c>
    </row>
    <row r="468" spans="1:3">
      <c r="A468" s="1">
        <v>0.75</v>
      </c>
      <c r="B468" s="1">
        <v>1</v>
      </c>
      <c r="C468">
        <f t="shared" si="7"/>
        <v>0.25</v>
      </c>
    </row>
    <row r="469" spans="1:3">
      <c r="A469" s="1">
        <v>0.49590000000000001</v>
      </c>
      <c r="B469" s="1">
        <v>0.5978</v>
      </c>
      <c r="C469">
        <f t="shared" si="7"/>
        <v>0.10189999999999999</v>
      </c>
    </row>
    <row r="470" spans="1:3">
      <c r="A470" s="1">
        <v>0.73</v>
      </c>
      <c r="B470" s="1">
        <v>0.39</v>
      </c>
      <c r="C470">
        <f t="shared" si="7"/>
        <v>-0.33999999999999997</v>
      </c>
    </row>
    <row r="471" spans="1:3">
      <c r="A471" s="1">
        <v>0.71</v>
      </c>
      <c r="B471" s="1">
        <v>0.48</v>
      </c>
      <c r="C471">
        <f t="shared" si="7"/>
        <v>-0.22999999999999998</v>
      </c>
    </row>
    <row r="472" spans="1:3">
      <c r="A472" s="1">
        <v>0.50009999999999999</v>
      </c>
      <c r="B472" s="1">
        <v>0.6028</v>
      </c>
      <c r="C472">
        <f t="shared" si="7"/>
        <v>0.10270000000000001</v>
      </c>
    </row>
    <row r="473" spans="1:3">
      <c r="A473" s="1">
        <v>0.64680000000000004</v>
      </c>
      <c r="B473" s="1">
        <v>0.78169999999999995</v>
      </c>
      <c r="C473">
        <f t="shared" si="7"/>
        <v>0.13489999999999991</v>
      </c>
    </row>
    <row r="474" spans="1:3">
      <c r="A474" s="1">
        <v>0.84919999999999995</v>
      </c>
      <c r="B474" s="1">
        <v>0.89290000000000003</v>
      </c>
      <c r="C474">
        <f t="shared" si="7"/>
        <v>4.3700000000000072E-2</v>
      </c>
    </row>
    <row r="475" spans="1:3">
      <c r="A475" s="1">
        <v>0.15</v>
      </c>
      <c r="B475" s="1">
        <v>0.6</v>
      </c>
      <c r="C475">
        <f t="shared" si="7"/>
        <v>0.44999999999999996</v>
      </c>
    </row>
    <row r="476" spans="1:3">
      <c r="A476" s="1">
        <v>0.23</v>
      </c>
      <c r="B476" s="1">
        <v>0.48</v>
      </c>
      <c r="C476">
        <f t="shared" si="7"/>
        <v>0.24999999999999997</v>
      </c>
    </row>
    <row r="477" spans="1:3">
      <c r="A477" s="1">
        <v>0.33900000000000002</v>
      </c>
      <c r="B477" s="1">
        <v>0.24299999999999999</v>
      </c>
      <c r="C477">
        <f t="shared" si="7"/>
        <v>-9.600000000000003E-2</v>
      </c>
    </row>
    <row r="478" spans="1:3">
      <c r="A478" s="1">
        <v>0.78</v>
      </c>
      <c r="B478" s="1">
        <v>1</v>
      </c>
      <c r="C478">
        <f t="shared" si="7"/>
        <v>0.21999999999999997</v>
      </c>
    </row>
    <row r="479" spans="1:3">
      <c r="A479" s="1">
        <v>0.71</v>
      </c>
      <c r="B479" s="1">
        <v>0.95</v>
      </c>
      <c r="C479">
        <f t="shared" si="7"/>
        <v>0.24</v>
      </c>
    </row>
    <row r="480" spans="1:3">
      <c r="A480" s="1">
        <v>0.64</v>
      </c>
      <c r="B480" s="1">
        <v>0.16</v>
      </c>
      <c r="C480">
        <f t="shared" si="7"/>
        <v>-0.48</v>
      </c>
    </row>
    <row r="481" spans="1:3">
      <c r="A481" s="1">
        <v>0.98</v>
      </c>
      <c r="B481" s="1">
        <v>0.99990000000000001</v>
      </c>
      <c r="C481">
        <f t="shared" si="7"/>
        <v>1.9900000000000029E-2</v>
      </c>
    </row>
    <row r="482" spans="1:3">
      <c r="A482" s="1">
        <v>0.99</v>
      </c>
      <c r="B482" s="1">
        <v>0.99999000000000005</v>
      </c>
      <c r="C482">
        <f t="shared" si="7"/>
        <v>9.9900000000000544E-3</v>
      </c>
    </row>
    <row r="483" spans="1:3">
      <c r="A483" s="1">
        <v>0.75</v>
      </c>
      <c r="B483" s="1">
        <v>0.99</v>
      </c>
      <c r="C483">
        <f t="shared" si="7"/>
        <v>0.24</v>
      </c>
    </row>
    <row r="484" spans="1:3">
      <c r="A484" s="1">
        <v>0.5</v>
      </c>
      <c r="B484" s="1">
        <v>0.6</v>
      </c>
      <c r="C484">
        <f t="shared" si="7"/>
        <v>9.9999999999999978E-2</v>
      </c>
    </row>
    <row r="485" spans="1:3">
      <c r="A485" s="1">
        <v>0.5</v>
      </c>
      <c r="B485" s="1">
        <v>0.6</v>
      </c>
      <c r="C485">
        <f t="shared" si="7"/>
        <v>9.9999999999999978E-2</v>
      </c>
    </row>
    <row r="486" spans="1:3">
      <c r="A486" s="1">
        <v>0.65</v>
      </c>
      <c r="B486" s="1">
        <v>0.95</v>
      </c>
      <c r="C486">
        <f t="shared" si="7"/>
        <v>0.29999999999999993</v>
      </c>
    </row>
    <row r="487" spans="1:3">
      <c r="A487" s="1">
        <v>0.8</v>
      </c>
      <c r="B487" s="1">
        <v>0.9</v>
      </c>
      <c r="C487">
        <f t="shared" si="7"/>
        <v>9.9999999999999978E-2</v>
      </c>
    </row>
    <row r="488" spans="1:3">
      <c r="A488" s="1">
        <v>0.6</v>
      </c>
      <c r="B488" s="1">
        <v>0.7</v>
      </c>
      <c r="C488">
        <f t="shared" si="7"/>
        <v>9.9999999999999978E-2</v>
      </c>
    </row>
    <row r="489" spans="1:3">
      <c r="A489" s="1">
        <v>0.4</v>
      </c>
      <c r="B489" s="1">
        <v>0.1</v>
      </c>
      <c r="C489">
        <f t="shared" si="7"/>
        <v>-0.30000000000000004</v>
      </c>
    </row>
    <row r="490" spans="1:3">
      <c r="A490" s="1">
        <v>0.7</v>
      </c>
      <c r="B490" s="1">
        <v>0.9</v>
      </c>
      <c r="C490">
        <f t="shared" si="7"/>
        <v>0.20000000000000007</v>
      </c>
    </row>
    <row r="491" spans="1:3">
      <c r="A491" s="1">
        <v>0.9</v>
      </c>
      <c r="B491" s="1">
        <v>0.95</v>
      </c>
      <c r="C491">
        <f t="shared" si="7"/>
        <v>4.9999999999999933E-2</v>
      </c>
    </row>
    <row r="492" spans="1:3">
      <c r="A492" s="1">
        <v>0.95</v>
      </c>
      <c r="B492" s="1">
        <v>0.99</v>
      </c>
      <c r="C492">
        <f t="shared" si="7"/>
        <v>4.0000000000000036E-2</v>
      </c>
    </row>
    <row r="493" spans="1:3">
      <c r="A493" s="1">
        <v>0.65</v>
      </c>
      <c r="B493" s="1">
        <v>0.75</v>
      </c>
      <c r="C493">
        <f t="shared" si="7"/>
        <v>9.9999999999999978E-2</v>
      </c>
    </row>
    <row r="494" spans="1:3">
      <c r="A494" s="1">
        <v>0.8</v>
      </c>
      <c r="B494" s="1">
        <v>0.98</v>
      </c>
      <c r="C494">
        <f t="shared" si="7"/>
        <v>0.17999999999999994</v>
      </c>
    </row>
    <row r="495" spans="1:3">
      <c r="A495" s="1">
        <v>0.9</v>
      </c>
      <c r="B495" s="1">
        <v>0.95</v>
      </c>
      <c r="C495">
        <f t="shared" si="7"/>
        <v>4.9999999999999933E-2</v>
      </c>
    </row>
    <row r="496" spans="1:3">
      <c r="A496" s="1">
        <v>0.5</v>
      </c>
      <c r="B496" s="1">
        <v>0.6</v>
      </c>
      <c r="C496">
        <f t="shared" si="7"/>
        <v>9.9999999999999978E-2</v>
      </c>
    </row>
    <row r="497" spans="1:3">
      <c r="A497" s="1">
        <v>0.75</v>
      </c>
      <c r="B497" s="1">
        <v>0.6</v>
      </c>
      <c r="C497">
        <f t="shared" si="7"/>
        <v>-0.15000000000000002</v>
      </c>
    </row>
    <row r="498" spans="1:3">
      <c r="A498" s="1">
        <v>0.97540000000000004</v>
      </c>
      <c r="B498" s="1">
        <v>0.99990000000000001</v>
      </c>
      <c r="C498">
        <f t="shared" si="7"/>
        <v>2.4499999999999966E-2</v>
      </c>
    </row>
    <row r="499" spans="1:3">
      <c r="A499" s="1">
        <v>0.3</v>
      </c>
      <c r="B499" s="1">
        <v>0.5</v>
      </c>
      <c r="C499">
        <f t="shared" si="7"/>
        <v>0.2</v>
      </c>
    </row>
    <row r="500" spans="1:3">
      <c r="A500" s="1">
        <v>0.72</v>
      </c>
      <c r="B500" s="1">
        <v>0.9</v>
      </c>
      <c r="C500">
        <f t="shared" si="7"/>
        <v>0.18000000000000005</v>
      </c>
    </row>
    <row r="501" spans="1:3">
      <c r="A501" s="1">
        <v>0.88</v>
      </c>
      <c r="B501" s="1">
        <v>0.98</v>
      </c>
      <c r="C501">
        <f t="shared" si="7"/>
        <v>9.9999999999999978E-2</v>
      </c>
    </row>
    <row r="502" spans="1:3">
      <c r="A502" s="1">
        <v>0.75</v>
      </c>
      <c r="B502" s="1">
        <v>0.85</v>
      </c>
      <c r="C502">
        <f t="shared" si="7"/>
        <v>9.9999999999999978E-2</v>
      </c>
    </row>
    <row r="503" spans="1:3">
      <c r="A503" s="1">
        <v>0.98</v>
      </c>
      <c r="B503" s="1">
        <v>0.99</v>
      </c>
      <c r="C503">
        <f t="shared" si="7"/>
        <v>1.0000000000000009E-2</v>
      </c>
    </row>
    <row r="504" spans="1:3">
      <c r="A504" s="1">
        <v>1</v>
      </c>
      <c r="B504" s="1">
        <v>0.25</v>
      </c>
      <c r="C504">
        <f t="shared" si="7"/>
        <v>-0.75</v>
      </c>
    </row>
    <row r="505" spans="1:3">
      <c r="A505" s="1">
        <v>0.45</v>
      </c>
      <c r="B505" s="1">
        <v>0.85</v>
      </c>
      <c r="C505">
        <f t="shared" si="7"/>
        <v>0.39999999999999997</v>
      </c>
    </row>
    <row r="506" spans="1:3">
      <c r="A506" s="1">
        <v>0.09</v>
      </c>
      <c r="B506" s="1">
        <v>0.93</v>
      </c>
      <c r="C506">
        <f t="shared" si="7"/>
        <v>0.84000000000000008</v>
      </c>
    </row>
    <row r="507" spans="1:3">
      <c r="A507" s="1">
        <v>0.71</v>
      </c>
      <c r="B507" s="1">
        <v>0.13</v>
      </c>
      <c r="C507">
        <f t="shared" si="7"/>
        <v>-0.57999999999999996</v>
      </c>
    </row>
    <row r="508" spans="1:3">
      <c r="A508" s="1">
        <v>0.7</v>
      </c>
      <c r="B508" s="1">
        <v>0.9</v>
      </c>
      <c r="C508">
        <f t="shared" si="7"/>
        <v>0.20000000000000007</v>
      </c>
    </row>
    <row r="509" spans="1:3">
      <c r="A509" s="1">
        <v>0.92</v>
      </c>
      <c r="B509" s="1">
        <v>0.84</v>
      </c>
      <c r="C509">
        <f t="shared" si="7"/>
        <v>-8.0000000000000071E-2</v>
      </c>
    </row>
    <row r="510" spans="1:3">
      <c r="A510" s="1">
        <v>0.1</v>
      </c>
      <c r="B510" s="1">
        <v>0.4</v>
      </c>
      <c r="C510">
        <f t="shared" si="7"/>
        <v>0.30000000000000004</v>
      </c>
    </row>
    <row r="511" spans="1:3">
      <c r="A511" s="1">
        <v>0.6</v>
      </c>
      <c r="B511" s="1">
        <v>0.8</v>
      </c>
      <c r="C511">
        <f t="shared" si="7"/>
        <v>0.20000000000000007</v>
      </c>
    </row>
    <row r="512" spans="1:3">
      <c r="A512" s="1">
        <v>0.6</v>
      </c>
      <c r="B512" s="1">
        <v>0.4</v>
      </c>
      <c r="C512">
        <f t="shared" si="7"/>
        <v>-0.19999999999999996</v>
      </c>
    </row>
    <row r="513" spans="1:3">
      <c r="A513" s="1">
        <v>0.05</v>
      </c>
      <c r="B513" s="1">
        <v>0.1</v>
      </c>
      <c r="C513">
        <f t="shared" si="7"/>
        <v>0.05</v>
      </c>
    </row>
    <row r="514" spans="1:3">
      <c r="A514" s="1">
        <v>0.2</v>
      </c>
      <c r="B514" s="1">
        <v>0.7</v>
      </c>
      <c r="C514">
        <f t="shared" si="7"/>
        <v>0.49999999999999994</v>
      </c>
    </row>
    <row r="515" spans="1:3">
      <c r="A515" s="1">
        <v>0.1</v>
      </c>
      <c r="B515" s="1">
        <v>0.5</v>
      </c>
      <c r="C515">
        <f t="shared" ref="C515:C578" si="8">B515-A515</f>
        <v>0.4</v>
      </c>
    </row>
    <row r="516" spans="1:3">
      <c r="A516" s="1">
        <v>0.03</v>
      </c>
      <c r="B516" s="1">
        <v>0.3</v>
      </c>
      <c r="C516">
        <f t="shared" si="8"/>
        <v>0.27</v>
      </c>
    </row>
    <row r="517" spans="1:3">
      <c r="A517" s="1">
        <v>0.7</v>
      </c>
      <c r="B517" s="1">
        <v>0.2</v>
      </c>
      <c r="C517">
        <f t="shared" si="8"/>
        <v>-0.49999999999999994</v>
      </c>
    </row>
    <row r="518" spans="1:3">
      <c r="A518" s="1">
        <v>0.15</v>
      </c>
      <c r="B518" s="1">
        <v>0.4</v>
      </c>
      <c r="C518">
        <f t="shared" si="8"/>
        <v>0.25</v>
      </c>
    </row>
    <row r="519" spans="1:3">
      <c r="A519" s="1">
        <v>5.0000000000000001E-3</v>
      </c>
      <c r="B519" s="1">
        <v>0.01</v>
      </c>
      <c r="C519">
        <f t="shared" si="8"/>
        <v>5.0000000000000001E-3</v>
      </c>
    </row>
    <row r="520" spans="1:3">
      <c r="A520" s="1">
        <v>0.15</v>
      </c>
      <c r="B520" s="1">
        <v>0.2</v>
      </c>
      <c r="C520">
        <f t="shared" si="8"/>
        <v>5.0000000000000017E-2</v>
      </c>
    </row>
    <row r="521" spans="1:3">
      <c r="A521" s="1">
        <v>0.25</v>
      </c>
      <c r="B521" s="1">
        <v>0.7</v>
      </c>
      <c r="C521">
        <f t="shared" si="8"/>
        <v>0.44999999999999996</v>
      </c>
    </row>
    <row r="522" spans="1:3">
      <c r="A522" s="1">
        <v>0.18</v>
      </c>
      <c r="B522" s="1">
        <v>0.35</v>
      </c>
      <c r="C522">
        <f t="shared" si="8"/>
        <v>0.16999999999999998</v>
      </c>
    </row>
    <row r="523" spans="1:3">
      <c r="A523" s="1">
        <v>0.1</v>
      </c>
      <c r="B523" s="1">
        <v>0.2</v>
      </c>
      <c r="C523">
        <f t="shared" si="8"/>
        <v>0.1</v>
      </c>
    </row>
    <row r="524" spans="1:3">
      <c r="A524" s="1">
        <v>0.9</v>
      </c>
      <c r="B524" s="1">
        <v>0.95</v>
      </c>
      <c r="C524">
        <f t="shared" si="8"/>
        <v>4.9999999999999933E-2</v>
      </c>
    </row>
    <row r="525" spans="1:3">
      <c r="A525" s="1">
        <v>0.1</v>
      </c>
      <c r="B525" s="1">
        <v>0.25</v>
      </c>
      <c r="C525">
        <f t="shared" si="8"/>
        <v>0.15</v>
      </c>
    </row>
    <row r="526" spans="1:3">
      <c r="A526" s="1">
        <v>0.2</v>
      </c>
      <c r="B526" s="1">
        <v>0.4</v>
      </c>
      <c r="C526">
        <f t="shared" si="8"/>
        <v>0.2</v>
      </c>
    </row>
    <row r="527" spans="1:3">
      <c r="A527" s="1">
        <v>0.1</v>
      </c>
      <c r="B527" s="1">
        <v>0.3</v>
      </c>
      <c r="C527">
        <f t="shared" si="8"/>
        <v>0.19999999999999998</v>
      </c>
    </row>
    <row r="528" spans="1:3">
      <c r="A528" s="1">
        <v>0.1</v>
      </c>
      <c r="B528" s="1">
        <v>0.3</v>
      </c>
      <c r="C528">
        <f t="shared" si="8"/>
        <v>0.19999999999999998</v>
      </c>
    </row>
    <row r="529" spans="1:3">
      <c r="A529" s="1">
        <v>0.1</v>
      </c>
      <c r="B529" s="1">
        <v>0.3</v>
      </c>
      <c r="C529">
        <f t="shared" si="8"/>
        <v>0.19999999999999998</v>
      </c>
    </row>
    <row r="530" spans="1:3">
      <c r="A530" s="1">
        <v>0.1</v>
      </c>
      <c r="B530" s="1">
        <v>0.3</v>
      </c>
      <c r="C530">
        <f t="shared" si="8"/>
        <v>0.19999999999999998</v>
      </c>
    </row>
    <row r="531" spans="1:3">
      <c r="A531" s="1">
        <v>0.1</v>
      </c>
      <c r="B531" s="1">
        <v>0.3</v>
      </c>
      <c r="C531">
        <f t="shared" si="8"/>
        <v>0.19999999999999998</v>
      </c>
    </row>
    <row r="532" spans="1:3">
      <c r="A532" s="1">
        <v>0.3</v>
      </c>
      <c r="B532" s="1">
        <v>0.15</v>
      </c>
      <c r="C532">
        <f t="shared" si="8"/>
        <v>-0.15</v>
      </c>
    </row>
    <row r="533" spans="1:3">
      <c r="A533" s="1">
        <v>0.6</v>
      </c>
      <c r="B533" s="1">
        <v>0.7</v>
      </c>
      <c r="C533">
        <f t="shared" si="8"/>
        <v>9.9999999999999978E-2</v>
      </c>
    </row>
    <row r="534" spans="1:3">
      <c r="A534" s="1">
        <v>0.25</v>
      </c>
      <c r="B534" s="1">
        <v>0.4</v>
      </c>
      <c r="C534">
        <f t="shared" si="8"/>
        <v>0.15000000000000002</v>
      </c>
    </row>
    <row r="535" spans="1:3">
      <c r="A535" s="1">
        <v>0.25</v>
      </c>
      <c r="B535" s="1">
        <v>0.5</v>
      </c>
      <c r="C535">
        <f t="shared" si="8"/>
        <v>0.25</v>
      </c>
    </row>
    <row r="536" spans="1:3">
      <c r="A536" s="1">
        <v>7.0000000000000007E-2</v>
      </c>
      <c r="B536" s="1">
        <v>0.35</v>
      </c>
      <c r="C536">
        <f t="shared" si="8"/>
        <v>0.27999999999999997</v>
      </c>
    </row>
    <row r="537" spans="1:3">
      <c r="A537" s="1">
        <v>0.4</v>
      </c>
      <c r="B537" s="1">
        <v>0.8</v>
      </c>
      <c r="C537">
        <f t="shared" si="8"/>
        <v>0.4</v>
      </c>
    </row>
    <row r="538" spans="1:3">
      <c r="A538" s="1">
        <v>0.02</v>
      </c>
      <c r="B538" s="1">
        <v>0.3</v>
      </c>
      <c r="C538">
        <f t="shared" si="8"/>
        <v>0.27999999999999997</v>
      </c>
    </row>
    <row r="539" spans="1:3">
      <c r="A539" s="1">
        <v>0.02</v>
      </c>
      <c r="B539" s="1">
        <v>0.3</v>
      </c>
      <c r="C539">
        <f t="shared" si="8"/>
        <v>0.27999999999999997</v>
      </c>
    </row>
    <row r="540" spans="1:3">
      <c r="A540" s="1">
        <v>0.1</v>
      </c>
      <c r="B540" s="1">
        <v>0.3</v>
      </c>
      <c r="C540">
        <f t="shared" si="8"/>
        <v>0.19999999999999998</v>
      </c>
    </row>
    <row r="541" spans="1:3">
      <c r="A541" s="1">
        <v>0.15</v>
      </c>
      <c r="B541" s="1">
        <v>0.3</v>
      </c>
      <c r="C541">
        <f t="shared" si="8"/>
        <v>0.15</v>
      </c>
    </row>
    <row r="542" spans="1:3">
      <c r="A542" s="1">
        <v>0.5</v>
      </c>
      <c r="B542" s="1">
        <v>0.7</v>
      </c>
      <c r="C542">
        <f t="shared" si="8"/>
        <v>0.19999999999999996</v>
      </c>
    </row>
    <row r="543" spans="1:3">
      <c r="A543" s="1">
        <v>0.1</v>
      </c>
      <c r="B543" s="1">
        <v>0.2</v>
      </c>
      <c r="C543">
        <f t="shared" si="8"/>
        <v>0.1</v>
      </c>
    </row>
    <row r="544" spans="1:3">
      <c r="A544" s="1">
        <v>0.25</v>
      </c>
      <c r="B544" s="1">
        <v>0.75</v>
      </c>
      <c r="C544">
        <f t="shared" si="8"/>
        <v>0.5</v>
      </c>
    </row>
    <row r="545" spans="1:3">
      <c r="A545" s="1">
        <v>0.01</v>
      </c>
      <c r="B545" s="1">
        <v>0.2</v>
      </c>
      <c r="C545">
        <f t="shared" si="8"/>
        <v>0.19</v>
      </c>
    </row>
    <row r="546" spans="1:3">
      <c r="A546" s="1">
        <v>0.1</v>
      </c>
      <c r="B546" s="1">
        <v>0.25</v>
      </c>
      <c r="C546">
        <f t="shared" si="8"/>
        <v>0.15</v>
      </c>
    </row>
    <row r="547" spans="1:3">
      <c r="A547" s="1">
        <v>0.2</v>
      </c>
      <c r="B547" s="1">
        <v>0.6</v>
      </c>
      <c r="C547">
        <f t="shared" si="8"/>
        <v>0.39999999999999997</v>
      </c>
    </row>
    <row r="548" spans="1:3">
      <c r="A548" s="1">
        <v>0.46</v>
      </c>
      <c r="B548" s="1">
        <v>0.5</v>
      </c>
      <c r="C548">
        <f t="shared" si="8"/>
        <v>3.999999999999998E-2</v>
      </c>
    </row>
    <row r="549" spans="1:3">
      <c r="A549" s="1">
        <v>0.4</v>
      </c>
      <c r="B549" s="1">
        <v>0.5</v>
      </c>
      <c r="C549">
        <f t="shared" si="8"/>
        <v>9.9999999999999978E-2</v>
      </c>
    </row>
    <row r="550" spans="1:3">
      <c r="A550" s="1">
        <v>0.15</v>
      </c>
      <c r="B550" s="1">
        <v>0.3</v>
      </c>
      <c r="C550">
        <f t="shared" si="8"/>
        <v>0.15</v>
      </c>
    </row>
    <row r="551" spans="1:3">
      <c r="A551" s="1">
        <v>0.32</v>
      </c>
      <c r="B551" s="1">
        <v>0.48</v>
      </c>
      <c r="C551">
        <f t="shared" si="8"/>
        <v>0.15999999999999998</v>
      </c>
    </row>
    <row r="552" spans="1:3">
      <c r="A552" s="1">
        <v>0.1</v>
      </c>
      <c r="B552" s="1">
        <v>0.3</v>
      </c>
      <c r="C552">
        <f t="shared" si="8"/>
        <v>0.19999999999999998</v>
      </c>
    </row>
    <row r="553" spans="1:3">
      <c r="A553" s="1">
        <v>0.3</v>
      </c>
      <c r="B553" s="1">
        <v>0.37</v>
      </c>
      <c r="C553">
        <f t="shared" si="8"/>
        <v>7.0000000000000007E-2</v>
      </c>
    </row>
    <row r="554" spans="1:3">
      <c r="A554" s="1">
        <v>0.33</v>
      </c>
      <c r="B554" s="1">
        <v>0.42</v>
      </c>
      <c r="C554">
        <f t="shared" si="8"/>
        <v>8.9999999999999969E-2</v>
      </c>
    </row>
    <row r="555" spans="1:3">
      <c r="A555" s="1">
        <v>0.15</v>
      </c>
      <c r="B555" s="1">
        <v>0.3</v>
      </c>
      <c r="C555">
        <f t="shared" si="8"/>
        <v>0.15</v>
      </c>
    </row>
    <row r="556" spans="1:3">
      <c r="A556" s="1">
        <v>0.45</v>
      </c>
      <c r="B556" s="1">
        <v>0.56000000000000005</v>
      </c>
      <c r="C556">
        <f t="shared" si="8"/>
        <v>0.11000000000000004</v>
      </c>
    </row>
    <row r="557" spans="1:3">
      <c r="A557" s="1">
        <v>0.2</v>
      </c>
      <c r="B557" s="1">
        <v>0.3</v>
      </c>
      <c r="C557">
        <f t="shared" si="8"/>
        <v>9.9999999999999978E-2</v>
      </c>
    </row>
    <row r="558" spans="1:3">
      <c r="A558" s="1">
        <v>0.3</v>
      </c>
      <c r="B558" s="1">
        <v>0.5</v>
      </c>
      <c r="C558">
        <f t="shared" si="8"/>
        <v>0.2</v>
      </c>
    </row>
    <row r="559" spans="1:3">
      <c r="A559" s="1">
        <v>0.35</v>
      </c>
      <c r="B559" s="1">
        <v>0.52</v>
      </c>
      <c r="C559">
        <f t="shared" si="8"/>
        <v>0.17000000000000004</v>
      </c>
    </row>
    <row r="560" spans="1:3">
      <c r="A560" s="1">
        <v>0.1</v>
      </c>
      <c r="B560" s="1">
        <v>0.4</v>
      </c>
      <c r="C560">
        <f t="shared" si="8"/>
        <v>0.30000000000000004</v>
      </c>
    </row>
    <row r="561" spans="1:3">
      <c r="A561" s="1">
        <v>0.2</v>
      </c>
      <c r="B561" s="1">
        <v>0.7</v>
      </c>
      <c r="C561">
        <f t="shared" si="8"/>
        <v>0.49999999999999994</v>
      </c>
    </row>
    <row r="562" spans="1:3">
      <c r="A562" s="1">
        <v>0.3</v>
      </c>
      <c r="B562" s="1">
        <v>0.75</v>
      </c>
      <c r="C562">
        <f t="shared" si="8"/>
        <v>0.45</v>
      </c>
    </row>
    <row r="563" spans="1:3">
      <c r="A563" s="1">
        <v>0.05</v>
      </c>
      <c r="B563" s="1">
        <v>0.7</v>
      </c>
      <c r="C563">
        <f t="shared" si="8"/>
        <v>0.64999999999999991</v>
      </c>
    </row>
    <row r="564" spans="1:3">
      <c r="A564" s="1">
        <v>0.2</v>
      </c>
      <c r="B564" s="1">
        <v>0.35</v>
      </c>
      <c r="C564">
        <f t="shared" si="8"/>
        <v>0.14999999999999997</v>
      </c>
    </row>
    <row r="565" spans="1:3">
      <c r="A565" s="1">
        <v>0.3</v>
      </c>
      <c r="B565" s="1">
        <v>0.15</v>
      </c>
      <c r="C565">
        <f t="shared" si="8"/>
        <v>-0.15</v>
      </c>
    </row>
    <row r="566" spans="1:3">
      <c r="A566" s="1">
        <v>0.6</v>
      </c>
      <c r="B566" s="1">
        <v>0.5</v>
      </c>
      <c r="C566">
        <f t="shared" si="8"/>
        <v>-9.9999999999999978E-2</v>
      </c>
    </row>
    <row r="567" spans="1:3">
      <c r="A567" s="1">
        <v>0.4</v>
      </c>
      <c r="B567" s="1">
        <v>0.8</v>
      </c>
      <c r="C567">
        <f t="shared" si="8"/>
        <v>0.4</v>
      </c>
    </row>
    <row r="568" spans="1:3">
      <c r="A568" s="1">
        <v>0.3</v>
      </c>
      <c r="B568" s="1">
        <v>0.2</v>
      </c>
      <c r="C568">
        <f t="shared" si="8"/>
        <v>-9.9999999999999978E-2</v>
      </c>
    </row>
    <row r="569" spans="1:3">
      <c r="A569" s="1">
        <v>0.15</v>
      </c>
      <c r="B569" s="1">
        <v>0.6</v>
      </c>
      <c r="C569">
        <f t="shared" si="8"/>
        <v>0.44999999999999996</v>
      </c>
    </row>
    <row r="570" spans="1:3">
      <c r="A570" s="1">
        <v>0.15</v>
      </c>
      <c r="B570" s="1">
        <v>0.6</v>
      </c>
      <c r="C570">
        <f t="shared" si="8"/>
        <v>0.44999999999999996</v>
      </c>
    </row>
    <row r="571" spans="1:3">
      <c r="A571" s="1">
        <v>0.46</v>
      </c>
      <c r="B571" s="1">
        <v>0.5</v>
      </c>
      <c r="C571">
        <f t="shared" si="8"/>
        <v>3.999999999999998E-2</v>
      </c>
    </row>
    <row r="572" spans="1:3">
      <c r="A572" s="1">
        <v>0.48</v>
      </c>
      <c r="B572" s="1">
        <v>0.2</v>
      </c>
      <c r="C572">
        <f t="shared" si="8"/>
        <v>-0.27999999999999997</v>
      </c>
    </row>
    <row r="573" spans="1:3">
      <c r="A573" s="1">
        <v>0.2</v>
      </c>
      <c r="B573" s="1">
        <v>0.6</v>
      </c>
      <c r="C573">
        <f t="shared" si="8"/>
        <v>0.39999999999999997</v>
      </c>
    </row>
    <row r="574" spans="1:3">
      <c r="A574" s="1">
        <v>0.26</v>
      </c>
      <c r="B574" s="1">
        <v>0.4</v>
      </c>
      <c r="C574">
        <f t="shared" si="8"/>
        <v>0.14000000000000001</v>
      </c>
    </row>
    <row r="575" spans="1:3">
      <c r="A575" s="1">
        <v>0.4</v>
      </c>
      <c r="B575" s="1">
        <v>0.5</v>
      </c>
      <c r="C575">
        <f t="shared" si="8"/>
        <v>9.9999999999999978E-2</v>
      </c>
    </row>
    <row r="576" spans="1:3">
      <c r="A576" s="1">
        <v>0.7</v>
      </c>
      <c r="B576" s="1">
        <v>0.8</v>
      </c>
      <c r="C576">
        <f t="shared" si="8"/>
        <v>0.10000000000000009</v>
      </c>
    </row>
    <row r="577" spans="1:3">
      <c r="A577" s="1">
        <v>0.15</v>
      </c>
      <c r="B577" s="1">
        <v>0.3</v>
      </c>
      <c r="C577">
        <f t="shared" si="8"/>
        <v>0.15</v>
      </c>
    </row>
    <row r="578" spans="1:3">
      <c r="A578" s="1">
        <v>0.1</v>
      </c>
      <c r="B578" s="1">
        <v>0.3</v>
      </c>
      <c r="C578">
        <f t="shared" si="8"/>
        <v>0.19999999999999998</v>
      </c>
    </row>
    <row r="579" spans="1:3">
      <c r="A579" s="1">
        <v>0.05</v>
      </c>
      <c r="B579" s="1">
        <v>0.05</v>
      </c>
      <c r="C579">
        <f t="shared" ref="C579:C642" si="9">B579-A579</f>
        <v>0</v>
      </c>
    </row>
    <row r="580" spans="1:3">
      <c r="A580" s="1">
        <v>0.4</v>
      </c>
      <c r="B580" s="1">
        <v>0.5</v>
      </c>
      <c r="C580">
        <f t="shared" si="9"/>
        <v>9.9999999999999978E-2</v>
      </c>
    </row>
    <row r="581" spans="1:3">
      <c r="A581" s="1">
        <v>0.7</v>
      </c>
      <c r="B581" s="1">
        <v>0.9</v>
      </c>
      <c r="C581">
        <f t="shared" si="9"/>
        <v>0.20000000000000007</v>
      </c>
    </row>
    <row r="582" spans="1:3">
      <c r="A582" s="1">
        <v>0.2</v>
      </c>
      <c r="B582" s="1">
        <v>0.5</v>
      </c>
      <c r="C582">
        <f t="shared" si="9"/>
        <v>0.3</v>
      </c>
    </row>
    <row r="583" spans="1:3">
      <c r="A583" s="1">
        <v>0.3</v>
      </c>
      <c r="B583" s="1">
        <v>0.6</v>
      </c>
      <c r="C583">
        <f t="shared" si="9"/>
        <v>0.3</v>
      </c>
    </row>
    <row r="584" spans="1:3">
      <c r="A584" s="1">
        <v>0.05</v>
      </c>
      <c r="B584" s="1">
        <v>0.6</v>
      </c>
      <c r="C584">
        <f t="shared" si="9"/>
        <v>0.54999999999999993</v>
      </c>
    </row>
    <row r="585" spans="1:3">
      <c r="A585" s="1">
        <v>0.6</v>
      </c>
      <c r="B585" s="1">
        <v>0.8</v>
      </c>
      <c r="C585">
        <f t="shared" si="9"/>
        <v>0.20000000000000007</v>
      </c>
    </row>
    <row r="586" spans="1:3">
      <c r="A586" s="1">
        <v>0.2</v>
      </c>
      <c r="B586" s="1">
        <v>0.7</v>
      </c>
      <c r="C586">
        <f t="shared" si="9"/>
        <v>0.49999999999999994</v>
      </c>
    </row>
    <row r="587" spans="1:3">
      <c r="A587" s="1">
        <v>0.15</v>
      </c>
      <c r="B587" s="1">
        <v>0.2</v>
      </c>
      <c r="C587">
        <f t="shared" si="9"/>
        <v>5.0000000000000017E-2</v>
      </c>
    </row>
    <row r="588" spans="1:3">
      <c r="A588" s="1">
        <v>0.15</v>
      </c>
      <c r="B588" s="1">
        <v>0.2</v>
      </c>
      <c r="C588">
        <f t="shared" si="9"/>
        <v>5.0000000000000017E-2</v>
      </c>
    </row>
    <row r="589" spans="1:3">
      <c r="A589" s="1">
        <v>0.15</v>
      </c>
      <c r="B589" s="1">
        <v>0.2</v>
      </c>
      <c r="C589">
        <f t="shared" si="9"/>
        <v>5.0000000000000017E-2</v>
      </c>
    </row>
    <row r="590" spans="1:3">
      <c r="A590" s="1">
        <v>0.2</v>
      </c>
      <c r="B590" s="1">
        <v>0.05</v>
      </c>
      <c r="C590">
        <f t="shared" si="9"/>
        <v>-0.15000000000000002</v>
      </c>
    </row>
    <row r="591" spans="1:3">
      <c r="A591" s="1">
        <v>0.1</v>
      </c>
      <c r="B591" s="1">
        <v>0.9</v>
      </c>
      <c r="C591">
        <f t="shared" si="9"/>
        <v>0.8</v>
      </c>
    </row>
    <row r="592" spans="1:3">
      <c r="A592" s="1">
        <v>0.8</v>
      </c>
      <c r="B592" s="1">
        <v>0.9</v>
      </c>
      <c r="C592">
        <f t="shared" si="9"/>
        <v>9.9999999999999978E-2</v>
      </c>
    </row>
    <row r="593" spans="1:3">
      <c r="A593" s="1">
        <v>0.75</v>
      </c>
      <c r="B593" s="1">
        <v>0.85</v>
      </c>
      <c r="C593">
        <f t="shared" si="9"/>
        <v>9.9999999999999978E-2</v>
      </c>
    </row>
    <row r="594" spans="1:3">
      <c r="A594" s="1">
        <v>0.97</v>
      </c>
      <c r="B594" s="1">
        <v>0.98</v>
      </c>
      <c r="C594">
        <f t="shared" si="9"/>
        <v>1.0000000000000009E-2</v>
      </c>
    </row>
    <row r="595" spans="1:3">
      <c r="A595" s="1">
        <v>0.4</v>
      </c>
      <c r="B595" s="1">
        <v>0.5</v>
      </c>
      <c r="C595">
        <f t="shared" si="9"/>
        <v>9.9999999999999978E-2</v>
      </c>
    </row>
    <row r="596" spans="1:3">
      <c r="A596" s="1">
        <v>0.15</v>
      </c>
      <c r="B596" s="1">
        <v>0.2</v>
      </c>
      <c r="C596">
        <f t="shared" si="9"/>
        <v>5.0000000000000017E-2</v>
      </c>
    </row>
    <row r="597" spans="1:3">
      <c r="A597" s="1">
        <v>0.1</v>
      </c>
      <c r="B597" s="1">
        <v>0.2</v>
      </c>
      <c r="C597">
        <f t="shared" si="9"/>
        <v>0.1</v>
      </c>
    </row>
    <row r="598" spans="1:3">
      <c r="A598" s="1">
        <v>0.1</v>
      </c>
      <c r="B598" s="1">
        <v>0.2</v>
      </c>
      <c r="C598">
        <f t="shared" si="9"/>
        <v>0.1</v>
      </c>
    </row>
    <row r="599" spans="1:3">
      <c r="A599" s="1">
        <v>0.1</v>
      </c>
      <c r="B599" s="1">
        <v>0.2</v>
      </c>
      <c r="C599">
        <f t="shared" si="9"/>
        <v>0.1</v>
      </c>
    </row>
    <row r="600" spans="1:3">
      <c r="A600" s="1">
        <v>0.3</v>
      </c>
      <c r="B600" s="1">
        <v>0.8</v>
      </c>
      <c r="C600">
        <f t="shared" si="9"/>
        <v>0.5</v>
      </c>
    </row>
    <row r="601" spans="1:3">
      <c r="A601" s="1">
        <v>0.6</v>
      </c>
      <c r="B601" s="1">
        <v>0.75</v>
      </c>
      <c r="C601">
        <f t="shared" si="9"/>
        <v>0.15000000000000002</v>
      </c>
    </row>
    <row r="602" spans="1:3">
      <c r="A602" s="1">
        <v>0.15</v>
      </c>
      <c r="B602" s="1">
        <v>0.2</v>
      </c>
      <c r="C602">
        <f t="shared" si="9"/>
        <v>5.0000000000000017E-2</v>
      </c>
    </row>
    <row r="603" spans="1:3">
      <c r="A603" s="1">
        <v>0.2</v>
      </c>
      <c r="B603" s="1">
        <v>0.3</v>
      </c>
      <c r="C603">
        <f t="shared" si="9"/>
        <v>9.9999999999999978E-2</v>
      </c>
    </row>
    <row r="604" spans="1:3">
      <c r="A604" s="1">
        <v>0.6</v>
      </c>
      <c r="B604" s="1">
        <v>1</v>
      </c>
      <c r="C604">
        <f t="shared" si="9"/>
        <v>0.4</v>
      </c>
    </row>
    <row r="605" spans="1:3">
      <c r="A605" s="1">
        <v>0.15</v>
      </c>
      <c r="B605" s="1">
        <v>0.45</v>
      </c>
      <c r="C605">
        <f t="shared" si="9"/>
        <v>0.30000000000000004</v>
      </c>
    </row>
    <row r="606" spans="1:3">
      <c r="A606" s="1">
        <v>0.5</v>
      </c>
      <c r="B606" s="1">
        <v>0.8</v>
      </c>
      <c r="C606">
        <f t="shared" si="9"/>
        <v>0.30000000000000004</v>
      </c>
    </row>
    <row r="607" spans="1:3">
      <c r="A607" s="1">
        <v>0.15</v>
      </c>
      <c r="B607" s="1">
        <v>0.5</v>
      </c>
      <c r="C607">
        <f t="shared" si="9"/>
        <v>0.35</v>
      </c>
    </row>
    <row r="608" spans="1:3">
      <c r="A608" s="1">
        <v>0.4</v>
      </c>
      <c r="B608" s="1">
        <v>0.7</v>
      </c>
      <c r="C608">
        <f t="shared" si="9"/>
        <v>0.29999999999999993</v>
      </c>
    </row>
    <row r="609" spans="1:3">
      <c r="A609" s="1">
        <v>0.4</v>
      </c>
      <c r="B609" s="1">
        <v>0.7</v>
      </c>
      <c r="C609">
        <f t="shared" si="9"/>
        <v>0.29999999999999993</v>
      </c>
    </row>
    <row r="610" spans="1:3">
      <c r="A610" s="1">
        <v>0.75</v>
      </c>
      <c r="B610" s="1">
        <v>0.9</v>
      </c>
      <c r="C610">
        <f t="shared" si="9"/>
        <v>0.15000000000000002</v>
      </c>
    </row>
    <row r="611" spans="1:3">
      <c r="A611" s="1">
        <v>0.85</v>
      </c>
      <c r="B611" s="1">
        <v>0.9</v>
      </c>
      <c r="C611">
        <f t="shared" si="9"/>
        <v>5.0000000000000044E-2</v>
      </c>
    </row>
    <row r="612" spans="1:3">
      <c r="A612" s="1">
        <v>0.8</v>
      </c>
      <c r="B612" s="1">
        <v>0.96</v>
      </c>
      <c r="C612">
        <f t="shared" si="9"/>
        <v>0.15999999999999992</v>
      </c>
    </row>
    <row r="613" spans="1:3">
      <c r="A613" s="1">
        <v>0.32</v>
      </c>
      <c r="B613" s="1">
        <v>0.26</v>
      </c>
      <c r="C613">
        <f t="shared" si="9"/>
        <v>-0.06</v>
      </c>
    </row>
    <row r="614" spans="1:3">
      <c r="A614" s="1">
        <v>0.3</v>
      </c>
      <c r="B614" s="1">
        <v>0.6</v>
      </c>
      <c r="C614">
        <f t="shared" si="9"/>
        <v>0.3</v>
      </c>
    </row>
    <row r="615" spans="1:3">
      <c r="A615" s="1">
        <v>0.5</v>
      </c>
      <c r="B615" s="1">
        <v>0.8</v>
      </c>
      <c r="C615">
        <f t="shared" si="9"/>
        <v>0.30000000000000004</v>
      </c>
    </row>
    <row r="616" spans="1:3">
      <c r="A616" s="1">
        <v>0.65</v>
      </c>
      <c r="B616" s="1">
        <v>0.94</v>
      </c>
      <c r="C616">
        <f t="shared" si="9"/>
        <v>0.28999999999999992</v>
      </c>
    </row>
    <row r="617" spans="1:3">
      <c r="A617" s="1">
        <v>0.9</v>
      </c>
      <c r="B617" s="1">
        <v>0.95</v>
      </c>
      <c r="C617">
        <f t="shared" si="9"/>
        <v>4.9999999999999933E-2</v>
      </c>
    </row>
    <row r="618" spans="1:3">
      <c r="A618" s="1">
        <v>0.65</v>
      </c>
      <c r="B618" s="1">
        <v>0.75</v>
      </c>
      <c r="C618">
        <f t="shared" si="9"/>
        <v>9.9999999999999978E-2</v>
      </c>
    </row>
    <row r="619" spans="1:3">
      <c r="A619" s="1">
        <v>0.3</v>
      </c>
      <c r="B619" s="1">
        <v>0.75</v>
      </c>
      <c r="C619">
        <f t="shared" si="9"/>
        <v>0.45</v>
      </c>
    </row>
    <row r="620" spans="1:3">
      <c r="A620" s="1">
        <v>0.85</v>
      </c>
      <c r="B620" s="1">
        <v>0.97</v>
      </c>
      <c r="C620">
        <f t="shared" si="9"/>
        <v>0.12</v>
      </c>
    </row>
    <row r="621" spans="1:3">
      <c r="A621" s="1">
        <v>0.8</v>
      </c>
      <c r="B621" s="1">
        <v>0.9</v>
      </c>
      <c r="C621">
        <f t="shared" si="9"/>
        <v>9.9999999999999978E-2</v>
      </c>
    </row>
    <row r="622" spans="1:3">
      <c r="A622" s="1">
        <v>0.9</v>
      </c>
      <c r="B622" s="1">
        <v>0.99</v>
      </c>
      <c r="C622">
        <f t="shared" si="9"/>
        <v>8.9999999999999969E-2</v>
      </c>
    </row>
    <row r="623" spans="1:3">
      <c r="A623" s="1">
        <v>0.9</v>
      </c>
      <c r="B623" s="1">
        <v>0.97</v>
      </c>
      <c r="C623">
        <f t="shared" si="9"/>
        <v>6.9999999999999951E-2</v>
      </c>
    </row>
    <row r="624" spans="1:3">
      <c r="A624" s="1">
        <v>0.9</v>
      </c>
      <c r="B624" s="1">
        <v>0.95</v>
      </c>
      <c r="C624">
        <f t="shared" si="9"/>
        <v>4.9999999999999933E-2</v>
      </c>
    </row>
    <row r="625" spans="1:3">
      <c r="A625" s="1">
        <v>0.6</v>
      </c>
      <c r="B625" s="1">
        <v>0.8</v>
      </c>
      <c r="C625">
        <f t="shared" si="9"/>
        <v>0.20000000000000007</v>
      </c>
    </row>
    <row r="626" spans="1:3">
      <c r="A626" s="1">
        <v>0.2</v>
      </c>
      <c r="B626" s="1">
        <v>0.4</v>
      </c>
      <c r="C626">
        <f t="shared" si="9"/>
        <v>0.2</v>
      </c>
    </row>
    <row r="627" spans="1:3">
      <c r="A627" s="1">
        <v>0.9</v>
      </c>
      <c r="B627" s="1">
        <v>0.9</v>
      </c>
      <c r="C627">
        <f t="shared" si="9"/>
        <v>0</v>
      </c>
    </row>
    <row r="628" spans="1:3">
      <c r="A628" s="1">
        <v>0.2</v>
      </c>
      <c r="B628" s="1">
        <v>0.4</v>
      </c>
      <c r="C628">
        <f t="shared" si="9"/>
        <v>0.2</v>
      </c>
    </row>
    <row r="629" spans="1:3">
      <c r="A629" s="1">
        <v>0.76</v>
      </c>
      <c r="B629" s="1">
        <v>0.94</v>
      </c>
      <c r="C629">
        <f t="shared" si="9"/>
        <v>0.17999999999999994</v>
      </c>
    </row>
    <row r="630" spans="1:3">
      <c r="A630" s="1">
        <v>0.95</v>
      </c>
      <c r="B630" s="1">
        <v>0.9</v>
      </c>
      <c r="C630">
        <f t="shared" si="9"/>
        <v>-4.9999999999999933E-2</v>
      </c>
    </row>
    <row r="631" spans="1:3">
      <c r="A631" s="1">
        <v>0.9</v>
      </c>
      <c r="B631" s="1">
        <v>0.98</v>
      </c>
      <c r="C631">
        <f t="shared" si="9"/>
        <v>7.999999999999996E-2</v>
      </c>
    </row>
    <row r="632" spans="1:3">
      <c r="A632" s="1">
        <v>0.5</v>
      </c>
      <c r="B632" s="1">
        <v>0.85</v>
      </c>
      <c r="C632">
        <f t="shared" si="9"/>
        <v>0.35</v>
      </c>
    </row>
    <row r="633" spans="1:3">
      <c r="A633" s="1">
        <v>0.1</v>
      </c>
      <c r="B633" s="1">
        <v>0.4</v>
      </c>
      <c r="C633">
        <f t="shared" si="9"/>
        <v>0.30000000000000004</v>
      </c>
    </row>
    <row r="634" spans="1:3">
      <c r="A634" s="1">
        <v>0.7</v>
      </c>
      <c r="B634" s="1">
        <v>0.8</v>
      </c>
      <c r="C634">
        <f t="shared" si="9"/>
        <v>0.10000000000000009</v>
      </c>
    </row>
    <row r="635" spans="1:3">
      <c r="A635" s="1">
        <v>0.7</v>
      </c>
      <c r="B635" s="1">
        <v>0.65</v>
      </c>
      <c r="C635">
        <f t="shared" si="9"/>
        <v>-4.9999999999999933E-2</v>
      </c>
    </row>
    <row r="636" spans="1:3">
      <c r="A636" s="1">
        <v>0.22</v>
      </c>
      <c r="B636" s="1">
        <v>0.35</v>
      </c>
      <c r="C636">
        <f t="shared" si="9"/>
        <v>0.12999999999999998</v>
      </c>
    </row>
    <row r="637" spans="1:3">
      <c r="A637" s="1">
        <v>0.2</v>
      </c>
      <c r="B637" s="1">
        <v>0.8</v>
      </c>
      <c r="C637">
        <f t="shared" si="9"/>
        <v>0.60000000000000009</v>
      </c>
    </row>
    <row r="638" spans="1:3">
      <c r="A638" s="1">
        <v>0.05</v>
      </c>
      <c r="B638" s="1">
        <v>0.6</v>
      </c>
      <c r="C638">
        <f t="shared" si="9"/>
        <v>0.54999999999999993</v>
      </c>
    </row>
    <row r="639" spans="1:3">
      <c r="A639" s="1">
        <v>0.54</v>
      </c>
      <c r="B639" s="1">
        <v>0.72</v>
      </c>
      <c r="C639">
        <f t="shared" si="9"/>
        <v>0.17999999999999994</v>
      </c>
    </row>
    <row r="640" spans="1:3">
      <c r="A640" s="1">
        <v>0.2</v>
      </c>
      <c r="B640" s="1">
        <v>0.15</v>
      </c>
      <c r="C640">
        <f t="shared" si="9"/>
        <v>-5.0000000000000017E-2</v>
      </c>
    </row>
    <row r="641" spans="1:3">
      <c r="A641" s="1">
        <v>0.85</v>
      </c>
      <c r="B641" s="1">
        <v>0.99</v>
      </c>
      <c r="C641">
        <f t="shared" si="9"/>
        <v>0.14000000000000001</v>
      </c>
    </row>
    <row r="642" spans="1:3">
      <c r="A642" s="1">
        <v>0.3</v>
      </c>
      <c r="B642" s="1">
        <v>0.1</v>
      </c>
      <c r="C642">
        <f t="shared" si="9"/>
        <v>-0.19999999999999998</v>
      </c>
    </row>
    <row r="643" spans="1:3">
      <c r="A643" s="1">
        <v>0.5</v>
      </c>
      <c r="B643" s="1">
        <v>0.75</v>
      </c>
      <c r="C643">
        <f t="shared" ref="C643:C706" si="10">B643-A643</f>
        <v>0.25</v>
      </c>
    </row>
    <row r="644" spans="1:3">
      <c r="A644" s="1">
        <v>0.47</v>
      </c>
      <c r="B644" s="1">
        <v>0.31</v>
      </c>
      <c r="C644">
        <f t="shared" si="10"/>
        <v>-0.15999999999999998</v>
      </c>
    </row>
    <row r="645" spans="1:3">
      <c r="A645" s="1">
        <v>0.75</v>
      </c>
      <c r="B645" s="1">
        <v>0.91</v>
      </c>
      <c r="C645">
        <f t="shared" si="10"/>
        <v>0.16000000000000003</v>
      </c>
    </row>
    <row r="646" spans="1:3">
      <c r="A646" s="1">
        <v>0.4</v>
      </c>
      <c r="B646" s="1">
        <v>0.8</v>
      </c>
      <c r="C646">
        <f t="shared" si="10"/>
        <v>0.4</v>
      </c>
    </row>
    <row r="647" spans="1:3">
      <c r="A647" s="1">
        <v>0.4</v>
      </c>
      <c r="B647" s="1">
        <v>0.7</v>
      </c>
      <c r="C647">
        <f t="shared" si="10"/>
        <v>0.29999999999999993</v>
      </c>
    </row>
    <row r="648" spans="1:3">
      <c r="A648" s="1">
        <v>0.4</v>
      </c>
      <c r="B648" s="1">
        <v>0.5</v>
      </c>
      <c r="C648">
        <f t="shared" si="10"/>
        <v>9.9999999999999978E-2</v>
      </c>
    </row>
    <row r="649" spans="1:3">
      <c r="A649" s="1">
        <v>0.3</v>
      </c>
      <c r="B649" s="1">
        <v>0.4</v>
      </c>
      <c r="C649">
        <f t="shared" si="10"/>
        <v>0.10000000000000003</v>
      </c>
    </row>
    <row r="650" spans="1:3">
      <c r="A650" s="1">
        <v>0.33</v>
      </c>
      <c r="B650" s="1">
        <v>0.9</v>
      </c>
      <c r="C650">
        <f t="shared" si="10"/>
        <v>0.57000000000000006</v>
      </c>
    </row>
    <row r="651" spans="1:3">
      <c r="A651" s="1">
        <v>0.1</v>
      </c>
      <c r="B651" s="1">
        <v>0.43</v>
      </c>
      <c r="C651">
        <f t="shared" si="10"/>
        <v>0.32999999999999996</v>
      </c>
    </row>
    <row r="652" spans="1:3">
      <c r="A652" s="1">
        <v>0.77</v>
      </c>
      <c r="B652" s="1">
        <v>1</v>
      </c>
      <c r="C652">
        <f t="shared" si="10"/>
        <v>0.22999999999999998</v>
      </c>
    </row>
    <row r="653" spans="1:3">
      <c r="A653" s="1">
        <v>1</v>
      </c>
      <c r="B653" s="1">
        <v>1</v>
      </c>
      <c r="C653">
        <f t="shared" si="10"/>
        <v>0</v>
      </c>
    </row>
    <row r="654" spans="1:3">
      <c r="A654" s="1">
        <v>0.65</v>
      </c>
      <c r="B654" s="1">
        <v>0.95</v>
      </c>
      <c r="C654">
        <f t="shared" si="10"/>
        <v>0.29999999999999993</v>
      </c>
    </row>
    <row r="655" spans="1:3">
      <c r="A655" s="1">
        <v>0.6</v>
      </c>
      <c r="B655" s="1">
        <v>0.5</v>
      </c>
      <c r="C655">
        <f t="shared" si="10"/>
        <v>-9.9999999999999978E-2</v>
      </c>
    </row>
    <row r="656" spans="1:3">
      <c r="A656" s="1">
        <v>0.71</v>
      </c>
      <c r="B656" s="1">
        <v>0.8</v>
      </c>
      <c r="C656">
        <f t="shared" si="10"/>
        <v>9.000000000000008E-2</v>
      </c>
    </row>
    <row r="657" spans="1:3">
      <c r="A657" s="1">
        <v>0.3</v>
      </c>
      <c r="B657" s="1">
        <v>0.7</v>
      </c>
      <c r="C657">
        <f t="shared" si="10"/>
        <v>0.39999999999999997</v>
      </c>
    </row>
    <row r="658" spans="1:3">
      <c r="A658" s="1">
        <v>0.05</v>
      </c>
      <c r="B658" s="1">
        <v>0.7</v>
      </c>
      <c r="C658">
        <f t="shared" si="10"/>
        <v>0.64999999999999991</v>
      </c>
    </row>
    <row r="659" spans="1:3">
      <c r="A659" s="1">
        <v>0.25</v>
      </c>
      <c r="B659" s="1">
        <v>0.28999999999999998</v>
      </c>
      <c r="C659">
        <f t="shared" si="10"/>
        <v>3.999999999999998E-2</v>
      </c>
    </row>
    <row r="660" spans="1:3">
      <c r="A660" s="1">
        <v>0.43</v>
      </c>
      <c r="B660" s="1">
        <v>0.61</v>
      </c>
      <c r="C660">
        <f t="shared" si="10"/>
        <v>0.18</v>
      </c>
    </row>
    <row r="661" spans="1:3">
      <c r="A661" s="1">
        <v>0.23</v>
      </c>
      <c r="B661" s="1">
        <v>0.67</v>
      </c>
      <c r="C661">
        <f t="shared" si="10"/>
        <v>0.44000000000000006</v>
      </c>
    </row>
    <row r="662" spans="1:3">
      <c r="A662" s="1">
        <v>0.2</v>
      </c>
      <c r="B662" s="1">
        <v>0.6</v>
      </c>
      <c r="C662">
        <f t="shared" si="10"/>
        <v>0.39999999999999997</v>
      </c>
    </row>
    <row r="663" spans="1:3">
      <c r="A663" s="1">
        <v>0.5</v>
      </c>
      <c r="B663" s="1">
        <v>0.9</v>
      </c>
      <c r="C663">
        <f t="shared" si="10"/>
        <v>0.4</v>
      </c>
    </row>
    <row r="664" spans="1:3">
      <c r="A664" s="1">
        <v>0.25</v>
      </c>
      <c r="B664" s="1">
        <v>0.75</v>
      </c>
      <c r="C664">
        <f t="shared" si="10"/>
        <v>0.5</v>
      </c>
    </row>
    <row r="665" spans="1:3">
      <c r="A665" s="1">
        <v>0.6</v>
      </c>
      <c r="B665" s="1">
        <v>0.75</v>
      </c>
      <c r="C665">
        <f t="shared" si="10"/>
        <v>0.15000000000000002</v>
      </c>
    </row>
    <row r="666" spans="1:3">
      <c r="A666" s="1">
        <v>0.35780000000000001</v>
      </c>
      <c r="B666" s="1">
        <v>2.1499999999999998E-2</v>
      </c>
      <c r="C666">
        <f t="shared" si="10"/>
        <v>-0.33629999999999999</v>
      </c>
    </row>
    <row r="667" spans="1:3">
      <c r="A667" s="1">
        <v>0.8</v>
      </c>
      <c r="B667" s="1">
        <v>0.2</v>
      </c>
      <c r="C667">
        <f t="shared" si="10"/>
        <v>-0.60000000000000009</v>
      </c>
    </row>
    <row r="668" spans="1:3">
      <c r="A668" s="1">
        <v>0.58799999999999997</v>
      </c>
      <c r="B668" s="1">
        <v>0.58299999999999996</v>
      </c>
      <c r="C668">
        <f t="shared" si="10"/>
        <v>-5.0000000000000044E-3</v>
      </c>
    </row>
    <row r="669" spans="1:3">
      <c r="A669" s="1">
        <v>0.56699999999999995</v>
      </c>
      <c r="B669" s="1">
        <v>0.45400000000000001</v>
      </c>
      <c r="C669">
        <f t="shared" si="10"/>
        <v>-0.11299999999999993</v>
      </c>
    </row>
    <row r="670" spans="1:3">
      <c r="A670" s="1">
        <v>7.0000000000000007E-2</v>
      </c>
      <c r="B670" s="1">
        <v>0.92400000000000004</v>
      </c>
      <c r="C670">
        <f t="shared" si="10"/>
        <v>0.85400000000000009</v>
      </c>
    </row>
    <row r="671" spans="1:3">
      <c r="A671" s="1">
        <v>0.9</v>
      </c>
      <c r="B671" s="1">
        <v>1</v>
      </c>
      <c r="C671">
        <f t="shared" si="10"/>
        <v>9.9999999999999978E-2</v>
      </c>
    </row>
    <row r="672" spans="1:3">
      <c r="A672" s="1">
        <v>0</v>
      </c>
      <c r="B672" s="1">
        <v>0.21199999999999999</v>
      </c>
      <c r="C672">
        <f t="shared" si="10"/>
        <v>0.21199999999999999</v>
      </c>
    </row>
    <row r="673" spans="1:3">
      <c r="A673" s="1">
        <v>0.13</v>
      </c>
      <c r="B673" s="1">
        <v>0.21</v>
      </c>
      <c r="C673">
        <f t="shared" si="10"/>
        <v>7.9999999999999988E-2</v>
      </c>
    </row>
    <row r="674" spans="1:3">
      <c r="A674" s="1">
        <v>0.15</v>
      </c>
      <c r="B674" s="1">
        <v>0.5</v>
      </c>
      <c r="C674">
        <f t="shared" si="10"/>
        <v>0.35</v>
      </c>
    </row>
    <row r="675" spans="1:3">
      <c r="A675" s="1">
        <v>0.65</v>
      </c>
      <c r="B675" s="1">
        <v>0.93</v>
      </c>
      <c r="C675">
        <f t="shared" si="10"/>
        <v>0.28000000000000003</v>
      </c>
    </row>
    <row r="676" spans="1:3">
      <c r="A676" s="1">
        <v>0.50019999999999998</v>
      </c>
      <c r="B676" s="1">
        <v>0.60289999999999999</v>
      </c>
      <c r="C676">
        <f t="shared" si="10"/>
        <v>0.10270000000000001</v>
      </c>
    </row>
    <row r="677" spans="1:3">
      <c r="A677" s="1">
        <v>0.62</v>
      </c>
      <c r="B677" s="1">
        <v>0.72</v>
      </c>
      <c r="C677">
        <f t="shared" si="10"/>
        <v>9.9999999999999978E-2</v>
      </c>
    </row>
    <row r="678" spans="1:3">
      <c r="A678" s="1">
        <v>0.2465</v>
      </c>
      <c r="B678" s="1">
        <v>0.1835</v>
      </c>
      <c r="C678">
        <f t="shared" si="10"/>
        <v>-6.3E-2</v>
      </c>
    </row>
    <row r="679" spans="1:3">
      <c r="A679" s="1">
        <v>0.28060000000000002</v>
      </c>
      <c r="B679" s="1">
        <v>0.1265</v>
      </c>
      <c r="C679">
        <f t="shared" si="10"/>
        <v>-0.15410000000000001</v>
      </c>
    </row>
    <row r="680" spans="1:3">
      <c r="A680" s="1">
        <v>0</v>
      </c>
      <c r="B680" s="1">
        <v>0.3</v>
      </c>
      <c r="C680">
        <f t="shared" si="10"/>
        <v>0.3</v>
      </c>
    </row>
    <row r="681" spans="1:3">
      <c r="A681" s="1">
        <v>0.23530000000000001</v>
      </c>
      <c r="B681" s="1">
        <v>0.52329999999999999</v>
      </c>
      <c r="C681">
        <f t="shared" si="10"/>
        <v>0.28799999999999998</v>
      </c>
    </row>
    <row r="682" spans="1:3">
      <c r="A682" s="1">
        <v>0.2</v>
      </c>
      <c r="B682" s="1">
        <v>0.3</v>
      </c>
      <c r="C682">
        <f t="shared" si="10"/>
        <v>9.9999999999999978E-2</v>
      </c>
    </row>
    <row r="683" spans="1:3">
      <c r="A683" s="1">
        <v>0.5</v>
      </c>
      <c r="B683" s="1">
        <v>0.97</v>
      </c>
      <c r="C683">
        <f t="shared" si="10"/>
        <v>0.47</v>
      </c>
    </row>
    <row r="684" spans="1:3">
      <c r="A684" s="1">
        <v>0.25</v>
      </c>
      <c r="B684" s="1">
        <v>0.75</v>
      </c>
      <c r="C684">
        <f t="shared" si="10"/>
        <v>0.5</v>
      </c>
    </row>
    <row r="685" spans="1:3">
      <c r="A685" s="1">
        <v>0.50009999999999999</v>
      </c>
      <c r="B685" s="1">
        <v>0.6028</v>
      </c>
      <c r="C685">
        <f t="shared" si="10"/>
        <v>0.10270000000000001</v>
      </c>
    </row>
    <row r="686" spans="1:3">
      <c r="A686" s="1">
        <v>0.9</v>
      </c>
      <c r="B686" s="1">
        <v>0.8</v>
      </c>
      <c r="C686">
        <f t="shared" si="10"/>
        <v>-9.9999999999999978E-2</v>
      </c>
    </row>
    <row r="687" spans="1:3">
      <c r="A687" s="1">
        <v>0.66</v>
      </c>
      <c r="B687" s="1">
        <v>0.2</v>
      </c>
      <c r="C687">
        <f t="shared" si="10"/>
        <v>-0.46</v>
      </c>
    </row>
    <row r="688" spans="1:3">
      <c r="A688" s="1">
        <v>1</v>
      </c>
      <c r="B688" s="1">
        <v>1</v>
      </c>
      <c r="C688">
        <f t="shared" si="10"/>
        <v>0</v>
      </c>
    </row>
    <row r="689" spans="1:3">
      <c r="A689" s="1">
        <v>0.93899999999999995</v>
      </c>
      <c r="B689" s="1">
        <v>0.3972</v>
      </c>
      <c r="C689">
        <f t="shared" si="10"/>
        <v>-0.54179999999999995</v>
      </c>
    </row>
    <row r="690" spans="1:3">
      <c r="A690" s="1">
        <v>0.49</v>
      </c>
      <c r="B690" s="1">
        <v>0.6</v>
      </c>
      <c r="C690">
        <f t="shared" si="10"/>
        <v>0.10999999999999999</v>
      </c>
    </row>
    <row r="691" spans="1:3">
      <c r="A691" s="1">
        <v>0.6</v>
      </c>
      <c r="B691" s="1">
        <v>0.85</v>
      </c>
      <c r="C691">
        <f t="shared" si="10"/>
        <v>0.25</v>
      </c>
    </row>
    <row r="692" spans="1:3">
      <c r="A692" s="1">
        <v>0</v>
      </c>
      <c r="B692" s="1">
        <v>1</v>
      </c>
      <c r="C692">
        <f t="shared" si="10"/>
        <v>1</v>
      </c>
    </row>
    <row r="693" spans="1:3">
      <c r="A693" s="1">
        <v>0.5</v>
      </c>
      <c r="B693" s="1">
        <v>0.95</v>
      </c>
      <c r="C693">
        <f t="shared" si="10"/>
        <v>0.44999999999999996</v>
      </c>
    </row>
    <row r="694" spans="1:3">
      <c r="A694" s="1">
        <v>0.6</v>
      </c>
      <c r="B694" s="1">
        <v>0.6</v>
      </c>
      <c r="C694">
        <f t="shared" si="10"/>
        <v>0</v>
      </c>
    </row>
    <row r="695" spans="1:3">
      <c r="A695" s="1">
        <v>0.3</v>
      </c>
      <c r="B695" s="1">
        <v>0.22</v>
      </c>
      <c r="C695">
        <f t="shared" si="10"/>
        <v>-7.9999999999999988E-2</v>
      </c>
    </row>
    <row r="696" spans="1:3">
      <c r="A696" s="1">
        <v>0.3</v>
      </c>
      <c r="B696" s="1">
        <v>0.7</v>
      </c>
      <c r="C696">
        <f t="shared" si="10"/>
        <v>0.39999999999999997</v>
      </c>
    </row>
    <row r="697" spans="1:3">
      <c r="A697" s="1">
        <v>0.18</v>
      </c>
      <c r="B697" s="1">
        <v>0.93</v>
      </c>
      <c r="C697">
        <f t="shared" si="10"/>
        <v>0.75</v>
      </c>
    </row>
    <row r="698" spans="1:3">
      <c r="A698" s="1">
        <v>0.2</v>
      </c>
      <c r="B698" s="1">
        <v>0.5</v>
      </c>
      <c r="C698">
        <f t="shared" si="10"/>
        <v>0.3</v>
      </c>
    </row>
    <row r="699" spans="1:3">
      <c r="A699" s="1">
        <v>1</v>
      </c>
      <c r="B699" s="1">
        <v>1</v>
      </c>
      <c r="C699">
        <f t="shared" si="10"/>
        <v>0</v>
      </c>
    </row>
    <row r="700" spans="1:3">
      <c r="A700" s="1">
        <v>0.3</v>
      </c>
      <c r="B700" s="1">
        <v>0.4</v>
      </c>
      <c r="C700">
        <f t="shared" si="10"/>
        <v>0.10000000000000003</v>
      </c>
    </row>
    <row r="701" spans="1:3">
      <c r="A701" s="1">
        <v>1</v>
      </c>
      <c r="B701" s="1">
        <v>1</v>
      </c>
      <c r="C701">
        <f t="shared" si="10"/>
        <v>0</v>
      </c>
    </row>
    <row r="702" spans="1:3">
      <c r="A702" s="1">
        <v>0.18229999999999999</v>
      </c>
      <c r="B702" s="1">
        <v>0.10539999999999999</v>
      </c>
      <c r="C702">
        <f t="shared" si="10"/>
        <v>-7.6899999999999996E-2</v>
      </c>
    </row>
    <row r="703" spans="1:3">
      <c r="A703" s="1">
        <v>1.34E-2</v>
      </c>
      <c r="B703" s="1">
        <v>0.82450000000000001</v>
      </c>
      <c r="C703">
        <f t="shared" si="10"/>
        <v>0.81110000000000004</v>
      </c>
    </row>
    <row r="704" spans="1:3">
      <c r="A704" s="1">
        <v>0.54</v>
      </c>
      <c r="B704" s="1">
        <v>0.12</v>
      </c>
      <c r="C704">
        <f t="shared" si="10"/>
        <v>-0.42000000000000004</v>
      </c>
    </row>
    <row r="705" spans="1:3">
      <c r="A705" s="1">
        <v>0.47</v>
      </c>
      <c r="B705" s="1">
        <v>6.5000000000000002E-2</v>
      </c>
      <c r="C705">
        <f t="shared" si="10"/>
        <v>-0.40499999999999997</v>
      </c>
    </row>
    <row r="706" spans="1:3">
      <c r="A706" s="1">
        <v>0.38</v>
      </c>
      <c r="B706" s="1">
        <v>0.77</v>
      </c>
      <c r="C706">
        <f t="shared" si="10"/>
        <v>0.39</v>
      </c>
    </row>
    <row r="707" spans="1:3">
      <c r="A707" s="1">
        <v>0.7</v>
      </c>
      <c r="B707" s="1">
        <v>0.2</v>
      </c>
      <c r="C707">
        <f t="shared" ref="C707:C770" si="11">B707-A707</f>
        <v>-0.49999999999999994</v>
      </c>
    </row>
    <row r="708" spans="1:3">
      <c r="A708" s="1">
        <v>0.46760000000000002</v>
      </c>
      <c r="B708" s="1">
        <v>0.57840000000000003</v>
      </c>
      <c r="C708">
        <f t="shared" si="11"/>
        <v>0.11080000000000001</v>
      </c>
    </row>
    <row r="709" spans="1:3">
      <c r="A709" s="1">
        <v>1</v>
      </c>
      <c r="B709" s="1">
        <v>1</v>
      </c>
      <c r="C709">
        <f t="shared" si="11"/>
        <v>0</v>
      </c>
    </row>
    <row r="710" spans="1:3">
      <c r="A710" s="1">
        <v>0.65</v>
      </c>
      <c r="B710" s="1">
        <v>0.8</v>
      </c>
      <c r="C710">
        <f t="shared" si="11"/>
        <v>0.15000000000000002</v>
      </c>
    </row>
    <row r="711" spans="1:3">
      <c r="A711" s="1">
        <v>0.75</v>
      </c>
      <c r="B711" s="1">
        <v>0.9</v>
      </c>
      <c r="C711">
        <f t="shared" si="11"/>
        <v>0.15000000000000002</v>
      </c>
    </row>
    <row r="712" spans="1:3">
      <c r="A712" s="1">
        <v>0</v>
      </c>
      <c r="B712" s="1">
        <v>0.95</v>
      </c>
      <c r="C712">
        <f t="shared" si="11"/>
        <v>0.95</v>
      </c>
    </row>
    <row r="713" spans="1:3">
      <c r="A713" s="1">
        <v>0.1</v>
      </c>
      <c r="B713" s="1">
        <v>0.8</v>
      </c>
      <c r="C713">
        <f t="shared" si="11"/>
        <v>0.70000000000000007</v>
      </c>
    </row>
    <row r="714" spans="1:3">
      <c r="A714" s="1">
        <v>0.7</v>
      </c>
      <c r="B714" s="1">
        <v>0.9</v>
      </c>
      <c r="C714">
        <f t="shared" si="11"/>
        <v>0.20000000000000007</v>
      </c>
    </row>
    <row r="715" spans="1:3">
      <c r="A715" s="1">
        <v>0.73</v>
      </c>
      <c r="B715" s="1">
        <v>0.51900000000000002</v>
      </c>
      <c r="C715">
        <f t="shared" si="11"/>
        <v>-0.21099999999999997</v>
      </c>
    </row>
    <row r="716" spans="1:3">
      <c r="A716" s="1">
        <v>0.27</v>
      </c>
      <c r="B716" s="1">
        <v>0.7</v>
      </c>
      <c r="C716">
        <f t="shared" si="11"/>
        <v>0.42999999999999994</v>
      </c>
    </row>
    <row r="717" spans="1:3">
      <c r="A717" s="1">
        <v>0.74</v>
      </c>
      <c r="B717" s="1">
        <v>0.51900000000000002</v>
      </c>
      <c r="C717">
        <f t="shared" si="11"/>
        <v>-0.22099999999999997</v>
      </c>
    </row>
    <row r="718" spans="1:3">
      <c r="A718" s="1">
        <v>0.05</v>
      </c>
      <c r="B718" s="1">
        <v>0.02</v>
      </c>
      <c r="C718">
        <f t="shared" si="11"/>
        <v>-3.0000000000000002E-2</v>
      </c>
    </row>
    <row r="719" spans="1:3">
      <c r="A719" s="1">
        <v>0.1</v>
      </c>
      <c r="B719" s="1">
        <v>0.15</v>
      </c>
      <c r="C719">
        <f t="shared" si="11"/>
        <v>4.9999999999999989E-2</v>
      </c>
    </row>
    <row r="720" spans="1:3">
      <c r="A720" s="1">
        <v>0.17</v>
      </c>
      <c r="B720" s="1">
        <v>0.62</v>
      </c>
      <c r="C720">
        <f t="shared" si="11"/>
        <v>0.44999999999999996</v>
      </c>
    </row>
    <row r="721" spans="1:3">
      <c r="A721" s="1">
        <v>0.55000000000000004</v>
      </c>
      <c r="B721" s="1">
        <v>0.88</v>
      </c>
      <c r="C721">
        <f t="shared" si="11"/>
        <v>0.32999999999999996</v>
      </c>
    </row>
    <row r="722" spans="1:3">
      <c r="A722" s="1">
        <v>0.73499999999999999</v>
      </c>
      <c r="B722" s="1">
        <v>0.5</v>
      </c>
      <c r="C722">
        <f t="shared" si="11"/>
        <v>-0.23499999999999999</v>
      </c>
    </row>
    <row r="723" spans="1:3">
      <c r="A723" s="1">
        <v>0.04</v>
      </c>
      <c r="B723" s="1">
        <v>0.21</v>
      </c>
      <c r="C723">
        <f t="shared" si="11"/>
        <v>0.16999999999999998</v>
      </c>
    </row>
    <row r="724" spans="1:3">
      <c r="A724" s="1">
        <v>0.6</v>
      </c>
      <c r="B724" s="1">
        <v>0.3</v>
      </c>
      <c r="C724">
        <f t="shared" si="11"/>
        <v>-0.3</v>
      </c>
    </row>
    <row r="725" spans="1:3">
      <c r="A725" s="1">
        <v>0.50009999999999999</v>
      </c>
      <c r="B725" s="1">
        <v>0.6028</v>
      </c>
      <c r="C725">
        <f t="shared" si="11"/>
        <v>0.10270000000000001</v>
      </c>
    </row>
    <row r="726" spans="1:3">
      <c r="A726" s="1">
        <v>0.2</v>
      </c>
      <c r="B726" s="1">
        <v>0.8</v>
      </c>
      <c r="C726">
        <f t="shared" si="11"/>
        <v>0.60000000000000009</v>
      </c>
    </row>
    <row r="727" spans="1:3">
      <c r="A727" s="1">
        <v>0.4</v>
      </c>
      <c r="B727" s="1">
        <v>0.6</v>
      </c>
      <c r="C727">
        <f t="shared" si="11"/>
        <v>0.19999999999999996</v>
      </c>
    </row>
    <row r="728" spans="1:3">
      <c r="A728" s="1">
        <v>0.04</v>
      </c>
      <c r="B728" s="1">
        <v>0.3</v>
      </c>
      <c r="C728">
        <f t="shared" si="11"/>
        <v>0.26</v>
      </c>
    </row>
    <row r="729" spans="1:3">
      <c r="A729" s="1">
        <v>0.4</v>
      </c>
      <c r="B729" s="1">
        <v>0.5</v>
      </c>
      <c r="C729">
        <f t="shared" si="11"/>
        <v>9.9999999999999978E-2</v>
      </c>
    </row>
    <row r="730" spans="1:3">
      <c r="A730" s="1">
        <v>0.4</v>
      </c>
      <c r="B730" s="1">
        <v>0.5</v>
      </c>
      <c r="C730">
        <f t="shared" si="11"/>
        <v>9.9999999999999978E-2</v>
      </c>
    </row>
    <row r="731" spans="1:3">
      <c r="A731" s="1">
        <v>0.5</v>
      </c>
      <c r="B731" s="1">
        <v>0.75</v>
      </c>
      <c r="C731">
        <f t="shared" si="11"/>
        <v>0.25</v>
      </c>
    </row>
    <row r="732" spans="1:3">
      <c r="A732" s="1">
        <v>0.4</v>
      </c>
      <c r="B732" s="1">
        <v>0.5</v>
      </c>
      <c r="C732">
        <f t="shared" si="11"/>
        <v>9.9999999999999978E-2</v>
      </c>
    </row>
    <row r="733" spans="1:3">
      <c r="A733" s="1">
        <v>0.01</v>
      </c>
      <c r="B733" s="1">
        <v>0.25</v>
      </c>
      <c r="C733">
        <f t="shared" si="11"/>
        <v>0.24</v>
      </c>
    </row>
    <row r="734" spans="1:3">
      <c r="A734" s="1">
        <v>0.8</v>
      </c>
      <c r="B734" s="1">
        <v>0.9</v>
      </c>
      <c r="C734">
        <f t="shared" si="11"/>
        <v>9.9999999999999978E-2</v>
      </c>
    </row>
    <row r="735" spans="1:3">
      <c r="A735" s="1">
        <v>0.64680000000000004</v>
      </c>
      <c r="B735" s="1">
        <v>0.78169999999999995</v>
      </c>
      <c r="C735">
        <f t="shared" si="11"/>
        <v>0.13489999999999991</v>
      </c>
    </row>
    <row r="736" spans="1:3">
      <c r="A736" s="1">
        <v>0.67</v>
      </c>
      <c r="B736" s="1">
        <v>0.99</v>
      </c>
      <c r="C736">
        <f t="shared" si="11"/>
        <v>0.31999999999999995</v>
      </c>
    </row>
    <row r="737" spans="1:3">
      <c r="A737" s="1">
        <v>0.67</v>
      </c>
      <c r="B737" s="1">
        <v>0.99</v>
      </c>
      <c r="C737">
        <f t="shared" si="11"/>
        <v>0.31999999999999995</v>
      </c>
    </row>
    <row r="738" spans="1:3">
      <c r="A738" s="1">
        <v>0.6</v>
      </c>
      <c r="B738" s="1">
        <v>0.4</v>
      </c>
      <c r="C738">
        <f t="shared" si="11"/>
        <v>-0.19999999999999996</v>
      </c>
    </row>
    <row r="739" spans="1:3">
      <c r="A739" s="1">
        <v>0.5</v>
      </c>
      <c r="B739" s="1">
        <v>0.1</v>
      </c>
      <c r="C739">
        <f t="shared" si="11"/>
        <v>-0.4</v>
      </c>
    </row>
    <row r="740" spans="1:3">
      <c r="A740" s="1">
        <v>0.5</v>
      </c>
      <c r="B740" s="1">
        <v>0.5</v>
      </c>
      <c r="C740">
        <f t="shared" si="11"/>
        <v>0</v>
      </c>
    </row>
    <row r="741" spans="1:3">
      <c r="A741" s="1">
        <v>0.7</v>
      </c>
      <c r="B741" s="1">
        <v>0.3</v>
      </c>
      <c r="C741">
        <f t="shared" si="11"/>
        <v>-0.39999999999999997</v>
      </c>
    </row>
    <row r="742" spans="1:3">
      <c r="A742" s="1">
        <v>0.5</v>
      </c>
      <c r="B742" s="1">
        <v>0.5</v>
      </c>
      <c r="C742">
        <f t="shared" si="11"/>
        <v>0</v>
      </c>
    </row>
    <row r="743" spans="1:3">
      <c r="A743" s="1">
        <v>0.5</v>
      </c>
      <c r="B743" s="1">
        <v>0.6</v>
      </c>
      <c r="C743">
        <f t="shared" si="11"/>
        <v>9.9999999999999978E-2</v>
      </c>
    </row>
    <row r="744" spans="1:3">
      <c r="A744" s="1">
        <v>0.50009999999999999</v>
      </c>
      <c r="B744" s="1">
        <v>1</v>
      </c>
      <c r="C744">
        <f t="shared" si="11"/>
        <v>0.49990000000000001</v>
      </c>
    </row>
    <row r="745" spans="1:3">
      <c r="A745" s="1">
        <v>0.49590000000000001</v>
      </c>
      <c r="B745" s="1">
        <v>0.49590000000000001</v>
      </c>
      <c r="C745">
        <f t="shared" si="11"/>
        <v>0</v>
      </c>
    </row>
    <row r="746" spans="1:3">
      <c r="A746" s="1">
        <v>0.50009999999999999</v>
      </c>
      <c r="B746" s="1">
        <v>0.6028</v>
      </c>
      <c r="C746">
        <f t="shared" si="11"/>
        <v>0.10270000000000001</v>
      </c>
    </row>
    <row r="747" spans="1:3">
      <c r="A747" s="1">
        <v>0.5</v>
      </c>
      <c r="B747" s="1">
        <v>0.5</v>
      </c>
      <c r="C747">
        <f t="shared" si="11"/>
        <v>0</v>
      </c>
    </row>
    <row r="748" spans="1:3">
      <c r="A748" s="1">
        <v>0.23180000000000001</v>
      </c>
      <c r="B748" s="1">
        <v>0.66520000000000001</v>
      </c>
      <c r="C748">
        <f t="shared" si="11"/>
        <v>0.43340000000000001</v>
      </c>
    </row>
    <row r="749" spans="1:3">
      <c r="A749" s="1">
        <v>0.50009999999999999</v>
      </c>
      <c r="B749" s="1">
        <v>0.6028</v>
      </c>
      <c r="C749">
        <f t="shared" si="11"/>
        <v>0.10270000000000001</v>
      </c>
    </row>
    <row r="750" spans="1:3">
      <c r="A750" s="1">
        <v>0.50009999999999999</v>
      </c>
      <c r="B750" s="1">
        <v>0.6028</v>
      </c>
      <c r="C750">
        <f t="shared" si="11"/>
        <v>0.10270000000000001</v>
      </c>
    </row>
    <row r="751" spans="1:3">
      <c r="A751" s="1">
        <v>0.501</v>
      </c>
      <c r="B751" s="1">
        <v>0.6028</v>
      </c>
      <c r="C751">
        <f t="shared" si="11"/>
        <v>0.1018</v>
      </c>
    </row>
    <row r="752" spans="1:3">
      <c r="A752" s="1">
        <v>0.85</v>
      </c>
      <c r="B752" s="1">
        <v>0.09</v>
      </c>
      <c r="C752">
        <f t="shared" si="11"/>
        <v>-0.76</v>
      </c>
    </row>
    <row r="753" spans="1:3">
      <c r="A753" s="1">
        <v>0.28139999999999998</v>
      </c>
      <c r="B753" s="1">
        <v>0.41920000000000002</v>
      </c>
      <c r="C753">
        <f t="shared" si="11"/>
        <v>0.13780000000000003</v>
      </c>
    </row>
    <row r="754" spans="1:3">
      <c r="A754" s="1">
        <v>0.5</v>
      </c>
      <c r="B754" s="1">
        <v>0.41920000000000002</v>
      </c>
      <c r="C754">
        <f t="shared" si="11"/>
        <v>-8.0799999999999983E-2</v>
      </c>
    </row>
    <row r="755" spans="1:3">
      <c r="A755" s="1">
        <v>0.5</v>
      </c>
      <c r="B755" s="1">
        <v>0.9</v>
      </c>
      <c r="C755">
        <f t="shared" si="11"/>
        <v>0.4</v>
      </c>
    </row>
    <row r="756" spans="1:3">
      <c r="A756" s="1">
        <v>0.05</v>
      </c>
      <c r="B756" s="1">
        <v>0.01</v>
      </c>
      <c r="C756">
        <f t="shared" si="11"/>
        <v>-0.04</v>
      </c>
    </row>
    <row r="757" spans="1:3">
      <c r="A757" s="1">
        <v>0</v>
      </c>
      <c r="B757" s="1">
        <v>1</v>
      </c>
      <c r="C757">
        <f t="shared" si="11"/>
        <v>1</v>
      </c>
    </row>
    <row r="758" spans="1:3">
      <c r="A758" s="1">
        <v>0.5</v>
      </c>
      <c r="B758" s="1">
        <v>0.6028</v>
      </c>
      <c r="C758">
        <f t="shared" si="11"/>
        <v>0.1028</v>
      </c>
    </row>
    <row r="759" spans="1:3">
      <c r="A759" s="1">
        <v>0.6</v>
      </c>
      <c r="B759" s="1">
        <v>0.2</v>
      </c>
      <c r="C759">
        <f t="shared" si="11"/>
        <v>-0.39999999999999997</v>
      </c>
    </row>
    <row r="760" spans="1:3">
      <c r="A760" s="1">
        <v>0.64680000000000004</v>
      </c>
      <c r="B760" s="1">
        <v>0.6028</v>
      </c>
      <c r="C760">
        <f t="shared" si="11"/>
        <v>-4.4000000000000039E-2</v>
      </c>
    </row>
    <row r="761" spans="1:3">
      <c r="A761" s="1">
        <v>0.98</v>
      </c>
      <c r="B761" s="1">
        <v>0.99</v>
      </c>
      <c r="C761">
        <f t="shared" si="11"/>
        <v>1.0000000000000009E-2</v>
      </c>
    </row>
    <row r="762" spans="1:3">
      <c r="A762" s="1">
        <v>0.98</v>
      </c>
      <c r="B762" s="1">
        <v>0.99999899999999997</v>
      </c>
      <c r="C762">
        <f t="shared" si="11"/>
        <v>1.9998999999999989E-2</v>
      </c>
    </row>
    <row r="763" spans="1:3">
      <c r="A763" s="1">
        <v>0.50009999999999999</v>
      </c>
      <c r="B763" s="1">
        <v>0.6028</v>
      </c>
      <c r="C763">
        <f t="shared" si="11"/>
        <v>0.10270000000000001</v>
      </c>
    </row>
    <row r="764" spans="1:3">
      <c r="A764" s="1">
        <v>0.49990000000000001</v>
      </c>
      <c r="B764" s="1">
        <v>0.3972</v>
      </c>
      <c r="C764">
        <f t="shared" si="11"/>
        <v>-0.10270000000000001</v>
      </c>
    </row>
    <row r="765" spans="1:3">
      <c r="A765" s="1">
        <v>0.30399999999999999</v>
      </c>
      <c r="B765" s="1">
        <v>0.20100000000000001</v>
      </c>
      <c r="C765">
        <f t="shared" si="11"/>
        <v>-0.10299999999999998</v>
      </c>
    </row>
    <row r="766" spans="1:3">
      <c r="A766" s="1">
        <v>0.23400000000000001</v>
      </c>
      <c r="B766" s="1">
        <v>0.376</v>
      </c>
      <c r="C766">
        <f t="shared" si="11"/>
        <v>0.14199999999999999</v>
      </c>
    </row>
    <row r="767" spans="1:3">
      <c r="A767" s="1">
        <v>0.49990000000000001</v>
      </c>
      <c r="B767" s="1">
        <v>0.3972</v>
      </c>
      <c r="C767">
        <f t="shared" si="11"/>
        <v>-0.10270000000000001</v>
      </c>
    </row>
    <row r="768" spans="1:3">
      <c r="A768" s="1">
        <v>0.38740000000000002</v>
      </c>
      <c r="B768" s="1">
        <v>0.74309999999999998</v>
      </c>
      <c r="C768">
        <f t="shared" si="11"/>
        <v>0.35569999999999996</v>
      </c>
    </row>
    <row r="769" spans="1:3">
      <c r="A769" s="1">
        <v>0.2</v>
      </c>
      <c r="B769" s="1">
        <v>0.5</v>
      </c>
      <c r="C769">
        <f t="shared" si="11"/>
        <v>0.3</v>
      </c>
    </row>
    <row r="770" spans="1:3">
      <c r="A770" s="1">
        <v>0.5</v>
      </c>
      <c r="B770" s="1">
        <v>0.4</v>
      </c>
      <c r="C770">
        <f t="shared" si="11"/>
        <v>-9.9999999999999978E-2</v>
      </c>
    </row>
    <row r="771" spans="1:3">
      <c r="A771" s="1">
        <v>0.2</v>
      </c>
      <c r="B771" s="1">
        <v>0.4</v>
      </c>
      <c r="C771">
        <f t="shared" ref="C771:C834" si="12">B771-A771</f>
        <v>0.2</v>
      </c>
    </row>
    <row r="772" spans="1:3">
      <c r="A772" s="1">
        <v>0.4</v>
      </c>
      <c r="B772" s="1">
        <v>0.6</v>
      </c>
      <c r="C772">
        <f t="shared" si="12"/>
        <v>0.19999999999999996</v>
      </c>
    </row>
    <row r="773" spans="1:3">
      <c r="A773" s="1">
        <v>1</v>
      </c>
      <c r="B773" s="1">
        <v>1</v>
      </c>
      <c r="C773">
        <f t="shared" si="12"/>
        <v>0</v>
      </c>
    </row>
    <row r="774" spans="1:3">
      <c r="A774" s="1">
        <v>1</v>
      </c>
      <c r="B774" s="1">
        <v>1</v>
      </c>
      <c r="C774">
        <f t="shared" si="12"/>
        <v>0</v>
      </c>
    </row>
    <row r="775" spans="1:3">
      <c r="A775" s="1">
        <v>0.75</v>
      </c>
      <c r="B775" s="1">
        <v>0.75</v>
      </c>
      <c r="C775">
        <f t="shared" si="12"/>
        <v>0</v>
      </c>
    </row>
    <row r="776" spans="1:3">
      <c r="A776" s="1">
        <v>1</v>
      </c>
      <c r="B776" s="1">
        <v>1</v>
      </c>
      <c r="C776">
        <f t="shared" si="12"/>
        <v>0</v>
      </c>
    </row>
    <row r="777" spans="1:3">
      <c r="A777" s="1">
        <v>0.75</v>
      </c>
      <c r="B777" s="1">
        <v>0.65</v>
      </c>
      <c r="C777">
        <f t="shared" si="12"/>
        <v>-9.9999999999999978E-2</v>
      </c>
    </row>
    <row r="778" spans="1:3">
      <c r="A778" s="1">
        <v>0.25</v>
      </c>
      <c r="B778" s="1">
        <v>0.45</v>
      </c>
      <c r="C778">
        <f t="shared" si="12"/>
        <v>0.2</v>
      </c>
    </row>
    <row r="779" spans="1:3">
      <c r="A779" s="1">
        <v>0.2</v>
      </c>
      <c r="B779" s="1">
        <v>0.45</v>
      </c>
      <c r="C779">
        <f t="shared" si="12"/>
        <v>0.25</v>
      </c>
    </row>
    <row r="780" spans="1:3">
      <c r="A780" s="1">
        <v>0.25</v>
      </c>
      <c r="B780" s="1">
        <v>0.45</v>
      </c>
      <c r="C780">
        <f t="shared" si="12"/>
        <v>0.2</v>
      </c>
    </row>
    <row r="781" spans="1:3">
      <c r="A781" s="1">
        <v>0.1</v>
      </c>
      <c r="B781" s="1">
        <v>0.1</v>
      </c>
      <c r="C781">
        <f t="shared" si="12"/>
        <v>0</v>
      </c>
    </row>
    <row r="782" spans="1:3">
      <c r="A782" s="1">
        <v>0.2</v>
      </c>
      <c r="B782" s="1">
        <v>0.25</v>
      </c>
      <c r="C782">
        <f t="shared" si="12"/>
        <v>4.9999999999999989E-2</v>
      </c>
    </row>
    <row r="783" spans="1:3">
      <c r="A783" s="1">
        <v>0.15</v>
      </c>
      <c r="B783" s="1">
        <v>0.3</v>
      </c>
      <c r="C783">
        <f t="shared" si="12"/>
        <v>0.15</v>
      </c>
    </row>
    <row r="784" spans="1:3">
      <c r="A784" s="1">
        <v>0.6</v>
      </c>
      <c r="B784" s="1">
        <v>0.5</v>
      </c>
      <c r="C784">
        <f t="shared" si="12"/>
        <v>-9.9999999999999978E-2</v>
      </c>
    </row>
    <row r="785" spans="1:3">
      <c r="A785" s="1">
        <v>0.65</v>
      </c>
      <c r="B785" s="1">
        <v>0.44500000000000001</v>
      </c>
      <c r="C785">
        <f t="shared" si="12"/>
        <v>-0.20500000000000002</v>
      </c>
    </row>
    <row r="786" spans="1:3">
      <c r="A786" s="1">
        <v>0.2</v>
      </c>
      <c r="B786" s="1">
        <v>0.3</v>
      </c>
      <c r="C786">
        <f t="shared" si="12"/>
        <v>9.9999999999999978E-2</v>
      </c>
    </row>
    <row r="787" spans="1:3">
      <c r="A787" s="1">
        <v>0.3</v>
      </c>
      <c r="B787" s="1">
        <v>0.6</v>
      </c>
      <c r="C787">
        <f t="shared" si="12"/>
        <v>0.3</v>
      </c>
    </row>
    <row r="788" spans="1:3">
      <c r="A788" s="1">
        <v>0.73</v>
      </c>
      <c r="B788" s="1">
        <v>0.32</v>
      </c>
      <c r="C788">
        <f t="shared" si="12"/>
        <v>-0.41</v>
      </c>
    </row>
    <row r="789" spans="1:3">
      <c r="A789" s="1">
        <v>0.15</v>
      </c>
      <c r="B789" s="1">
        <v>0.25</v>
      </c>
      <c r="C789">
        <f t="shared" si="12"/>
        <v>0.1</v>
      </c>
    </row>
    <row r="790" spans="1:3">
      <c r="A790" s="1">
        <v>0.15</v>
      </c>
      <c r="B790" s="1">
        <v>0.25</v>
      </c>
      <c r="C790">
        <f t="shared" si="12"/>
        <v>0.1</v>
      </c>
    </row>
    <row r="791" spans="1:3">
      <c r="A791" s="1">
        <v>0.15</v>
      </c>
      <c r="B791" s="1">
        <v>0.25</v>
      </c>
      <c r="C791">
        <f t="shared" si="12"/>
        <v>0.1</v>
      </c>
    </row>
    <row r="792" spans="1:3">
      <c r="A792" s="1">
        <v>0.38740000000000002</v>
      </c>
      <c r="B792" s="1">
        <v>0.87119999999999997</v>
      </c>
      <c r="C792">
        <f t="shared" si="12"/>
        <v>0.48379999999999995</v>
      </c>
    </row>
    <row r="793" spans="1:3">
      <c r="A793" s="1">
        <v>0.64680000000000004</v>
      </c>
      <c r="B793" s="1">
        <v>0.78169999999999995</v>
      </c>
      <c r="C793">
        <f t="shared" si="12"/>
        <v>0.13489999999999991</v>
      </c>
    </row>
    <row r="794" spans="1:3">
      <c r="A794" s="1">
        <v>0.57240000000000002</v>
      </c>
      <c r="B794" s="1">
        <v>0.61280000000000001</v>
      </c>
      <c r="C794">
        <f t="shared" si="12"/>
        <v>4.0399999999999991E-2</v>
      </c>
    </row>
    <row r="795" spans="1:3">
      <c r="A795" s="1">
        <v>0.3</v>
      </c>
      <c r="B795" s="1">
        <v>0.4</v>
      </c>
      <c r="C795">
        <f t="shared" si="12"/>
        <v>0.10000000000000003</v>
      </c>
    </row>
    <row r="796" spans="1:3">
      <c r="A796" s="1">
        <v>0.28000000000000003</v>
      </c>
      <c r="B796" s="1">
        <v>0.15</v>
      </c>
      <c r="C796">
        <f t="shared" si="12"/>
        <v>-0.13000000000000003</v>
      </c>
    </row>
    <row r="797" spans="1:3">
      <c r="A797" s="1">
        <v>0.64680000000000004</v>
      </c>
      <c r="B797" s="1">
        <v>0.78169999999999995</v>
      </c>
      <c r="C797">
        <f t="shared" si="12"/>
        <v>0.13489999999999991</v>
      </c>
    </row>
    <row r="798" spans="1:3">
      <c r="A798" s="1">
        <v>0.85</v>
      </c>
      <c r="B798" s="1">
        <v>0.75</v>
      </c>
      <c r="C798">
        <f t="shared" si="12"/>
        <v>-9.9999999999999978E-2</v>
      </c>
    </row>
    <row r="799" spans="1:3">
      <c r="A799" s="1">
        <v>0.8</v>
      </c>
      <c r="B799" s="1">
        <v>0.9</v>
      </c>
      <c r="C799">
        <f t="shared" si="12"/>
        <v>9.9999999999999978E-2</v>
      </c>
    </row>
    <row r="800" spans="1:3">
      <c r="A800" s="1">
        <v>0.8</v>
      </c>
      <c r="B800" s="1">
        <v>0.99</v>
      </c>
      <c r="C800">
        <f t="shared" si="12"/>
        <v>0.18999999999999995</v>
      </c>
    </row>
    <row r="801" spans="1:3">
      <c r="A801" s="1">
        <v>0.8</v>
      </c>
      <c r="B801" s="1">
        <v>0.9</v>
      </c>
      <c r="C801">
        <f t="shared" si="12"/>
        <v>9.9999999999999978E-2</v>
      </c>
    </row>
    <row r="802" spans="1:3">
      <c r="A802" s="1">
        <v>0.8</v>
      </c>
      <c r="B802" s="1">
        <v>0.9</v>
      </c>
      <c r="C802">
        <f t="shared" si="12"/>
        <v>9.9999999999999978E-2</v>
      </c>
    </row>
    <row r="803" spans="1:3">
      <c r="A803" s="1">
        <v>0.65</v>
      </c>
      <c r="B803" s="1">
        <v>0.98329999999999995</v>
      </c>
      <c r="C803">
        <f t="shared" si="12"/>
        <v>0.33329999999999993</v>
      </c>
    </row>
    <row r="804" spans="1:3">
      <c r="A804" s="1">
        <v>0.8</v>
      </c>
      <c r="B804" s="1">
        <v>0.9</v>
      </c>
      <c r="C804">
        <f t="shared" si="12"/>
        <v>9.9999999999999978E-2</v>
      </c>
    </row>
    <row r="805" spans="1:3">
      <c r="A805" s="1">
        <v>0.85</v>
      </c>
      <c r="B805" s="1">
        <v>0.91</v>
      </c>
      <c r="C805">
        <f t="shared" si="12"/>
        <v>6.0000000000000053E-2</v>
      </c>
    </row>
    <row r="806" spans="1:3">
      <c r="A806" s="1">
        <v>0.03</v>
      </c>
      <c r="B806" s="1">
        <v>0.45</v>
      </c>
      <c r="C806">
        <f t="shared" si="12"/>
        <v>0.42000000000000004</v>
      </c>
    </row>
    <row r="807" spans="1:3">
      <c r="A807" s="1">
        <v>0.75</v>
      </c>
      <c r="B807" s="1">
        <v>0.95</v>
      </c>
      <c r="C807">
        <f t="shared" si="12"/>
        <v>0.19999999999999996</v>
      </c>
    </row>
    <row r="808" spans="1:3">
      <c r="A808" s="1">
        <v>0.3</v>
      </c>
      <c r="B808" s="1">
        <v>0.6</v>
      </c>
      <c r="C808">
        <f t="shared" si="12"/>
        <v>0.3</v>
      </c>
    </row>
    <row r="809" spans="1:3">
      <c r="A809" s="1">
        <v>0.33</v>
      </c>
      <c r="B809" s="1">
        <v>0.56000000000000005</v>
      </c>
      <c r="C809">
        <f t="shared" si="12"/>
        <v>0.23000000000000004</v>
      </c>
    </row>
    <row r="810" spans="1:3">
      <c r="A810" s="1">
        <v>0.75</v>
      </c>
      <c r="B810" s="1">
        <v>0.95</v>
      </c>
      <c r="C810">
        <f t="shared" si="12"/>
        <v>0.19999999999999996</v>
      </c>
    </row>
    <row r="811" spans="1:3">
      <c r="A811" s="1">
        <v>0.3</v>
      </c>
      <c r="B811" s="1">
        <v>0.4</v>
      </c>
      <c r="C811">
        <f t="shared" si="12"/>
        <v>0.10000000000000003</v>
      </c>
    </row>
    <row r="812" spans="1:3">
      <c r="A812" s="1">
        <v>0.25</v>
      </c>
      <c r="B812" s="1">
        <v>0.45</v>
      </c>
      <c r="C812">
        <f t="shared" si="12"/>
        <v>0.2</v>
      </c>
    </row>
    <row r="813" spans="1:3">
      <c r="A813" s="1">
        <v>0.5</v>
      </c>
      <c r="B813" s="1">
        <v>0.6</v>
      </c>
      <c r="C813">
        <f t="shared" si="12"/>
        <v>9.9999999999999978E-2</v>
      </c>
    </row>
    <row r="814" spans="1:3">
      <c r="A814" s="1">
        <v>0.2</v>
      </c>
      <c r="B814" s="1">
        <v>0.25</v>
      </c>
      <c r="C814">
        <f t="shared" si="12"/>
        <v>4.9999999999999989E-2</v>
      </c>
    </row>
    <row r="815" spans="1:3">
      <c r="A815" s="1">
        <v>0.38</v>
      </c>
      <c r="B815" s="1">
        <v>0.56000000000000005</v>
      </c>
      <c r="C815">
        <f t="shared" si="12"/>
        <v>0.18000000000000005</v>
      </c>
    </row>
    <row r="816" spans="1:3">
      <c r="A816" s="1">
        <v>0.1</v>
      </c>
      <c r="B816" s="1">
        <v>0.2</v>
      </c>
      <c r="C816">
        <f t="shared" si="12"/>
        <v>0.1</v>
      </c>
    </row>
    <row r="817" spans="1:3">
      <c r="A817" s="1">
        <v>0.4</v>
      </c>
      <c r="B817" s="1">
        <v>0.65</v>
      </c>
      <c r="C817">
        <f t="shared" si="12"/>
        <v>0.25</v>
      </c>
    </row>
    <row r="818" spans="1:3">
      <c r="A818" s="1">
        <v>0.6</v>
      </c>
      <c r="B818" s="1">
        <v>0.8</v>
      </c>
      <c r="C818">
        <f t="shared" si="12"/>
        <v>0.20000000000000007</v>
      </c>
    </row>
    <row r="819" spans="1:3">
      <c r="A819" s="1">
        <v>0.6</v>
      </c>
      <c r="B819" s="1">
        <v>0.8</v>
      </c>
      <c r="C819">
        <f t="shared" si="12"/>
        <v>0.20000000000000007</v>
      </c>
    </row>
    <row r="820" spans="1:3">
      <c r="A820" s="1">
        <v>1</v>
      </c>
      <c r="B820" s="1">
        <v>1</v>
      </c>
      <c r="C820">
        <f t="shared" si="12"/>
        <v>0</v>
      </c>
    </row>
    <row r="821" spans="1:3">
      <c r="A821" s="1">
        <v>1</v>
      </c>
      <c r="B821" s="1">
        <v>1</v>
      </c>
      <c r="C821">
        <f t="shared" si="12"/>
        <v>0</v>
      </c>
    </row>
    <row r="822" spans="1:3">
      <c r="A822" s="1">
        <v>0.3</v>
      </c>
      <c r="B822" s="1">
        <v>0.4</v>
      </c>
      <c r="C822">
        <f t="shared" si="12"/>
        <v>0.10000000000000003</v>
      </c>
    </row>
    <row r="823" spans="1:3">
      <c r="A823" s="1">
        <v>0.8</v>
      </c>
      <c r="B823" s="1">
        <v>0.9</v>
      </c>
      <c r="C823">
        <f t="shared" si="12"/>
        <v>9.9999999999999978E-2</v>
      </c>
    </row>
    <row r="824" spans="1:3">
      <c r="A824" s="1">
        <v>0.31</v>
      </c>
      <c r="B824" s="1">
        <v>0.5</v>
      </c>
      <c r="C824">
        <f t="shared" si="12"/>
        <v>0.19</v>
      </c>
    </row>
    <row r="825" spans="1:3">
      <c r="A825" s="1">
        <v>0.15</v>
      </c>
      <c r="B825" s="1">
        <v>0.5</v>
      </c>
      <c r="C825">
        <f t="shared" si="12"/>
        <v>0.35</v>
      </c>
    </row>
    <row r="826" spans="1:3">
      <c r="A826" s="1">
        <v>0.2</v>
      </c>
      <c r="B826" s="1">
        <v>0.5</v>
      </c>
      <c r="C826">
        <f t="shared" si="12"/>
        <v>0.3</v>
      </c>
    </row>
    <row r="827" spans="1:3">
      <c r="A827" s="1">
        <v>0.8</v>
      </c>
      <c r="B827" s="1">
        <v>0.9</v>
      </c>
      <c r="C827">
        <f t="shared" si="12"/>
        <v>9.9999999999999978E-2</v>
      </c>
    </row>
    <row r="828" spans="1:3">
      <c r="A828" s="1">
        <v>0.15</v>
      </c>
      <c r="B828" s="1">
        <v>0.8</v>
      </c>
      <c r="C828">
        <f t="shared" si="12"/>
        <v>0.65</v>
      </c>
    </row>
    <row r="829" spans="1:3">
      <c r="A829" s="1">
        <v>0.25</v>
      </c>
      <c r="B829" s="1">
        <v>0.45</v>
      </c>
      <c r="C829">
        <f t="shared" si="12"/>
        <v>0.2</v>
      </c>
    </row>
    <row r="830" spans="1:3">
      <c r="A830" s="1">
        <v>0.25</v>
      </c>
      <c r="B830" s="1">
        <v>0.45</v>
      </c>
      <c r="C830">
        <f t="shared" si="12"/>
        <v>0.2</v>
      </c>
    </row>
    <row r="831" spans="1:3">
      <c r="A831" s="1">
        <v>0.25</v>
      </c>
      <c r="B831" s="1">
        <v>0.45</v>
      </c>
      <c r="C831">
        <f t="shared" si="12"/>
        <v>0.2</v>
      </c>
    </row>
    <row r="832" spans="1:3">
      <c r="A832" s="1">
        <v>0.65</v>
      </c>
      <c r="B832" s="1">
        <v>0.7</v>
      </c>
      <c r="C832">
        <f t="shared" si="12"/>
        <v>4.9999999999999933E-2</v>
      </c>
    </row>
    <row r="833" spans="1:3">
      <c r="A833" s="1">
        <v>0.75</v>
      </c>
      <c r="B833" s="1">
        <v>0.95</v>
      </c>
      <c r="C833">
        <f t="shared" si="12"/>
        <v>0.19999999999999996</v>
      </c>
    </row>
    <row r="834" spans="1:3">
      <c r="A834" s="1">
        <v>0.74</v>
      </c>
      <c r="B834" s="1">
        <v>0.99</v>
      </c>
      <c r="C834">
        <f t="shared" si="12"/>
        <v>0.25</v>
      </c>
    </row>
    <row r="835" spans="1:3">
      <c r="A835" s="1">
        <v>0.35</v>
      </c>
      <c r="B835" s="1">
        <v>0.85</v>
      </c>
      <c r="C835">
        <f t="shared" ref="C835:C852" si="13">B835-A835</f>
        <v>0.5</v>
      </c>
    </row>
    <row r="836" spans="1:3">
      <c r="A836" s="1">
        <v>0.1</v>
      </c>
      <c r="B836" s="1">
        <v>0.2</v>
      </c>
      <c r="C836">
        <f t="shared" si="13"/>
        <v>0.1</v>
      </c>
    </row>
    <row r="837" spans="1:3">
      <c r="A837" s="1">
        <v>0.1</v>
      </c>
      <c r="B837" s="1">
        <v>0.2</v>
      </c>
      <c r="C837">
        <f t="shared" si="13"/>
        <v>0.1</v>
      </c>
    </row>
    <row r="838" spans="1:3">
      <c r="A838" s="1">
        <v>0.3</v>
      </c>
      <c r="B838" s="1">
        <v>0.4</v>
      </c>
      <c r="C838">
        <f t="shared" si="13"/>
        <v>0.10000000000000003</v>
      </c>
    </row>
    <row r="839" spans="1:3">
      <c r="A839" s="1">
        <v>0.1</v>
      </c>
      <c r="B839" s="1">
        <v>0.35</v>
      </c>
      <c r="C839">
        <f t="shared" si="13"/>
        <v>0.24999999999999997</v>
      </c>
    </row>
    <row r="840" spans="1:3">
      <c r="A840" s="1">
        <v>0.64680000000000004</v>
      </c>
      <c r="B840" s="1">
        <v>0.78169999999999995</v>
      </c>
      <c r="C840">
        <f t="shared" si="13"/>
        <v>0.13489999999999991</v>
      </c>
    </row>
    <row r="841" spans="1:3">
      <c r="A841" s="1">
        <v>0.5</v>
      </c>
      <c r="B841" s="1">
        <v>0.85</v>
      </c>
      <c r="C841">
        <f t="shared" si="13"/>
        <v>0.35</v>
      </c>
    </row>
    <row r="842" spans="1:3">
      <c r="A842" s="1">
        <v>0.05</v>
      </c>
      <c r="B842" s="1">
        <v>0.4</v>
      </c>
      <c r="C842">
        <f t="shared" si="13"/>
        <v>0.35000000000000003</v>
      </c>
    </row>
    <row r="843" spans="1:3">
      <c r="A843" s="1">
        <v>0.05</v>
      </c>
      <c r="B843" s="1">
        <v>0.1</v>
      </c>
      <c r="C843">
        <f t="shared" si="13"/>
        <v>0.05</v>
      </c>
    </row>
    <row r="844" spans="1:3">
      <c r="A844" s="1">
        <v>0.4</v>
      </c>
      <c r="B844" s="1">
        <v>0.5</v>
      </c>
      <c r="C844">
        <f t="shared" si="13"/>
        <v>9.9999999999999978E-2</v>
      </c>
    </row>
    <row r="845" spans="1:3">
      <c r="A845" s="1">
        <v>0.3</v>
      </c>
      <c r="B845" s="1">
        <v>0.4</v>
      </c>
      <c r="C845">
        <f t="shared" si="13"/>
        <v>0.10000000000000003</v>
      </c>
    </row>
    <row r="846" spans="1:3">
      <c r="A846" s="1">
        <v>0.5</v>
      </c>
      <c r="B846" s="1">
        <v>0.4</v>
      </c>
      <c r="C846">
        <f t="shared" si="13"/>
        <v>-9.9999999999999978E-2</v>
      </c>
    </row>
    <row r="847" spans="1:3">
      <c r="A847" s="1">
        <v>0.3</v>
      </c>
      <c r="B847" s="1">
        <v>0.25</v>
      </c>
      <c r="C847">
        <f t="shared" si="13"/>
        <v>-4.9999999999999989E-2</v>
      </c>
    </row>
    <row r="848" spans="1:3">
      <c r="A848" s="1">
        <v>0.05</v>
      </c>
      <c r="B848" s="1">
        <v>0.2</v>
      </c>
      <c r="C848">
        <f t="shared" si="13"/>
        <v>0.15000000000000002</v>
      </c>
    </row>
    <row r="849" spans="1:3">
      <c r="A849" s="1">
        <v>0.05</v>
      </c>
      <c r="B849" s="1">
        <v>0.2</v>
      </c>
      <c r="C849">
        <f t="shared" si="13"/>
        <v>0.15000000000000002</v>
      </c>
    </row>
    <row r="850" spans="1:3">
      <c r="A850" s="1">
        <v>0.65</v>
      </c>
      <c r="B850" s="1">
        <v>0.9</v>
      </c>
      <c r="C850">
        <f t="shared" si="13"/>
        <v>0.25</v>
      </c>
    </row>
    <row r="851" spans="1:3">
      <c r="A851" s="1">
        <v>0.1</v>
      </c>
      <c r="B851" s="1">
        <v>0.2</v>
      </c>
      <c r="C851">
        <f t="shared" si="13"/>
        <v>0.1</v>
      </c>
    </row>
    <row r="852" spans="1:3">
      <c r="A852" s="1">
        <v>0.1</v>
      </c>
      <c r="B852" s="1">
        <v>0.23</v>
      </c>
      <c r="C852">
        <f t="shared" si="13"/>
        <v>0.13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zoomScaleNormal="100" workbookViewId="0">
      <selection activeCell="B1" sqref="B1"/>
    </sheetView>
  </sheetViews>
  <sheetFormatPr defaultColWidth="11" defaultRowHeight="15.75"/>
  <cols>
    <col min="1" max="11" width="12.109375" style="8" customWidth="1"/>
    <col min="12" max="12" width="11" style="1" customWidth="1"/>
    <col min="13" max="16384" width="11" style="1"/>
  </cols>
  <sheetData>
    <row r="1" spans="1:11">
      <c r="A1" s="14" t="s">
        <v>52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31</v>
      </c>
      <c r="J1" s="13" t="s">
        <v>32</v>
      </c>
      <c r="K1" s="13" t="s">
        <v>33</v>
      </c>
    </row>
    <row r="2" spans="1:11" ht="237.95" customHeight="1">
      <c r="A2" s="12" t="s">
        <v>53</v>
      </c>
      <c r="B2" s="11" t="s">
        <v>54</v>
      </c>
      <c r="C2" s="11" t="s">
        <v>55</v>
      </c>
      <c r="D2" s="11" t="s">
        <v>56</v>
      </c>
      <c r="E2" s="11" t="s">
        <v>57</v>
      </c>
      <c r="F2" s="11" t="s">
        <v>58</v>
      </c>
      <c r="G2" s="11" t="s">
        <v>59</v>
      </c>
      <c r="H2" s="11" t="s">
        <v>60</v>
      </c>
      <c r="I2" s="11" t="s">
        <v>61</v>
      </c>
      <c r="J2" s="11" t="s">
        <v>62</v>
      </c>
      <c r="K2" s="11" t="s">
        <v>63</v>
      </c>
    </row>
    <row r="3" spans="1:11" ht="33.950000000000003" customHeight="1">
      <c r="A3" s="10" t="s">
        <v>64</v>
      </c>
      <c r="B3" s="9">
        <v>0</v>
      </c>
      <c r="C3" s="9">
        <v>0</v>
      </c>
      <c r="D3" s="9">
        <v>1</v>
      </c>
      <c r="E3" s="9">
        <v>1</v>
      </c>
      <c r="F3" s="9">
        <v>0</v>
      </c>
      <c r="G3" s="9">
        <v>0</v>
      </c>
      <c r="H3" s="9">
        <v>1</v>
      </c>
      <c r="I3" s="9">
        <v>1</v>
      </c>
      <c r="J3" s="9">
        <v>0</v>
      </c>
      <c r="K3" s="9">
        <v>1</v>
      </c>
    </row>
    <row r="5" spans="1:11">
      <c r="A5" s="8" t="s">
        <v>79</v>
      </c>
      <c r="B5" s="8">
        <f>B3</f>
        <v>0</v>
      </c>
      <c r="C5" s="8">
        <f t="shared" ref="C5:K5" si="0">C3</f>
        <v>0</v>
      </c>
      <c r="D5" s="8">
        <f t="shared" si="0"/>
        <v>1</v>
      </c>
      <c r="E5" s="8">
        <f t="shared" si="0"/>
        <v>1</v>
      </c>
      <c r="F5" s="8">
        <f t="shared" si="0"/>
        <v>0</v>
      </c>
      <c r="G5" s="8">
        <f t="shared" si="0"/>
        <v>0</v>
      </c>
      <c r="H5" s="8">
        <f t="shared" si="0"/>
        <v>1</v>
      </c>
      <c r="I5" s="8">
        <f t="shared" si="0"/>
        <v>1</v>
      </c>
      <c r="J5" s="8">
        <f t="shared" si="0"/>
        <v>0</v>
      </c>
      <c r="K5" s="8">
        <f t="shared" si="0"/>
        <v>1</v>
      </c>
    </row>
    <row r="6" spans="1:11">
      <c r="A6" s="8" t="s">
        <v>80</v>
      </c>
      <c r="B6" s="8">
        <v>0.5</v>
      </c>
      <c r="C6" s="8">
        <v>0.5</v>
      </c>
      <c r="D6" s="8">
        <v>0.5</v>
      </c>
      <c r="E6" s="8">
        <v>0.5</v>
      </c>
      <c r="F6" s="8">
        <v>0.5</v>
      </c>
      <c r="G6" s="8">
        <v>0.5</v>
      </c>
      <c r="H6" s="8">
        <v>0.5</v>
      </c>
      <c r="I6" s="8">
        <v>0.5</v>
      </c>
      <c r="J6" s="8">
        <v>0.5</v>
      </c>
      <c r="K6" s="8">
        <v>0.5</v>
      </c>
    </row>
    <row r="7" spans="1:11" ht="31.5">
      <c r="A7" s="16" t="s">
        <v>81</v>
      </c>
      <c r="B7" s="8">
        <f>SUMXMY2(B5:K5, B6:K6)</f>
        <v>2.5</v>
      </c>
    </row>
  </sheetData>
  <pageMargins left="0.7" right="0.7" top="0.75" bottom="0.75" header="0.3" footer="0.3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Snowfall</vt:lpstr>
      <vt:lpstr>Sheet1</vt:lpstr>
      <vt:lpstr>Responses</vt:lpstr>
      <vt:lpstr>Part 3</vt:lpstr>
      <vt:lpstr>Part 2</vt:lpstr>
      <vt:lpstr>Occurrence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Jonason, Brayden (bjonason@student.cccs.edu)</dc:creator>
  <cp:lastModifiedBy>Brayden Jonason</cp:lastModifiedBy>
  <dcterms:created xsi:type="dcterms:W3CDTF">2023-01-09T12:00:00Z</dcterms:created>
  <dcterms:modified xsi:type="dcterms:W3CDTF">2026-04-04T23:01:41Z</dcterms:modified>
</cp:coreProperties>
</file>