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bjona\Downloads\"/>
    </mc:Choice>
  </mc:AlternateContent>
  <xr:revisionPtr revIDLastSave="0" documentId="8_{B9F8FE67-7E72-49DC-A981-8B145F478F04}" xr6:coauthVersionLast="47" xr6:coauthVersionMax="47" xr10:uidLastSave="{00000000-0000-0000-0000-000000000000}"/>
  <bookViews>
    <workbookView xWindow="3810" yWindow="3810" windowWidth="21585" windowHeight="11370" firstSheet="1" activeTab="1" xr2:uid="{00000000-000D-0000-FFFF-FFFF00000000}"/>
  </bookViews>
  <sheets>
    <sheet name="concepts" sheetId="1" r:id="rId1"/>
    <sheet name="Sheet1" sheetId="4" r:id="rId2"/>
    <sheet name="Sheet2" sheetId="7" r:id="rId3"/>
    <sheet name="response codes" sheetId="2" r:id="rId4"/>
    <sheet name="Data" sheetId="3" r:id="rId5"/>
    <sheet name="DataT"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6" l="1" a="1"/>
  <c r="A1" i="6" s="1"/>
  <c r="M3" i="4"/>
  <c r="L3" i="4"/>
  <c r="L4" i="4"/>
  <c r="L5" i="4"/>
  <c r="L6" i="4"/>
  <c r="L7" i="4"/>
  <c r="L8" i="4"/>
  <c r="L2" i="4"/>
  <c r="H2" i="4"/>
  <c r="F2" i="4"/>
  <c r="B8" i="4"/>
  <c r="C3" i="4"/>
  <c r="C4" i="4"/>
  <c r="C5" i="4"/>
  <c r="C2" i="4"/>
  <c r="G38" i="7" l="1"/>
  <c r="D75" i="4"/>
  <c r="H75" i="4" s="1"/>
  <c r="F84" i="4" s="1"/>
  <c r="D8" i="7"/>
  <c r="BE68" i="6"/>
  <c r="E91" i="4"/>
  <c r="BD68" i="6"/>
  <c r="D20" i="4"/>
  <c r="G17" i="4"/>
  <c r="E15" i="4"/>
  <c r="E42" i="4"/>
  <c r="C39" i="4"/>
  <c r="E70" i="4"/>
  <c r="G74" i="4"/>
  <c r="E72" i="4"/>
  <c r="H72" i="4" s="1"/>
  <c r="E81" i="4" s="1"/>
  <c r="D91" i="4"/>
  <c r="F95" i="4"/>
  <c r="D93" i="4"/>
  <c r="G121" i="4"/>
  <c r="E119" i="4"/>
  <c r="C117" i="4"/>
  <c r="F14" i="7"/>
  <c r="D12" i="7"/>
  <c r="G9" i="7"/>
  <c r="EO68" i="6"/>
  <c r="EC68" i="6"/>
  <c r="D68" i="6"/>
  <c r="CY68" i="6"/>
  <c r="E35" i="7" s="1"/>
  <c r="CM68" i="6"/>
  <c r="CA68" i="6"/>
  <c r="BO68" i="6"/>
  <c r="BC68" i="6"/>
  <c r="AQ68" i="6"/>
  <c r="AE68" i="6"/>
  <c r="S68" i="6"/>
  <c r="G68" i="6"/>
  <c r="G72" i="4"/>
  <c r="F12" i="7"/>
  <c r="U68" i="6"/>
  <c r="C75" i="4"/>
  <c r="C10" i="7"/>
  <c r="E68" i="6"/>
  <c r="AR68" i="6"/>
  <c r="D15" i="4"/>
  <c r="D72" i="4"/>
  <c r="F121" i="4"/>
  <c r="D119" i="4"/>
  <c r="G116" i="4"/>
  <c r="E14" i="7"/>
  <c r="C12" i="7"/>
  <c r="F9" i="7"/>
  <c r="EN68" i="6"/>
  <c r="EB68" i="6"/>
  <c r="DJ68" i="6"/>
  <c r="G33" i="7" s="1"/>
  <c r="CX68" i="6"/>
  <c r="CL68" i="6"/>
  <c r="BZ68" i="6"/>
  <c r="BN68" i="6"/>
  <c r="BB68" i="6"/>
  <c r="AP68" i="6"/>
  <c r="AD68" i="6"/>
  <c r="R68" i="6"/>
  <c r="DS68" i="6"/>
  <c r="C38" i="7"/>
  <c r="C96" i="4"/>
  <c r="AS68" i="6"/>
  <c r="F42" i="4"/>
  <c r="E93" i="4"/>
  <c r="E12" i="7"/>
  <c r="ED68" i="6"/>
  <c r="H68" i="6"/>
  <c r="D42" i="4"/>
  <c r="F74" i="4"/>
  <c r="E95" i="4"/>
  <c r="G19" i="4"/>
  <c r="E17" i="4"/>
  <c r="C15" i="4"/>
  <c r="C42" i="4"/>
  <c r="F38" i="4"/>
  <c r="G76" i="4"/>
  <c r="E74" i="4"/>
  <c r="C72" i="4"/>
  <c r="F97" i="4"/>
  <c r="D95" i="4"/>
  <c r="G92" i="4"/>
  <c r="E121" i="4"/>
  <c r="H121" i="4" s="1"/>
  <c r="I121" i="4" s="1"/>
  <c r="C119" i="4"/>
  <c r="H119" i="4" s="1"/>
  <c r="H128" i="4" s="1"/>
  <c r="F116" i="4"/>
  <c r="D14" i="7"/>
  <c r="G11" i="7"/>
  <c r="E9" i="7"/>
  <c r="EM68" i="6"/>
  <c r="EA68" i="6"/>
  <c r="DI68" i="6"/>
  <c r="CW68" i="6"/>
  <c r="CK68" i="6"/>
  <c r="BY68" i="6"/>
  <c r="BM68" i="6"/>
  <c r="BA68" i="6"/>
  <c r="AO68" i="6"/>
  <c r="AC68" i="6"/>
  <c r="Q68" i="6"/>
  <c r="DR68" i="6"/>
  <c r="G37" i="7"/>
  <c r="F20" i="4"/>
  <c r="G15" i="4"/>
  <c r="E39" i="4"/>
  <c r="E117" i="4"/>
  <c r="EQ68" i="6"/>
  <c r="F68" i="6"/>
  <c r="I68" i="6"/>
  <c r="D34" i="7" s="1"/>
  <c r="E20" i="4"/>
  <c r="F70" i="4"/>
  <c r="G95" i="4"/>
  <c r="G14" i="7"/>
  <c r="EP68" i="6"/>
  <c r="AF68" i="6"/>
  <c r="F17" i="4"/>
  <c r="G38" i="4"/>
  <c r="C93" i="4"/>
  <c r="F19" i="4"/>
  <c r="H19" i="4" s="1"/>
  <c r="F28" i="4" s="1"/>
  <c r="D17" i="4"/>
  <c r="H17" i="4" s="1"/>
  <c r="I17" i="4" s="1"/>
  <c r="C14" i="4"/>
  <c r="G41" i="4"/>
  <c r="E38" i="4"/>
  <c r="F76" i="4"/>
  <c r="D74" i="4"/>
  <c r="G71" i="4"/>
  <c r="E97" i="4"/>
  <c r="C95" i="4"/>
  <c r="F92" i="4"/>
  <c r="D121" i="4"/>
  <c r="G118" i="4"/>
  <c r="E116" i="4"/>
  <c r="C14" i="7"/>
  <c r="F11" i="7"/>
  <c r="D9" i="7"/>
  <c r="EL68" i="6"/>
  <c r="DZ68" i="6"/>
  <c r="DH68" i="6"/>
  <c r="CV68" i="6"/>
  <c r="CJ68" i="6"/>
  <c r="BX68" i="6"/>
  <c r="BL68" i="6"/>
  <c r="AZ68" i="6"/>
  <c r="AN68" i="6"/>
  <c r="AB68" i="6"/>
  <c r="P68" i="6"/>
  <c r="DQ68" i="6"/>
  <c r="G36" i="7"/>
  <c r="E19" i="4"/>
  <c r="C17" i="4"/>
  <c r="D37" i="4"/>
  <c r="F41" i="4"/>
  <c r="D38" i="4"/>
  <c r="E76" i="4"/>
  <c r="C74" i="4"/>
  <c r="H74" i="4" s="1"/>
  <c r="G83" i="4" s="1"/>
  <c r="F71" i="4"/>
  <c r="D97" i="4"/>
  <c r="H97" i="4" s="1"/>
  <c r="G106" i="4" s="1"/>
  <c r="G94" i="4"/>
  <c r="E92" i="4"/>
  <c r="C121" i="4"/>
  <c r="F118" i="4"/>
  <c r="D116" i="4"/>
  <c r="G13" i="7"/>
  <c r="E11" i="7"/>
  <c r="C9" i="7"/>
  <c r="EK68" i="6"/>
  <c r="DY68" i="6"/>
  <c r="DG68" i="6"/>
  <c r="CU68" i="6"/>
  <c r="CI68" i="6"/>
  <c r="BW68" i="6"/>
  <c r="BK68" i="6"/>
  <c r="AY68" i="6"/>
  <c r="AM68" i="6"/>
  <c r="AA68" i="6"/>
  <c r="O68" i="6"/>
  <c r="DP68" i="6"/>
  <c r="G35" i="7"/>
  <c r="D18" i="4"/>
  <c r="H18" i="4" s="1"/>
  <c r="F27" i="4" s="1"/>
  <c r="G70" i="4"/>
  <c r="G119" i="4"/>
  <c r="CO68" i="6"/>
  <c r="C35" i="7" s="1"/>
  <c r="C18" i="4"/>
  <c r="T68" i="6"/>
  <c r="C20" i="4"/>
  <c r="D70" i="4"/>
  <c r="G97" i="4"/>
  <c r="G14" i="4"/>
  <c r="D19" i="4"/>
  <c r="G16" i="4"/>
  <c r="G43" i="4"/>
  <c r="E41" i="4"/>
  <c r="C38" i="4"/>
  <c r="H38" i="4" s="1"/>
  <c r="G47" i="4" s="1"/>
  <c r="D76" i="4"/>
  <c r="G73" i="4"/>
  <c r="E71" i="4"/>
  <c r="C97" i="4"/>
  <c r="F94" i="4"/>
  <c r="D92" i="4"/>
  <c r="G120" i="4"/>
  <c r="E118" i="4"/>
  <c r="C116" i="4"/>
  <c r="F13" i="7"/>
  <c r="D11" i="7"/>
  <c r="EV68" i="6"/>
  <c r="EJ68" i="6"/>
  <c r="C33" i="7" s="1"/>
  <c r="DX68" i="6"/>
  <c r="DF68" i="6"/>
  <c r="CT68" i="6"/>
  <c r="CH68" i="6"/>
  <c r="BV68" i="6"/>
  <c r="BJ68" i="6"/>
  <c r="AX68" i="6"/>
  <c r="AL68" i="6"/>
  <c r="Z68" i="6"/>
  <c r="N68" i="6"/>
  <c r="DO68" i="6"/>
  <c r="C37" i="7" s="1"/>
  <c r="F91" i="4"/>
  <c r="D10" i="7"/>
  <c r="EE68" i="6"/>
  <c r="DA68" i="6"/>
  <c r="BQ68" i="6"/>
  <c r="CN68" i="6"/>
  <c r="F14" i="4"/>
  <c r="E37" i="4"/>
  <c r="F73" i="4"/>
  <c r="C92" i="4"/>
  <c r="F120" i="4"/>
  <c r="D118" i="4"/>
  <c r="C8" i="7"/>
  <c r="E13" i="7"/>
  <c r="C11" i="7"/>
  <c r="EU68" i="6"/>
  <c r="EI68" i="6"/>
  <c r="DW68" i="6"/>
  <c r="DE68" i="6"/>
  <c r="CS68" i="6"/>
  <c r="F38" i="7" s="1"/>
  <c r="CG68" i="6"/>
  <c r="BU68" i="6"/>
  <c r="BI68" i="6"/>
  <c r="D32" i="7" s="1"/>
  <c r="AW68" i="6"/>
  <c r="AK68" i="6"/>
  <c r="Y68" i="6"/>
  <c r="M68" i="6"/>
  <c r="DN68" i="6"/>
  <c r="C34" i="7"/>
  <c r="G42" i="4"/>
  <c r="C68" i="6"/>
  <c r="D38" i="7" s="1"/>
  <c r="D39" i="4"/>
  <c r="F72" i="4"/>
  <c r="D117" i="4"/>
  <c r="BP68" i="6"/>
  <c r="F43" i="4"/>
  <c r="G96" i="4"/>
  <c r="G18" i="4"/>
  <c r="C41" i="4"/>
  <c r="F37" i="4"/>
  <c r="G75" i="4"/>
  <c r="E73" i="4"/>
  <c r="C71" i="4"/>
  <c r="F96" i="4"/>
  <c r="D94" i="4"/>
  <c r="E120" i="4"/>
  <c r="H120" i="4" s="1"/>
  <c r="C129" i="4" s="1"/>
  <c r="C118" i="4"/>
  <c r="H118" i="4" s="1"/>
  <c r="H127" i="4" s="1"/>
  <c r="G8" i="7"/>
  <c r="D13" i="7"/>
  <c r="G10" i="7"/>
  <c r="ET68" i="6"/>
  <c r="EH68" i="6"/>
  <c r="DV68" i="6"/>
  <c r="DD68" i="6"/>
  <c r="CR68" i="6"/>
  <c r="CF68" i="6"/>
  <c r="BT68" i="6"/>
  <c r="BH68" i="6"/>
  <c r="AV68" i="6"/>
  <c r="AJ68" i="6"/>
  <c r="E34" i="7" s="1"/>
  <c r="X68" i="6"/>
  <c r="L68" i="6"/>
  <c r="DM68" i="6"/>
  <c r="E115" i="4"/>
  <c r="AG68" i="6"/>
  <c r="F15" i="4"/>
  <c r="F119" i="4"/>
  <c r="CB68" i="6"/>
  <c r="F16" i="4"/>
  <c r="D41" i="4"/>
  <c r="H41" i="4" s="1"/>
  <c r="I41" i="4" s="1"/>
  <c r="C76" i="4"/>
  <c r="H76" i="4" s="1"/>
  <c r="D85" i="4" s="1"/>
  <c r="D71" i="4"/>
  <c r="H71" i="4" s="1"/>
  <c r="C80" i="4" s="1"/>
  <c r="E14" i="4"/>
  <c r="E16" i="4"/>
  <c r="D14" i="4"/>
  <c r="F18" i="4"/>
  <c r="D16" i="4"/>
  <c r="D43" i="4"/>
  <c r="G39" i="4"/>
  <c r="G37" i="4"/>
  <c r="H37" i="4" s="1"/>
  <c r="C46" i="4" s="1"/>
  <c r="F75" i="4"/>
  <c r="D73" i="4"/>
  <c r="H73" i="4" s="1"/>
  <c r="G82" i="4" s="1"/>
  <c r="C37" i="4"/>
  <c r="E96" i="4"/>
  <c r="C94" i="4"/>
  <c r="H94" i="4" s="1"/>
  <c r="I94" i="4" s="1"/>
  <c r="G115" i="4"/>
  <c r="D120" i="4"/>
  <c r="G117" i="4"/>
  <c r="F8" i="7"/>
  <c r="C13" i="7"/>
  <c r="F10" i="7"/>
  <c r="ES68" i="6"/>
  <c r="EG68" i="6"/>
  <c r="DU68" i="6"/>
  <c r="DC68" i="6"/>
  <c r="CQ68" i="6"/>
  <c r="CE68" i="6"/>
  <c r="BS68" i="6"/>
  <c r="BG68" i="6"/>
  <c r="AU68" i="6"/>
  <c r="AI68" i="6"/>
  <c r="W68" i="6"/>
  <c r="K68" i="6"/>
  <c r="DL68" i="6"/>
  <c r="C115" i="4"/>
  <c r="G136" i="4" s="1"/>
  <c r="E136" i="4" s="1"/>
  <c r="F93" i="4"/>
  <c r="H93" i="4" s="1"/>
  <c r="I93" i="4" s="1"/>
  <c r="CC68" i="6"/>
  <c r="D115" i="4"/>
  <c r="CZ68" i="6"/>
  <c r="C19" i="4"/>
  <c r="E94" i="4"/>
  <c r="E43" i="4"/>
  <c r="G20" i="4"/>
  <c r="E18" i="4"/>
  <c r="C16" i="4"/>
  <c r="H16" i="4" s="1"/>
  <c r="G25" i="4" s="1"/>
  <c r="C43" i="4"/>
  <c r="G64" i="4" s="1"/>
  <c r="F64" i="4" s="1"/>
  <c r="F39" i="4"/>
  <c r="G60" i="4" s="1"/>
  <c r="F60" i="4" s="1"/>
  <c r="C70" i="4"/>
  <c r="H70" i="4" s="1"/>
  <c r="I70" i="4" s="1"/>
  <c r="E75" i="4"/>
  <c r="C73" i="4"/>
  <c r="G91" i="4"/>
  <c r="D96" i="4"/>
  <c r="H96" i="4" s="1"/>
  <c r="H105" i="4" s="1"/>
  <c r="G93" i="4"/>
  <c r="F115" i="4"/>
  <c r="C120" i="4"/>
  <c r="F117" i="4"/>
  <c r="E8" i="7"/>
  <c r="G12" i="7"/>
  <c r="E10" i="7"/>
  <c r="ER68" i="6"/>
  <c r="EF68" i="6"/>
  <c r="DT68" i="6"/>
  <c r="DB68" i="6"/>
  <c r="CP68" i="6"/>
  <c r="CD68" i="6"/>
  <c r="BR68" i="6"/>
  <c r="BF68" i="6"/>
  <c r="AT68" i="6"/>
  <c r="AH68" i="6"/>
  <c r="V68" i="6"/>
  <c r="J68" i="6"/>
  <c r="DK68" i="6"/>
  <c r="C32" i="7"/>
  <c r="C91" i="4"/>
  <c r="H91" i="4" s="1"/>
  <c r="C100" i="4" s="1"/>
  <c r="F37" i="7"/>
  <c r="G32" i="7"/>
  <c r="F32" i="7"/>
  <c r="F36" i="7"/>
  <c r="D36" i="7"/>
  <c r="E38" i="7"/>
  <c r="G140" i="4"/>
  <c r="F140" i="4" s="1"/>
  <c r="H116" i="4"/>
  <c r="C140" i="4"/>
  <c r="M2" i="4"/>
  <c r="H95" i="4"/>
  <c r="C104" i="4" s="1"/>
  <c r="G63" i="4"/>
  <c r="E63" i="4" s="1"/>
  <c r="F63" i="4"/>
  <c r="H15" i="4"/>
  <c r="E24" i="4" s="1"/>
  <c r="H20" i="4"/>
  <c r="F29" i="4" s="1"/>
  <c r="H43" i="4"/>
  <c r="D52" i="4" s="1"/>
  <c r="H42" i="4"/>
  <c r="I42" i="4" s="1"/>
  <c r="C63" i="4"/>
  <c r="G58" i="4"/>
  <c r="B7" i="4"/>
  <c r="E32" i="7" l="1"/>
  <c r="H32" i="7" s="1"/>
  <c r="H41" i="7" s="1"/>
  <c r="G141" i="4"/>
  <c r="F141" i="4" s="1"/>
  <c r="D35" i="7"/>
  <c r="H35" i="7" s="1"/>
  <c r="F44" i="7" s="1"/>
  <c r="F33" i="7"/>
  <c r="H14" i="4"/>
  <c r="F23" i="4" s="1"/>
  <c r="C101" i="4"/>
  <c r="G139" i="4"/>
  <c r="D139" i="4" s="1"/>
  <c r="G142" i="4"/>
  <c r="F34" i="7"/>
  <c r="F35" i="7"/>
  <c r="H92" i="4"/>
  <c r="G59" i="4"/>
  <c r="D59" i="4" s="1"/>
  <c r="H39" i="4"/>
  <c r="C48" i="4" s="1"/>
  <c r="G62" i="4"/>
  <c r="E62" i="4" s="1"/>
  <c r="D37" i="7"/>
  <c r="H37" i="7" s="1"/>
  <c r="F46" i="7" s="1"/>
  <c r="G138" i="4"/>
  <c r="H117" i="4"/>
  <c r="F126" i="4" s="1"/>
  <c r="G34" i="7"/>
  <c r="H34" i="7" s="1"/>
  <c r="H43" i="7" s="1"/>
  <c r="E33" i="7"/>
  <c r="E140" i="4"/>
  <c r="E36" i="7"/>
  <c r="H115" i="4"/>
  <c r="F124" i="4" s="1"/>
  <c r="C36" i="7"/>
  <c r="H36" i="7" s="1"/>
  <c r="G137" i="4"/>
  <c r="E137" i="4" s="1"/>
  <c r="E37" i="7"/>
  <c r="D33" i="7"/>
  <c r="H33" i="7" s="1"/>
  <c r="H38" i="7"/>
  <c r="H47" i="7" s="1"/>
  <c r="F142" i="4"/>
  <c r="C142" i="4"/>
  <c r="D140" i="4"/>
  <c r="I38" i="4"/>
  <c r="H48" i="4"/>
  <c r="H125" i="4"/>
  <c r="D125" i="4"/>
  <c r="C125" i="4"/>
  <c r="C124" i="4"/>
  <c r="F128" i="4"/>
  <c r="D128" i="4"/>
  <c r="G128" i="4"/>
  <c r="E128" i="4"/>
  <c r="I119" i="4"/>
  <c r="C128" i="4"/>
  <c r="F125" i="4"/>
  <c r="G125" i="4"/>
  <c r="D130" i="4"/>
  <c r="I116" i="4"/>
  <c r="E139" i="4"/>
  <c r="E125" i="4"/>
  <c r="C130" i="4"/>
  <c r="I118" i="4"/>
  <c r="H100" i="4"/>
  <c r="F127" i="4"/>
  <c r="C141" i="4"/>
  <c r="E127" i="4"/>
  <c r="F139" i="4"/>
  <c r="D127" i="4"/>
  <c r="H140" i="4"/>
  <c r="D136" i="4"/>
  <c r="C136" i="4"/>
  <c r="F136" i="4"/>
  <c r="D124" i="4"/>
  <c r="I115" i="4"/>
  <c r="D129" i="4"/>
  <c r="H129" i="4"/>
  <c r="E129" i="4"/>
  <c r="G129" i="4"/>
  <c r="E126" i="4"/>
  <c r="D141" i="4"/>
  <c r="E141" i="4"/>
  <c r="H124" i="4"/>
  <c r="E124" i="4"/>
  <c r="G130" i="4"/>
  <c r="H130" i="4"/>
  <c r="E130" i="4"/>
  <c r="G124" i="4"/>
  <c r="I124" i="4" s="1"/>
  <c r="C139" i="4"/>
  <c r="I120" i="4"/>
  <c r="G127" i="4"/>
  <c r="C127" i="4"/>
  <c r="F129" i="4"/>
  <c r="F130" i="4"/>
  <c r="C59" i="4"/>
  <c r="F52" i="4"/>
  <c r="D50" i="4"/>
  <c r="C27" i="4"/>
  <c r="D47" i="4"/>
  <c r="C64" i="4"/>
  <c r="D27" i="4"/>
  <c r="E27" i="4"/>
  <c r="H52" i="4"/>
  <c r="H27" i="4"/>
  <c r="C47" i="4"/>
  <c r="I16" i="4"/>
  <c r="E47" i="4"/>
  <c r="H50" i="4"/>
  <c r="F48" i="4"/>
  <c r="F83" i="4"/>
  <c r="I83" i="4" s="1"/>
  <c r="D82" i="4"/>
  <c r="F62" i="4"/>
  <c r="C25" i="4"/>
  <c r="I73" i="4"/>
  <c r="I15" i="4"/>
  <c r="C24" i="4"/>
  <c r="D48" i="4"/>
  <c r="D63" i="4"/>
  <c r="H63" i="4" s="1"/>
  <c r="G105" i="4"/>
  <c r="E105" i="4"/>
  <c r="F105" i="4"/>
  <c r="I96" i="4"/>
  <c r="C105" i="4"/>
  <c r="D105" i="4"/>
  <c r="F103" i="4"/>
  <c r="G102" i="4"/>
  <c r="C102" i="4"/>
  <c r="D104" i="4"/>
  <c r="D100" i="4"/>
  <c r="I91" i="4"/>
  <c r="E100" i="4"/>
  <c r="F100" i="4"/>
  <c r="G100" i="4"/>
  <c r="H104" i="4"/>
  <c r="G104" i="4"/>
  <c r="F102" i="4"/>
  <c r="E102" i="4"/>
  <c r="D102" i="4"/>
  <c r="H102" i="4"/>
  <c r="H103" i="4"/>
  <c r="E103" i="4"/>
  <c r="D103" i="4"/>
  <c r="C103" i="4"/>
  <c r="E106" i="4"/>
  <c r="F104" i="4"/>
  <c r="I95" i="4"/>
  <c r="D106" i="4"/>
  <c r="C106" i="4"/>
  <c r="H106" i="4"/>
  <c r="G103" i="4"/>
  <c r="E104" i="4"/>
  <c r="I97" i="4"/>
  <c r="F106" i="4"/>
  <c r="I106" i="4" s="1"/>
  <c r="G52" i="4"/>
  <c r="I52" i="4" s="1"/>
  <c r="E28" i="4"/>
  <c r="E82" i="4"/>
  <c r="I18" i="4"/>
  <c r="D26" i="4"/>
  <c r="E83" i="4"/>
  <c r="E79" i="4"/>
  <c r="D79" i="4"/>
  <c r="E64" i="4"/>
  <c r="D64" i="4"/>
  <c r="H46" i="4"/>
  <c r="D25" i="4"/>
  <c r="G27" i="4"/>
  <c r="I27" i="4" s="1"/>
  <c r="E26" i="4"/>
  <c r="E25" i="4"/>
  <c r="G81" i="4"/>
  <c r="H25" i="4"/>
  <c r="F25" i="4"/>
  <c r="I25" i="4" s="1"/>
  <c r="I71" i="4"/>
  <c r="E80" i="4"/>
  <c r="H51" i="4"/>
  <c r="H29" i="4"/>
  <c r="E29" i="4"/>
  <c r="D29" i="4"/>
  <c r="G26" i="4"/>
  <c r="F26" i="4"/>
  <c r="H26" i="4"/>
  <c r="C26" i="4"/>
  <c r="C29" i="4"/>
  <c r="G85" i="4"/>
  <c r="D62" i="4"/>
  <c r="I75" i="4"/>
  <c r="D84" i="4"/>
  <c r="C84" i="4"/>
  <c r="H84" i="4"/>
  <c r="G84" i="4"/>
  <c r="I84" i="4" s="1"/>
  <c r="D81" i="4"/>
  <c r="E84" i="4"/>
  <c r="G51" i="4"/>
  <c r="E52" i="4"/>
  <c r="H23" i="4"/>
  <c r="E59" i="4"/>
  <c r="D60" i="4"/>
  <c r="E60" i="4"/>
  <c r="C60" i="4"/>
  <c r="C51" i="4"/>
  <c r="H80" i="4"/>
  <c r="G80" i="4"/>
  <c r="D80" i="4"/>
  <c r="G29" i="4"/>
  <c r="I29" i="4" s="1"/>
  <c r="F80" i="4"/>
  <c r="C52" i="4"/>
  <c r="I74" i="4"/>
  <c r="H83" i="4"/>
  <c r="C83" i="4"/>
  <c r="D83" i="4"/>
  <c r="H82" i="4"/>
  <c r="C82" i="4"/>
  <c r="D28" i="4"/>
  <c r="H28" i="4"/>
  <c r="I19" i="4"/>
  <c r="G28" i="4"/>
  <c r="I28" i="4" s="1"/>
  <c r="F59" i="4"/>
  <c r="E51" i="4"/>
  <c r="I72" i="4"/>
  <c r="C81" i="4"/>
  <c r="H81" i="4"/>
  <c r="F81" i="4"/>
  <c r="F82" i="4"/>
  <c r="I82" i="4" s="1"/>
  <c r="C62" i="4"/>
  <c r="F51" i="4"/>
  <c r="I76" i="4"/>
  <c r="H85" i="4"/>
  <c r="F85" i="4"/>
  <c r="C85" i="4"/>
  <c r="C23" i="4"/>
  <c r="F47" i="4"/>
  <c r="I47" i="4" s="1"/>
  <c r="H47" i="4"/>
  <c r="E85" i="4"/>
  <c r="C79" i="4"/>
  <c r="F79" i="4"/>
  <c r="H79" i="4"/>
  <c r="G79" i="4"/>
  <c r="D24" i="4"/>
  <c r="G24" i="4"/>
  <c r="F24" i="4"/>
  <c r="H24" i="4"/>
  <c r="C28" i="4"/>
  <c r="I20" i="4"/>
  <c r="I37" i="4"/>
  <c r="G46" i="4"/>
  <c r="F58" i="4"/>
  <c r="D58" i="4"/>
  <c r="E58" i="4"/>
  <c r="C58" i="4"/>
  <c r="E46" i="4"/>
  <c r="G50" i="4"/>
  <c r="D51" i="4"/>
  <c r="I39" i="4"/>
  <c r="E48" i="4"/>
  <c r="F46" i="4"/>
  <c r="F50" i="4"/>
  <c r="I43" i="4"/>
  <c r="G48" i="4"/>
  <c r="E50" i="4"/>
  <c r="D46" i="4"/>
  <c r="C50" i="4"/>
  <c r="F45" i="7" l="1"/>
  <c r="H45" i="7"/>
  <c r="D45" i="7"/>
  <c r="G45" i="7"/>
  <c r="C45" i="7"/>
  <c r="E45" i="7"/>
  <c r="H42" i="7"/>
  <c r="C42" i="7"/>
  <c r="G42" i="7"/>
  <c r="E42" i="7"/>
  <c r="J101" i="4"/>
  <c r="F42" i="7"/>
  <c r="J42" i="7" s="1"/>
  <c r="H44" i="7"/>
  <c r="I36" i="7"/>
  <c r="D42" i="7"/>
  <c r="E138" i="4"/>
  <c r="F138" i="4"/>
  <c r="C138" i="4"/>
  <c r="I81" i="4"/>
  <c r="D126" i="4"/>
  <c r="I33" i="7"/>
  <c r="E44" i="7"/>
  <c r="D137" i="4"/>
  <c r="F137" i="4"/>
  <c r="C137" i="4"/>
  <c r="C44" i="7"/>
  <c r="J44" i="7" s="1"/>
  <c r="G23" i="4"/>
  <c r="I23" i="4" s="1"/>
  <c r="I117" i="4"/>
  <c r="C126" i="4"/>
  <c r="H101" i="4"/>
  <c r="F101" i="4"/>
  <c r="E101" i="4"/>
  <c r="D101" i="4"/>
  <c r="D138" i="4"/>
  <c r="I14" i="4"/>
  <c r="H142" i="4"/>
  <c r="E23" i="4"/>
  <c r="G101" i="4"/>
  <c r="K25" i="4"/>
  <c r="H126" i="4"/>
  <c r="I35" i="7"/>
  <c r="D23" i="4"/>
  <c r="G126" i="4"/>
  <c r="I126" i="4" s="1"/>
  <c r="G44" i="7"/>
  <c r="I44" i="7" s="1"/>
  <c r="E142" i="4"/>
  <c r="D142" i="4"/>
  <c r="I92" i="4"/>
  <c r="D44" i="7"/>
  <c r="H46" i="7"/>
  <c r="C46" i="7"/>
  <c r="K46" i="7" s="1"/>
  <c r="E46" i="7"/>
  <c r="D46" i="7"/>
  <c r="I37" i="7"/>
  <c r="G46" i="7"/>
  <c r="I46" i="7" s="1"/>
  <c r="C41" i="7"/>
  <c r="F41" i="7"/>
  <c r="I32" i="7"/>
  <c r="D41" i="7"/>
  <c r="E41" i="7"/>
  <c r="G41" i="7"/>
  <c r="E43" i="7"/>
  <c r="I34" i="7"/>
  <c r="F43" i="7"/>
  <c r="C43" i="7"/>
  <c r="D43" i="7"/>
  <c r="G43" i="7"/>
  <c r="I38" i="7"/>
  <c r="D47" i="7"/>
  <c r="F47" i="7"/>
  <c r="E47" i="7"/>
  <c r="C47" i="7"/>
  <c r="G47" i="7"/>
  <c r="H64" i="4"/>
  <c r="J47" i="4"/>
  <c r="I80" i="4"/>
  <c r="K45" i="7"/>
  <c r="J45" i="7"/>
  <c r="J125" i="4"/>
  <c r="H136" i="4"/>
  <c r="J124" i="4"/>
  <c r="J128" i="4"/>
  <c r="I128" i="4"/>
  <c r="I127" i="4"/>
  <c r="K128" i="4"/>
  <c r="K125" i="4"/>
  <c r="K126" i="4"/>
  <c r="K130" i="4"/>
  <c r="H141" i="4"/>
  <c r="I125" i="4"/>
  <c r="I129" i="4"/>
  <c r="K124" i="4"/>
  <c r="J129" i="4"/>
  <c r="K129" i="4"/>
  <c r="J130" i="4"/>
  <c r="H139" i="4"/>
  <c r="J127" i="4"/>
  <c r="K127" i="4"/>
  <c r="I130" i="4"/>
  <c r="J25" i="4"/>
  <c r="H59" i="4"/>
  <c r="K84" i="4"/>
  <c r="I51" i="4"/>
  <c r="J105" i="4"/>
  <c r="K24" i="4"/>
  <c r="J23" i="4"/>
  <c r="I48" i="4"/>
  <c r="H62" i="4"/>
  <c r="I26" i="4"/>
  <c r="J80" i="4"/>
  <c r="K48" i="4"/>
  <c r="K27" i="4"/>
  <c r="K47" i="4"/>
  <c r="J27" i="4"/>
  <c r="I105" i="4"/>
  <c r="I102" i="4"/>
  <c r="I103" i="4"/>
  <c r="J104" i="4"/>
  <c r="J106" i="4"/>
  <c r="J100" i="4"/>
  <c r="J102" i="4"/>
  <c r="I104" i="4"/>
  <c r="J103" i="4"/>
  <c r="I100" i="4"/>
  <c r="K52" i="4"/>
  <c r="I24" i="4"/>
  <c r="H58" i="4"/>
  <c r="K81" i="4"/>
  <c r="J81" i="4"/>
  <c r="I79" i="4"/>
  <c r="K79" i="4"/>
  <c r="J79" i="4"/>
  <c r="J24" i="4"/>
  <c r="K50" i="4"/>
  <c r="J28" i="4"/>
  <c r="K28" i="4"/>
  <c r="J26" i="4"/>
  <c r="K26" i="4"/>
  <c r="K51" i="4"/>
  <c r="J84" i="4"/>
  <c r="K46" i="4"/>
  <c r="K85" i="4"/>
  <c r="J85" i="4"/>
  <c r="J52" i="4"/>
  <c r="J51" i="4"/>
  <c r="H60" i="4"/>
  <c r="J29" i="4"/>
  <c r="K29" i="4"/>
  <c r="K23" i="4"/>
  <c r="J82" i="4"/>
  <c r="K82" i="4"/>
  <c r="K80" i="4"/>
  <c r="I85" i="4"/>
  <c r="K83" i="4"/>
  <c r="J83" i="4"/>
  <c r="J48" i="4"/>
  <c r="I50" i="4"/>
  <c r="I46" i="4"/>
  <c r="J46" i="4"/>
  <c r="J50" i="4"/>
  <c r="G40" i="4"/>
  <c r="D40" i="4"/>
  <c r="F40" i="4"/>
  <c r="E40" i="4"/>
  <c r="C40" i="4"/>
  <c r="I42" i="7" l="1"/>
  <c r="K42" i="7"/>
  <c r="H138" i="4"/>
  <c r="I101" i="4"/>
  <c r="K44" i="7"/>
  <c r="I45" i="7"/>
  <c r="J126" i="4"/>
  <c r="H137" i="4"/>
  <c r="I41" i="7"/>
  <c r="J46" i="7"/>
  <c r="J41" i="7"/>
  <c r="I47" i="7"/>
  <c r="K41" i="7"/>
  <c r="J43" i="7"/>
  <c r="I43" i="7"/>
  <c r="K43" i="7"/>
  <c r="K47" i="7"/>
  <c r="J47" i="7"/>
  <c r="G61" i="4"/>
  <c r="F61" i="4" s="1"/>
  <c r="H40" i="4"/>
  <c r="H49" i="4" s="1"/>
  <c r="D61" i="4" l="1"/>
  <c r="E61" i="4"/>
  <c r="C49" i="4"/>
  <c r="D49" i="4"/>
  <c r="C61" i="4"/>
  <c r="F49" i="4"/>
  <c r="G49" i="4"/>
  <c r="I40" i="4"/>
  <c r="E49" i="4"/>
  <c r="H61" i="4" l="1"/>
  <c r="K49" i="4"/>
  <c r="J49" i="4"/>
  <c r="I49" i="4"/>
  <c r="H8" i="7"/>
  <c r="H17" i="7" s="1"/>
  <c r="D17" i="7" l="1"/>
  <c r="I8" i="7"/>
  <c r="E17" i="7"/>
  <c r="F17" i="7"/>
  <c r="C17" i="7"/>
  <c r="G17" i="7"/>
  <c r="J17" i="7" l="1"/>
  <c r="K17" i="7"/>
  <c r="I17" i="7"/>
  <c r="H10" i="7"/>
  <c r="H12" i="7"/>
  <c r="I12" i="7" s="1"/>
  <c r="H13" i="7"/>
  <c r="C22" i="7" s="1"/>
  <c r="H14" i="7"/>
  <c r="H9" i="7"/>
  <c r="G18" i="7" s="1"/>
  <c r="H11" i="7"/>
  <c r="G19" i="7"/>
  <c r="H23" i="7" l="1"/>
  <c r="I14" i="7"/>
  <c r="F18" i="7"/>
  <c r="I18" i="7" s="1"/>
  <c r="I9" i="7"/>
  <c r="G23" i="7"/>
  <c r="G21" i="7"/>
  <c r="C20" i="7"/>
  <c r="I11" i="7"/>
  <c r="F23" i="7"/>
  <c r="I23" i="7" s="1"/>
  <c r="F22" i="7"/>
  <c r="I13" i="7"/>
  <c r="D19" i="7"/>
  <c r="I10" i="7"/>
  <c r="D18" i="7"/>
  <c r="D23" i="7"/>
  <c r="C18" i="7"/>
  <c r="E22" i="7"/>
  <c r="G20" i="7"/>
  <c r="H20" i="7"/>
  <c r="H22" i="7"/>
  <c r="H19" i="7"/>
  <c r="H21" i="7"/>
  <c r="E21" i="7"/>
  <c r="F20" i="7"/>
  <c r="E23" i="7"/>
  <c r="F19" i="7"/>
  <c r="I19" i="7" s="1"/>
  <c r="E20" i="7"/>
  <c r="D20" i="7"/>
  <c r="E19" i="7"/>
  <c r="G22" i="7"/>
  <c r="C21" i="7"/>
  <c r="H18" i="7"/>
  <c r="C23" i="7"/>
  <c r="E18" i="7"/>
  <c r="D22" i="7"/>
  <c r="F21" i="7"/>
  <c r="D21" i="7"/>
  <c r="C19" i="7"/>
  <c r="J18" i="7" l="1"/>
  <c r="I22" i="7"/>
  <c r="J20" i="7"/>
  <c r="K18" i="7"/>
  <c r="I21" i="7"/>
  <c r="K22" i="7"/>
  <c r="J22" i="7"/>
  <c r="K20" i="7"/>
  <c r="J21" i="7"/>
  <c r="K21" i="7"/>
  <c r="K19" i="7"/>
  <c r="J19" i="7"/>
  <c r="J23" i="7"/>
  <c r="K23" i="7"/>
  <c r="I20"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<sst xmlns="http://schemas.openxmlformats.org/spreadsheetml/2006/main" count="665" uniqueCount="400">
  <si>
    <t>Caffeinated chocolate bar.</t>
  </si>
  <si>
    <t>This product would be a regular size chocolate bar, similar in shape and size to the familiar 1.5 oz. Hershey, Nestle Crunch, or Dark Chocolate Fair Trade bars available by the checkout counter at a grocery store. The bar would be available in both milk and dark chocolate. The bar would have 3 or 4 easily separated pieces; each piece would have 100 mg of caffeine, the amount of caffeine in a regular cup of coffee.</t>
  </si>
  <si>
    <t>Caffeinated cookies.</t>
  </si>
  <si>
    <t>Flavors available would include chocolate chip, oatmeal raisin, and peanut butter. The cookie would be a regular size, soft cookie, sold in a single-serving package or by the bundle. A cookie would have 100 mg of caffeine, the amount of caffeine in a regular cup of coffee.</t>
  </si>
  <si>
    <t>Caffeinated chocolates.</t>
  </si>
  <si>
    <t>Caffeinated chocolate pieces, similar in size, but not necessarily shape, to a Hershey’s kiss. Three pieces would have about 100 mg of caffeine, the same caffeine as in a regular cup of coffee. They would be available in either milk or dark chocolate. There would be 6-10 pieces in a resealable package.</t>
  </si>
  <si>
    <t>Caffeinated potato chips.</t>
  </si>
  <si>
    <t>Flavors would include regular salted, BBQ, Cheddar, Sour Cream and Onion, and others. The caffeine would be baked right into the chips. They would be sold in both individual serving size bags and larger family style bags. A large handful of chips would contain 100mg of caffeine, the same as in a regular cup of coffee.</t>
  </si>
  <si>
    <t>Caffeinated water.</t>
  </si>
  <si>
    <t>Water would be tasteless and sold in various sizes including 12 oz bottles. A 12oz bottle would contain 100mg of caffeine, the same as a regular cup of coffee.</t>
  </si>
  <si>
    <t>Caffeinated cereal/granola.</t>
  </si>
  <si>
    <t>Flavors would include a sweet cereal, whole grain cereal, and a granola. Cereal would be sold in traditional cereal boxes, and also available in snack size resealable pouches. A normal bowl size serving would have 100mg of caffeine, the same amount as a regular cup of coffee.</t>
  </si>
  <si>
    <t>Caffeinated hamburger meat.</t>
  </si>
  <si>
    <t>Hamburger meat would be available in various fat contents including 85% lean, 90% lean and 95% lean. Hamburger meat would available in packages in supermarket meat sections. A single 1/2 pound burger serving would contain 100mg of caffeine, the same amount as a regular cup of coffee.</t>
  </si>
  <si>
    <t>Column Label</t>
  </si>
  <si>
    <t>Question Wording</t>
  </si>
  <si>
    <t>GEN</t>
  </si>
  <si>
    <t>Your gender?</t>
  </si>
  <si>
    <t>Responses</t>
  </si>
  <si>
    <t>Male</t>
  </si>
  <si>
    <t>Female</t>
  </si>
  <si>
    <t>AGE</t>
  </si>
  <si>
    <t>Your age?</t>
  </si>
  <si>
    <t>Under 18</t>
  </si>
  <si>
    <t>18-25</t>
  </si>
  <si>
    <t>26-35</t>
  </si>
  <si>
    <t>36-45</t>
  </si>
  <si>
    <t>46-55</t>
  </si>
  <si>
    <t>56-65</t>
  </si>
  <si>
    <t>66-75</t>
  </si>
  <si>
    <t>Over 75</t>
  </si>
  <si>
    <t>EMP</t>
  </si>
  <si>
    <t>Employment status?</t>
  </si>
  <si>
    <t>Student</t>
  </si>
  <si>
    <t>Work part time</t>
  </si>
  <si>
    <t>Work full time</t>
  </si>
  <si>
    <t>Unemployed</t>
  </si>
  <si>
    <t>INTENT</t>
  </si>
  <si>
    <t>Based on the description, how likely would you be to purchase this product?</t>
  </si>
  <si>
    <t>Definitely would not purchase</t>
  </si>
  <si>
    <t>Probably would not purchase</t>
  </si>
  <si>
    <t>Might or might not purchase</t>
  </si>
  <si>
    <t>Probably would purchase</t>
  </si>
  <si>
    <t>Definitely would purchase</t>
  </si>
  <si>
    <t>UNIQ</t>
  </si>
  <si>
    <t>How different is this product from other products on the market today?</t>
  </si>
  <si>
    <t>There is nothing else like it.</t>
  </si>
  <si>
    <t>There are other products that are something like this.</t>
  </si>
  <si>
    <t>There are other products that are just like this.</t>
  </si>
  <si>
    <t>There are a lot of other products that are just like this.</t>
  </si>
  <si>
    <t>Don't know</t>
  </si>
  <si>
    <t>FREQ</t>
  </si>
  <si>
    <t>If you tried this product and it met your expectations for taste and effectiveness, how often could you see yourself using it?</t>
  </si>
  <si>
    <t>Once a month or less often</t>
  </si>
  <si>
    <t>More than once a month but less than once a week</t>
  </si>
  <si>
    <t>1 to 3 times a week</t>
  </si>
  <si>
    <t>More than 3 times a week</t>
  </si>
  <si>
    <t xml:space="preserve">Note: a 0 in the data set indicates that the question was not answered. </t>
  </si>
  <si>
    <t>V1</t>
  </si>
  <si>
    <t>V10</t>
  </si>
  <si>
    <t>CUR-USE_1</t>
  </si>
  <si>
    <t>CUR-USE_2</t>
  </si>
  <si>
    <t>CUR-USE_3</t>
  </si>
  <si>
    <t>CUR-USE_4</t>
  </si>
  <si>
    <t>CUR-USE_5</t>
  </si>
  <si>
    <t>Q16</t>
  </si>
  <si>
    <t>INTENT(1)</t>
  </si>
  <si>
    <t>INTENT(2)</t>
  </si>
  <si>
    <t>INTENT(3)</t>
  </si>
  <si>
    <t>INTENT(4)</t>
  </si>
  <si>
    <t>INTENT(5)</t>
  </si>
  <si>
    <t>INTENT(6)</t>
  </si>
  <si>
    <t>INTENT(7)</t>
  </si>
  <si>
    <t>UNIQ(1)</t>
  </si>
  <si>
    <t>UNIQ(2)</t>
  </si>
  <si>
    <t>UNIQ(3)</t>
  </si>
  <si>
    <t>UNIQ(4)</t>
  </si>
  <si>
    <t>UNIQ(5)</t>
  </si>
  <si>
    <t>UNIQ(6)</t>
  </si>
  <si>
    <t>UNIQ(7)</t>
  </si>
  <si>
    <t>FREQ(1)</t>
  </si>
  <si>
    <t>FREQ(2)</t>
  </si>
  <si>
    <t>FREQ(3)</t>
  </si>
  <si>
    <t>FREQ(4)</t>
  </si>
  <si>
    <t>FREQ(5)</t>
  </si>
  <si>
    <t>FREQ(6)</t>
  </si>
  <si>
    <t>FREQ(7)</t>
  </si>
  <si>
    <t>SUB_1(1)</t>
  </si>
  <si>
    <t>SUB_2(1)</t>
  </si>
  <si>
    <t>SUB_3(1)</t>
  </si>
  <si>
    <t>SUB_4(1)</t>
  </si>
  <si>
    <t>SUB_5(1)</t>
  </si>
  <si>
    <t>SUB_1(2)</t>
  </si>
  <si>
    <t>SUB_2(2)</t>
  </si>
  <si>
    <t>SUB_3(2)</t>
  </si>
  <si>
    <t>SUB_4(2)</t>
  </si>
  <si>
    <t>SUB_5(2)</t>
  </si>
  <si>
    <t>SUB_1(3)</t>
  </si>
  <si>
    <t>SUB_2(3)</t>
  </si>
  <si>
    <t>SUB_3(3)</t>
  </si>
  <si>
    <t>SUB_4(3)</t>
  </si>
  <si>
    <t>SUB_5(3)</t>
  </si>
  <si>
    <t>SUB_1(4)</t>
  </si>
  <si>
    <t>SUB_2(4)</t>
  </si>
  <si>
    <t>SUB_3(4)</t>
  </si>
  <si>
    <t>SUB_4(4)</t>
  </si>
  <si>
    <t>SUB_5(4)</t>
  </si>
  <si>
    <t>SUB_1(5)</t>
  </si>
  <si>
    <t>SUB_2(5)</t>
  </si>
  <si>
    <t>SUB_3(5)</t>
  </si>
  <si>
    <t>SUB_4(5)</t>
  </si>
  <si>
    <t>SUB_5(5)</t>
  </si>
  <si>
    <t>SUB_1(6)</t>
  </si>
  <si>
    <t>SUB_2(6)</t>
  </si>
  <si>
    <t>SUB_3(6)</t>
  </si>
  <si>
    <t>SUB_4(6)</t>
  </si>
  <si>
    <t>SUB_5(6)</t>
  </si>
  <si>
    <t>SUB_1(7)</t>
  </si>
  <si>
    <t>SUB_2(7)</t>
  </si>
  <si>
    <t>SUB_3(7)</t>
  </si>
  <si>
    <t>SUB_4(7)</t>
  </si>
  <si>
    <t>SUB_5(7)</t>
  </si>
  <si>
    <t>ResponseID</t>
  </si>
  <si>
    <t>Finished</t>
  </si>
  <si>
    <t>Background questions /  / Your gender?</t>
  </si>
  <si>
    <t>Rate your consumption for each of the following products:-Regular coffee or espresso, latte, cappuccino, etc (not decaffeinated)</t>
  </si>
  <si>
    <t>Rate your consumption for each of the following products:-Caffeinated soda (examples: Coke, Pepsi, Mountain Dew)</t>
  </si>
  <si>
    <t>Rate your consumption for each of the following products:-Any brand of caffeinated energy drink (examples: Monster, Rockstar, Red Bull)</t>
  </si>
  <si>
    <t>Rate your consumption for each of the following products:-Any brand of energy shots (example: 5-hr energy)</t>
  </si>
  <si>
    <t>Rate your consumption for each of the following products:-Any brand of energy bars (example: PowerBar, LunaBar, Clif Bar)</t>
  </si>
  <si>
    <t>On each of the following pages, you will see a short description of a new product concept for a food...</t>
  </si>
  <si>
    <t>${lm://Field/1} /  /  ${lm://Field/2} /  /   /  /  Based on the description, how likely would you be to purchase... (1)</t>
  </si>
  <si>
    <t>${lm://Field/1} /  /  ${lm://Field/2} /  /   /  /  Based on the description, how likely would you be to purchase... (2)</t>
  </si>
  <si>
    <t>${lm://Field/1} /  /  ${lm://Field/2} /  /   /  /  Based on the description, how likely would you be to purchase... (3)</t>
  </si>
  <si>
    <t>${lm://Field/1} /  /  ${lm://Field/2} /  /   /  /  Based on the description, how likely would you be to purchase... (4)</t>
  </si>
  <si>
    <t>${lm://Field/1} /  /  ${lm://Field/2} /  /   /  /  Based on the description, how likely would you be to purchase... (5)</t>
  </si>
  <si>
    <t>${lm://Field/1} /  /  ${lm://Field/2} /  /   /  /  Based on the description, how likely would you be to purchase... (6)</t>
  </si>
  <si>
    <t>${lm://Field/1} /  /  ${lm://Field/2} /  /   /  /  Based on the description, how likely would you be to purchase... (7)</t>
  </si>
  <si>
    <t>How different is this product from other products on the market today? (1)</t>
  </si>
  <si>
    <t>How different is this product from other products on the market today? (2)</t>
  </si>
  <si>
    <t>How different is this product from other products on the market today? (3)</t>
  </si>
  <si>
    <t>How different is this product from other products on the market today? (4)</t>
  </si>
  <si>
    <t>How different is this product from other products on the market today? (5)</t>
  </si>
  <si>
    <t>How different is this product from other products on the market today? (6)</t>
  </si>
  <si>
    <t>How different is this product from other products on the market today? (7)</t>
  </si>
  <si>
    <t>If you tried this product and it met your expectations for taste and effectiveness, how often could... (1)</t>
  </si>
  <si>
    <t>If you tried this product and it met your expectations for taste and effectiveness, how often could... (2)</t>
  </si>
  <si>
    <t>If you tried this product and it met your expectations for taste and effectiveness, how often could... (3)</t>
  </si>
  <si>
    <t>If you tried this product and it met your expectations for taste and effectiveness, how often could... (4)</t>
  </si>
  <si>
    <t>If you tried this product and it met your expectations for taste and effectiveness, how often could... (5)</t>
  </si>
  <si>
    <t>If you tried this product and it met your expectations for taste and effectiveness, how often could... (6)</t>
  </si>
  <si>
    <t>If you tried this product and it met your expectations for taste and effectiveness, how often could... (7)</t>
  </si>
  <si>
    <t>If you tried this product and it met your expectations for taste and effectiveness, which of the fol... (1)-Regular coffee or espresso, latte, cappuccino, etc (not decaffeinated)</t>
  </si>
  <si>
    <t>If you tried this product and it met your expectations for taste and effectiveness, which of the fol... (1)-Caffeinated soda (examples: Coke, Pepsi, Mountain Dew)</t>
  </si>
  <si>
    <t>If you tried this product and it met your expectations for taste and effectiveness, which of the fol... (1)-Any brand of caffeinated energy drink (examples: Monster, Rockstar, Red Bull)</t>
  </si>
  <si>
    <t>If you tried this product and it met your expectations for taste and effectiveness, which of the fol... (1)-Any brand of energy shots (example: 5-hr energy)</t>
  </si>
  <si>
    <t>If you tried this product and it met your expectations for taste and effectiveness, which of the fol... (1)-Any brand of energy bars (example: PowerBar, LunaBar, Clif Bar)</t>
  </si>
  <si>
    <t>If you tried this product and it met your expectations for taste and effectiveness, which of the fol... (2)-Regular coffee or espresso, latte, cappuccino, etc (not decaffeinated)</t>
  </si>
  <si>
    <t>If you tried this product and it met your expectations for taste and effectiveness, which of the fol... (2)-Caffeinated soda (examples: Coke, Pepsi, Mountain Dew)</t>
  </si>
  <si>
    <t>If you tried this product and it met your expectations for taste and effectiveness, which of the fol... (2)-Any brand of caffeinated energy drink (examples: Monster, Rockstar, Red Bull)</t>
  </si>
  <si>
    <t>If you tried this product and it met your expectations for taste and effectiveness, which of the fol... (2)-Any brand of energy shots (example: 5-hr energy)</t>
  </si>
  <si>
    <t>If you tried this product and it met your expectations for taste and effectiveness, which of the fol... (2)-Any brand of energy bars (example: PowerBar, LunaBar, Clif Bar)</t>
  </si>
  <si>
    <t>If you tried this product and it met your expectations for taste and effectiveness, which of the fol... (3)-Regular coffee or espresso, latte, cappuccino, etc (not decaffeinated)</t>
  </si>
  <si>
    <t>If you tried this product and it met your expectations for taste and effectiveness, which of the fol... (3)-Caffeinated soda (examples: Coke, Pepsi, Mountain Dew)</t>
  </si>
  <si>
    <t>If you tried this product and it met your expectations for taste and effectiveness, which of the fol... (3)-Any brand of caffeinated energy drink (examples: Monster, Rockstar, Red Bull)</t>
  </si>
  <si>
    <t>If you tried this product and it met your expectations for taste and effectiveness, which of the fol... (3)-Any brand of energy shots (example: 5-hr energy)</t>
  </si>
  <si>
    <t>If you tried this product and it met your expectations for taste and effectiveness, which of the fol... (3)-Any brand of energy bars (example: PowerBar, LunaBar, Clif Bar)</t>
  </si>
  <si>
    <t>If you tried this product and it met your expectations for taste and effectiveness, which of the fol... (4)-Regular coffee or espresso, latte, cappuccino, etc (not decaffeinated)</t>
  </si>
  <si>
    <t>If you tried this product and it met your expectations for taste and effectiveness, which of the fol... (4)-Caffeinated soda (examples: Coke, Pepsi, Mountain Dew)</t>
  </si>
  <si>
    <t>If you tried this product and it met your expectations for taste and effectiveness, which of the fol... (4)-Any brand of caffeinated energy drink (examples: Monster, Rockstar, Red Bull)</t>
  </si>
  <si>
    <t>If you tried this product and it met your expectations for taste and effectiveness, which of the fol... (4)-Any brand of energy shots (example: 5-hr energy)</t>
  </si>
  <si>
    <t>If you tried this product and it met your expectations for taste and effectiveness, which of the fol... (4)-Any brand of energy bars (example: PowerBar, LunaBar, Clif Bar)</t>
  </si>
  <si>
    <t>If you tried this product and it met your expectations for taste and effectiveness, which of the fol... (5)-Regular coffee or espresso, latte, cappuccino, etc (not decaffeinated)</t>
  </si>
  <si>
    <t>If you tried this product and it met your expectations for taste and effectiveness, which of the fol... (5)-Caffeinated soda (examples: Coke, Pepsi, Mountain Dew)</t>
  </si>
  <si>
    <t>If you tried this product and it met your expectations for taste and effectiveness, which of the fol... (5)-Any brand of caffeinated energy drink (examples: Monster, Rockstar, Red Bull)</t>
  </si>
  <si>
    <t>If you tried this product and it met your expectations for taste and effectiveness, which of the fol... (5)-Any brand of energy shots (example: 5-hr energy)</t>
  </si>
  <si>
    <t>If you tried this product and it met your expectations for taste and effectiveness, which of the fol... (5)-Any brand of energy bars (example: PowerBar, LunaBar, Clif Bar)</t>
  </si>
  <si>
    <t>If you tried this product and it met your expectations for taste and effectiveness, which of the fol... (6)-Regular coffee or espresso, latte, cappuccino, etc (not decaffeinated)</t>
  </si>
  <si>
    <t>If you tried this product and it met your expectations for taste and effectiveness, which of the fol... (6)-Caffeinated soda (examples: Coke, Pepsi, Mountain Dew)</t>
  </si>
  <si>
    <t>If you tried this product and it met your expectations for taste and effectiveness, which of the fol... (6)-Any brand of caffeinated energy drink (examples: Monster, Rockstar, Red Bull)</t>
  </si>
  <si>
    <t>If you tried this product and it met your expectations for taste and effectiveness, which of the fol... (6)-Any brand of energy shots (example: 5-hr energy)</t>
  </si>
  <si>
    <t>If you tried this product and it met your expectations for taste and effectiveness, which of the fol... (6)-Any brand of energy bars (example: PowerBar, LunaBar, Clif Bar)</t>
  </si>
  <si>
    <t>If you tried this product and it met your expectations for taste and effectiveness, which of the fol... (7)-Regular coffee or espresso, latte, cappuccino, etc (not decaffeinated)</t>
  </si>
  <si>
    <t>If you tried this product and it met your expectations for taste and effectiveness, which of the fol... (7)-Caffeinated soda (examples: Coke, Pepsi, Mountain Dew)</t>
  </si>
  <si>
    <t>If you tried this product and it met your expectations for taste and effectiveness, which of the fol... (7)-Any brand of caffeinated energy drink (examples: Monster, Rockstar, Red Bull)</t>
  </si>
  <si>
    <t>If you tried this product and it met your expectations for taste and effectiveness, which of the fol... (7)-Any brand of energy shots (example: 5-hr energy)</t>
  </si>
  <si>
    <t>If you tried this product and it met your expectations for taste and effectiveness, which of the fol... (7)-Any brand of energy bars (example: PowerBar, LunaBar, Clif Bar)</t>
  </si>
  <si>
    <t>R_1N3XDZzeYAGCpUg</t>
  </si>
  <si>
    <t>R_2hEs3JHZUXaaSYA</t>
  </si>
  <si>
    <t>R_38Jse9gTmty1CAI</t>
  </si>
  <si>
    <t>R_cYg4TVl3b3ixPOk</t>
  </si>
  <si>
    <t>R_5c0BDuZ4Tk7wbWc</t>
  </si>
  <si>
    <t>R_9QV62ZpbKRi2PE8</t>
  </si>
  <si>
    <t>R_6VF0PKQjBZfKr7S</t>
  </si>
  <si>
    <t>R_0P8INO0Tzq2zeQs</t>
  </si>
  <si>
    <t>R_81zLXDJMGXq9oFK</t>
  </si>
  <si>
    <t>R_3sLH9DHixuCE4u0</t>
  </si>
  <si>
    <t>R_8c8aknIt7HdgXbK</t>
  </si>
  <si>
    <t>R_e41NPQokSj4fakc</t>
  </si>
  <si>
    <t>R_b1xUJGNyS7QH1Xu</t>
  </si>
  <si>
    <t>R_2cvm1lfqDiLoOPy</t>
  </si>
  <si>
    <t>R_8DgeiQSH8BnWYPG</t>
  </si>
  <si>
    <t>R_24v5y5vg3k101rm</t>
  </si>
  <si>
    <t>R_3atYTE9YIuhdrUg</t>
  </si>
  <si>
    <t>R_0Ta2p5cLJGvqnNq</t>
  </si>
  <si>
    <t>R_5bvAqWlkXN1AhJW</t>
  </si>
  <si>
    <t>R_2bntE3vTTPKdH3S</t>
  </si>
  <si>
    <t>R_0Sxutiqb3QjcyZm</t>
  </si>
  <si>
    <t>R_8H24QRDoYeaDMTW</t>
  </si>
  <si>
    <t>R_8B7cJVT6LZHXbMM</t>
  </si>
  <si>
    <t>R_blwhb0d7OLziQPa</t>
  </si>
  <si>
    <t>R_5zI5C2Bd9JFIKVu</t>
  </si>
  <si>
    <t>R_b9hO3njrSa4FNuQ</t>
  </si>
  <si>
    <t>R_2tLzeYAyQ5chInq</t>
  </si>
  <si>
    <t>R_7agsNu1aZdY1cyM</t>
  </si>
  <si>
    <t>R_0fuAvuUUCSanXus</t>
  </si>
  <si>
    <t>R_8HszmdgxRevFzYU</t>
  </si>
  <si>
    <t>R_1Y3A7WrCN0C3x7S</t>
  </si>
  <si>
    <t>R_5BgcvkVoFdlOvNW</t>
  </si>
  <si>
    <t>R_8udbWXzDet0GKOg</t>
  </si>
  <si>
    <t>R_9pgVAOIS5RNdhic</t>
  </si>
  <si>
    <t>R_d3XRGmoTiF255Jy</t>
  </si>
  <si>
    <t>R_czLoMb4AAKU97GQ</t>
  </si>
  <si>
    <t>R_3gehWHoeFWMPLs8</t>
  </si>
  <si>
    <t>R_b2b1OI4mD4UlEhu</t>
  </si>
  <si>
    <t>R_6VUIhHJpkrRC9Du</t>
  </si>
  <si>
    <t>R_6MyPP6U8zBE80HG</t>
  </si>
  <si>
    <t>R_6RwhJiwW0fKQa1K</t>
  </si>
  <si>
    <t>R_8BpNCF6KBdP3m7O</t>
  </si>
  <si>
    <t>R_3sbA6J5E4f8yRU0</t>
  </si>
  <si>
    <t>R_bf79r4tXx4ndude</t>
  </si>
  <si>
    <t>R_1X1TsPn0lTbVmCw</t>
  </si>
  <si>
    <t>R_3VikZb29icPCvRy</t>
  </si>
  <si>
    <t>R_e5LkomApIs4Sitm</t>
  </si>
  <si>
    <t>R_eaH8EuQxXHrtrso</t>
  </si>
  <si>
    <t>R_cHfq2fHbMo6F0qg</t>
  </si>
  <si>
    <t>R_eIBW9Yii3HTXyeg</t>
  </si>
  <si>
    <t>R_bdcCo2wzvtmI8G8</t>
  </si>
  <si>
    <t>R_74mDVT83kC4s5UM</t>
  </si>
  <si>
    <t>R_cMkCzG4DamjfAqw</t>
  </si>
  <si>
    <t>R_bHj2OIkRe19SQ9S</t>
  </si>
  <si>
    <t>R_82NFNR0WWrE0Lzu</t>
  </si>
  <si>
    <t>R_esxLUjofDycprzm</t>
  </si>
  <si>
    <t>R_1zEbqCS23INKnvS</t>
  </si>
  <si>
    <t>R_cLRrEjkbHH11iUQ</t>
  </si>
  <si>
    <t>R_6wXzlxTfNSeumUs</t>
  </si>
  <si>
    <t>R_80L6qhXQLvfFm4s</t>
  </si>
  <si>
    <t>R_3RdepmZ1SgZPiuM</t>
  </si>
  <si>
    <t>R_aWexD1nQGXTdKp6</t>
  </si>
  <si>
    <t>R_06VgxzvQraMdZJ2</t>
  </si>
  <si>
    <t>R_9FFltFTXURLadWQ</t>
  </si>
  <si>
    <t>R_5t1UvoWhZ3rap7u</t>
  </si>
  <si>
    <t>R_ezAKae3yPze4afa</t>
  </si>
  <si>
    <t>R_b9kKAmvhhpyP3bm</t>
  </si>
  <si>
    <t>R_cIIlNTaBL37VVas</t>
  </si>
  <si>
    <t>R_e4AXBJ3ggQ1H7Ug</t>
  </si>
  <si>
    <t>R_enEvnNTbfaxLFUE</t>
  </si>
  <si>
    <t>R_864phvpmcd9bi0k</t>
  </si>
  <si>
    <t>R_4PCy0WvFyjBMBNi</t>
  </si>
  <si>
    <t>R_b10feHU6ZvTf3U0</t>
  </si>
  <si>
    <t>R_3POvwJStfLEFLM0</t>
  </si>
  <si>
    <t>R_8qAeuyTFks9UrQw</t>
  </si>
  <si>
    <t>R_5irZgmwUdqYvx6Q</t>
  </si>
  <si>
    <t>R_a027OiD81LmMu56</t>
  </si>
  <si>
    <t>R_5pCZUHY1zaSfIuo</t>
  </si>
  <si>
    <t>R_00O8YuoLCNshxCA</t>
  </si>
  <si>
    <t>R_dfZf0Goz3qOxjr6</t>
  </si>
  <si>
    <t>R_6J2J9DWFgn1qBuY</t>
  </si>
  <si>
    <t>R_8B57zcoKnlEbji4</t>
  </si>
  <si>
    <t>R_0x3BvWddMfjdcyw</t>
  </si>
  <si>
    <t>R_2hkw3NSScgVFB8E</t>
  </si>
  <si>
    <t>R_bI27yFNU2C7vXwg</t>
  </si>
  <si>
    <t>R_6DJswFlddUY8nKQ</t>
  </si>
  <si>
    <t>R_6L3eGi1u7io5508</t>
  </si>
  <si>
    <t>R_8HX9qQh2OBxDG2o</t>
  </si>
  <si>
    <t>R_a5xxjAz6XSKNbec</t>
  </si>
  <si>
    <t>R_1Zgz9bvERjY42e8</t>
  </si>
  <si>
    <t>R_eVPstF5xi7m5AoY</t>
  </si>
  <si>
    <t>R_2nx0Fbe6Ugd3e04</t>
  </si>
  <si>
    <t>R_2tU2uy4XHQXkAra</t>
  </si>
  <si>
    <t>R_czROXkZA5goPSsI</t>
  </si>
  <si>
    <t>R_eevGdaukcGRcx36</t>
  </si>
  <si>
    <t>R_bawdK5I4Cs5sQIc</t>
  </si>
  <si>
    <t>R_3qOi0AfW6wCZjQo</t>
  </si>
  <si>
    <t>R_d70ASQYaSttavJO</t>
  </si>
  <si>
    <t>R_0jPzFwj4JrKKdCY</t>
  </si>
  <si>
    <t>R_d4NoisYdAoF2ZBa</t>
  </si>
  <si>
    <t>R_77X2VAqww4Tp1s0</t>
  </si>
  <si>
    <t>R_bNHqRWLdOkEwc3a</t>
  </si>
  <si>
    <t>R_0epDpaTVxgFwAFC</t>
  </si>
  <si>
    <t>R_6XVBRIvEaZx84Sw</t>
  </si>
  <si>
    <t>R_3W9XEbBEWQjWjKA</t>
  </si>
  <si>
    <t>R_291oJLRttSa66uE</t>
  </si>
  <si>
    <t>R_9WuxFw6R4KKNE56</t>
  </si>
  <si>
    <t>R_0qCjfd73gqmseFe</t>
  </si>
  <si>
    <t>R_cUYsP7IxAST4HxW</t>
  </si>
  <si>
    <t>R_1NA8Sl16UkNjFqc</t>
  </si>
  <si>
    <t>R_ebOUtv1eT91Vq2E</t>
  </si>
  <si>
    <t>R_a986RCZ8OoAtOug</t>
  </si>
  <si>
    <t>R_9treiOri67f72HG</t>
  </si>
  <si>
    <t>R_7QYlHE57IkUzaCM</t>
  </si>
  <si>
    <t>R_3UZkukTCwax3znu</t>
  </si>
  <si>
    <t>R_5zJylbBuLqE6aFe</t>
  </si>
  <si>
    <t>R_ePVTJyPrMhG698g</t>
  </si>
  <si>
    <t>R_aV7KpWXgDms8au8</t>
  </si>
  <si>
    <t>R_6FsGl1z2gF2B3ta</t>
  </si>
  <si>
    <t>R_bdsv5Zn4Ulk8hGA</t>
  </si>
  <si>
    <t>R_9FhttXpZmn5OtDK</t>
  </si>
  <si>
    <t>R_8ifDrAk9rUU5wIQ</t>
  </si>
  <si>
    <t>R_5pW1I9P2Qmu71Bi</t>
  </si>
  <si>
    <t>R_bBDAihFpwSzZP0w</t>
  </si>
  <si>
    <t>R_bvElC0HiBE6hkeE</t>
  </si>
  <si>
    <t>R_5aPjJhwQEjKbqL2</t>
  </si>
  <si>
    <t>R_bJVI898wPa1eR8g</t>
  </si>
  <si>
    <t>R_3PHfhGyp7KdjegA</t>
  </si>
  <si>
    <t>R_2laPrFYGvYVtGuw</t>
  </si>
  <si>
    <t>R_9yOCAZMKKmJFGVS</t>
  </si>
  <si>
    <t>R_1GhiLP3NoBXsXXe</t>
  </si>
  <si>
    <t>R_0d2n33Qs2deKxBG</t>
  </si>
  <si>
    <t>R_e9u6cYN1Zy7YTBi</t>
  </si>
  <si>
    <t>R_9pNFIbalbkjH35q</t>
  </si>
  <si>
    <t>R_6L38v6AyBOP2uuo</t>
  </si>
  <si>
    <t>R_cSmbUKOUcqKTjMw</t>
  </si>
  <si>
    <t>R_cYM8umBzQs6rXDe</t>
  </si>
  <si>
    <t>R_0roEQqF3dEUD3bS</t>
  </si>
  <si>
    <t>R_6ExAmbnXeLA4Kck</t>
  </si>
  <si>
    <t>R_7UkPyCGhS3M0zEo</t>
  </si>
  <si>
    <t>R_6VbgOBkZCrh8oFS</t>
  </si>
  <si>
    <t>R_554amT6gLrJn31O</t>
  </si>
  <si>
    <t>R_bNHCcEhS1DLYeOM</t>
  </si>
  <si>
    <t>R_4TaaClNGEQOwYi8</t>
  </si>
  <si>
    <t>R_6mcDwONpiGXq7tO</t>
  </si>
  <si>
    <t>R_40HI99JZAFdNVXu</t>
  </si>
  <si>
    <t>R_0e0sxaucmV8dH7u</t>
  </si>
  <si>
    <t>R_38cJSy405X3R9qs</t>
  </si>
  <si>
    <t>R_8bRFlkMzBEsuiBC</t>
  </si>
  <si>
    <t>R_7VSQFKreAYzM8HW</t>
  </si>
  <si>
    <t xml:space="preserve">Score </t>
  </si>
  <si>
    <t>Weight</t>
  </si>
  <si>
    <t>Product</t>
  </si>
  <si>
    <t>Sum of (entries*weight)</t>
  </si>
  <si>
    <t>Sum of all weights</t>
  </si>
  <si>
    <t>Weighted mean</t>
  </si>
  <si>
    <t>#s</t>
  </si>
  <si>
    <t>Average</t>
  </si>
  <si>
    <t>#'s</t>
  </si>
  <si>
    <t>Frequency</t>
  </si>
  <si>
    <t>Total</t>
  </si>
  <si>
    <t>#</t>
  </si>
  <si>
    <t>Concept Name</t>
  </si>
  <si>
    <t>Average Purchase Intent</t>
  </si>
  <si>
    <t>Number of Responses</t>
  </si>
  <si>
    <t>Caffeinated chocolate bar</t>
  </si>
  <si>
    <t>Caffeinated cookies</t>
  </si>
  <si>
    <t>Caffeinated chocolates</t>
  </si>
  <si>
    <t>Caffeinated potato chips</t>
  </si>
  <si>
    <t>Caffeinated water</t>
  </si>
  <si>
    <t>Caffeinated cereal/granola</t>
  </si>
  <si>
    <t>Caffeinated hamburger meat</t>
  </si>
  <si>
    <t>Definitley would not</t>
  </si>
  <si>
    <t>Probably would not</t>
  </si>
  <si>
    <t>might or might not</t>
  </si>
  <si>
    <t>Probably would</t>
  </si>
  <si>
    <t xml:space="preserve">Definitley would </t>
  </si>
  <si>
    <t>Purchase Intent</t>
  </si>
  <si>
    <t>Distrbution of Responses</t>
  </si>
  <si>
    <t>%1s</t>
  </si>
  <si>
    <t>%2s</t>
  </si>
  <si>
    <t>%3s</t>
  </si>
  <si>
    <t>%4s</t>
  </si>
  <si>
    <t>%5s</t>
  </si>
  <si>
    <t>Top 2 Box</t>
  </si>
  <si>
    <t>Purch Prob</t>
  </si>
  <si>
    <t xml:space="preserve">Probaility </t>
  </si>
  <si>
    <t xml:space="preserve">Other purch prob </t>
  </si>
  <si>
    <t>Once a Month or less often</t>
  </si>
  <si>
    <t>More than once a month, but less than once a week</t>
  </si>
  <si>
    <t>Estimated Annual Usage</t>
  </si>
  <si>
    <t>Number of responses</t>
  </si>
  <si>
    <t>Estimated annual usage</t>
  </si>
  <si>
    <t>Uniqueness</t>
  </si>
  <si>
    <t>Age LB</t>
  </si>
  <si>
    <t>Age UB</t>
  </si>
  <si>
    <t>EMP LB</t>
  </si>
  <si>
    <t>EMP UB</t>
  </si>
  <si>
    <t>&gt;=1</t>
  </si>
  <si>
    <t>&lt;=3</t>
  </si>
  <si>
    <t>&lt;=1</t>
  </si>
  <si>
    <t>Part 3 Question 3</t>
  </si>
  <si>
    <t>Filters</t>
  </si>
  <si>
    <t>Gender</t>
  </si>
  <si>
    <t>Employment</t>
  </si>
  <si>
    <t>Low Quality</t>
  </si>
  <si>
    <t>Criteria for count</t>
  </si>
  <si>
    <t>&gt;=0</t>
  </si>
  <si>
    <t>&lt;=5</t>
  </si>
  <si>
    <t>Low Quality responses</t>
  </si>
  <si>
    <t>&gt;=2</t>
  </si>
  <si>
    <t>Failure to answer all 21</t>
  </si>
  <si>
    <t>&gt;0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</si>
</sst>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_(* #,##0.0000_);_(* \(#,##0.0000\);_(* &quot;-&quot;??_);_(@_)"/>
    <numFmt numFmtId="166" formatCode="_(* #,##0_);_(* \(#,##0\);_(* &quot;-&quot;??_);_(@_)"/>
  </numFmts>
  <fonts count="4">
    <font>
      <sz val="12"/>
      <color theme="1"/>
      <name val="TimesNewRomanPSMT"/>
      <family val="2"/>
    </font>
    <font>
      <sz val="11"/>
      <color theme="1"/>
      <name val="Calibri"/>
      <family val="2"/>
      <scheme val="minor"/>
    </font>
    <font>
      <sz val="12"/>
      <color theme="1"/>
      <name val="Times New Roman"/>
      <family val="1"/>
    </font>
    <font>
      <sz val="12"/>
      <color theme="1"/>
      <name val="TimesNewRomanPSMT"/>
      <family val="2"/>
    </font>
  </fonts>
  <fills count="5">
    <fill>
      <patternFill patternType="none"/>
    </fill>
    <fill>
      <patternFill patternType="gray125"/>
    </fill>
    <fill>
      <patternFill patternType="solid">
        <fgColor theme="9" tint="0.39997558519241921"/>
        <bgColor indexed="64"/>
      </patternFill>
    </fill>
    <fill>
      <patternFill patternType="solid">
        <fgColor theme="8" tint="0.39997558519241921"/>
        <bgColor indexed="64"/>
      </patternFill>
    </fill>
    <fill>
      <patternFill patternType="solid">
        <fgColor theme="7" tint="0.39997558519241921"/>
        <bgColor indexed="64"/>
      </patternFill>
    </fill>
  </fills>
  <borders count="1">
    <border>
      <left/>
      <right/>
      <top/>
      <bottom/>
      <diagonal/>
    </border>
  </borders>
  <cellStyleXfs count="4">
    <xf numFmtId="0" fontId="0" fillId="0" borderId="0"/>
    <xf numFmtId="0" fontId="1" fillId="0" borderId="0"/>
    <xf numFmtId="9" fontId="3" fillId="0" borderId="0" applyFont="0" applyFill="0" applyBorder="0" applyAlignment="0" applyProtection="0"/>
    <xf numFmtId="43" fontId="3" fillId="0" borderId="0" applyFont="0" applyFill="0" applyBorder="0" applyAlignment="0" applyProtection="0"/>
  </cellStyleXfs>
  <cellXfs count="17">
    <xf numFmtId="0" fontId="0" fillId="0" borderId="0" xfId="0"/>
    <xf numFmtId="0" fontId="1" fillId="0" borderId="0" xfId="1"/>
    <xf numFmtId="0" fontId="2" fillId="0" borderId="0" xfId="1" applyFont="1"/>
    <xf numFmtId="0" fontId="2" fillId="0" borderId="0" xfId="1" applyFont="1" applyAlignment="1">
      <alignment wrapText="1"/>
    </xf>
    <xf numFmtId="0" fontId="2" fillId="0" borderId="0" xfId="1" applyFont="1" applyAlignment="1">
      <alignment horizontal="center"/>
    </xf>
    <xf numFmtId="0" fontId="0" fillId="0" borderId="0" xfId="0" applyAlignment="1">
      <alignment wrapText="1"/>
    </xf>
    <xf numFmtId="0" fontId="0" fillId="0" borderId="0" xfId="0" applyAlignment="1">
      <alignment horizontal="center"/>
    </xf>
    <xf numFmtId="164" fontId="0" fillId="0" borderId="0" xfId="0" applyNumberFormat="1"/>
    <xf numFmtId="10" fontId="0" fillId="0" borderId="0" xfId="2" applyNumberFormat="1" applyFont="1"/>
    <xf numFmtId="9" fontId="0" fillId="0" borderId="0" xfId="0" applyNumberFormat="1"/>
    <xf numFmtId="0" fontId="0" fillId="0" borderId="0" xfId="0" applyAlignment="1">
      <alignment horizontal="center" wrapText="1"/>
    </xf>
    <xf numFmtId="165" fontId="0" fillId="0" borderId="0" xfId="3" applyNumberFormat="1" applyFont="1"/>
    <xf numFmtId="166" fontId="0" fillId="0" borderId="0" xfId="3" applyNumberFormat="1" applyFont="1"/>
    <xf numFmtId="0" fontId="0" fillId="0" borderId="0" xfId="0" applyAlignment="1">
      <alignment horizontal="center"/>
    </xf>
    <xf numFmtId="0" fontId="0" fillId="4" borderId="0" xfId="0" applyFill="1" applyAlignment="1">
      <alignment horizontal="center" wrapText="1"/>
    </xf>
    <xf numFmtId="0" fontId="0" fillId="2" borderId="0" xfId="0" applyFill="1" applyAlignment="1">
      <alignment horizontal="center"/>
    </xf>
    <xf numFmtId="0" fontId="0" fillId="3" borderId="0" xfId="0" applyFill="1" applyAlignment="1">
      <alignment horizontal="center"/>
    </xf>
  </cellXfs>
  <cellStyles count="4">
    <cellStyle name="Comma" xfId="3" builtinId="3"/>
    <cellStyle name="Normal" xfId="0" builtinId="0"/>
    <cellStyle name="Normal 2" xfId="1" xr:uid="{00000000-0005-0000-0000-000001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152"/>
  <sheetViews>
    <sheetView workbookViewId="0">
      <selection activeCell="B11" sqref="B11"/>
    </sheetView>
  </sheetViews>
  <sheetFormatPr defaultColWidth="8.77734375" defaultRowHeight="15"/>
  <cols>
    <col min="1" max="1" width="8.77734375" style="1" customWidth="1"/>
    <col min="2" max="2" width="32.109375" style="1" customWidth="1"/>
    <col min="3" max="3" width="127" style="1" customWidth="1"/>
    <col min="4" max="4" width="8.77734375" style="1" customWidth="1"/>
    <col min="5" max="16384" width="8.77734375" style="1"/>
  </cols>
  <sheetData>
    <row r="1" spans="1:70" ht="51" customHeight="1">
      <c r="A1" s="2">
        <v>1</v>
      </c>
      <c r="B1" s="2" t="s">
        <v>0</v>
      </c>
      <c r="C1" s="3" t="s">
        <v>1</v>
      </c>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row>
    <row r="2" spans="1:70" ht="33.950000000000003" customHeight="1">
      <c r="A2" s="2">
        <v>2</v>
      </c>
      <c r="B2" s="2" t="s">
        <v>2</v>
      </c>
      <c r="C2" s="3" t="s">
        <v>3</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row>
    <row r="3" spans="1:70" ht="32.1" customHeight="1">
      <c r="A3" s="2">
        <v>3</v>
      </c>
      <c r="B3" s="2" t="s">
        <v>4</v>
      </c>
      <c r="C3" s="3" t="s">
        <v>5</v>
      </c>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row>
    <row r="4" spans="1:70" ht="51" customHeight="1">
      <c r="A4" s="2">
        <v>4</v>
      </c>
      <c r="B4" s="2" t="s">
        <v>6</v>
      </c>
      <c r="C4" s="3" t="s">
        <v>7</v>
      </c>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row>
    <row r="5" spans="1:70" ht="33.950000000000003" customHeight="1">
      <c r="A5" s="2">
        <v>5</v>
      </c>
      <c r="B5" s="2" t="s">
        <v>8</v>
      </c>
      <c r="C5" s="3" t="s">
        <v>9</v>
      </c>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row>
    <row r="6" spans="1:70" ht="33.950000000000003" customHeight="1">
      <c r="A6" s="2">
        <v>6</v>
      </c>
      <c r="B6" s="2" t="s">
        <v>10</v>
      </c>
      <c r="C6" s="3" t="s">
        <v>11</v>
      </c>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row>
    <row r="7" spans="1:70" ht="33.950000000000003" customHeight="1">
      <c r="A7" s="2">
        <v>7</v>
      </c>
      <c r="B7" s="2" t="s">
        <v>12</v>
      </c>
      <c r="C7" s="3" t="s">
        <v>13</v>
      </c>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row>
    <row r="8" spans="1:70" ht="15.95" customHeight="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row>
    <row r="9" spans="1:70" ht="15.95" customHeight="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row>
    <row r="10" spans="1:70" ht="15.95"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row>
    <row r="11" spans="1:70" ht="15.95" customHeight="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row>
    <row r="12" spans="1:70" ht="15.9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row>
    <row r="13" spans="1:70" ht="15.95" customHeight="1">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row>
    <row r="14" spans="1:70" ht="15.9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row>
    <row r="15" spans="1:70" ht="15.95" customHeight="1">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row>
    <row r="16" spans="1:70" ht="15.95"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row>
    <row r="17" spans="1:70" ht="15.9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row>
    <row r="18" spans="1:70" ht="15.95"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row>
    <row r="19" spans="1:70" ht="15.9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row>
    <row r="20" spans="1:70" ht="15.95"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row>
    <row r="21" spans="1:70" ht="15.9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row>
    <row r="22" spans="1:70" ht="15.9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row>
    <row r="23" spans="1:70" ht="15.9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row>
    <row r="24" spans="1:70" ht="15.9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row>
    <row r="25" spans="1:70" ht="15.9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row>
    <row r="26" spans="1:70" ht="15.9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row>
    <row r="27" spans="1:70" ht="15.9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row>
    <row r="28" spans="1:70" ht="15.9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row>
    <row r="29" spans="1:70" ht="15.9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row>
    <row r="30" spans="1:70" ht="15.9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row>
    <row r="31" spans="1:70" ht="15.9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row>
    <row r="32" spans="1:70" ht="15.9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row>
    <row r="33" spans="1:70" ht="15.9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row>
    <row r="34" spans="1:70" ht="15.9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row>
    <row r="35" spans="1:70" ht="15.9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row>
    <row r="36" spans="1:70" ht="15.9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row>
    <row r="37" spans="1:70" ht="15.9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row>
    <row r="38" spans="1:70" ht="15.9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row>
    <row r="39" spans="1:70" ht="15.9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row>
    <row r="40" spans="1:70" ht="15.9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row>
    <row r="41" spans="1:70" ht="15.9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row>
    <row r="42" spans="1:70" ht="15.9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row>
    <row r="43" spans="1:70" ht="15.9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row>
    <row r="44" spans="1:70" ht="15.9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row>
    <row r="45" spans="1:70" ht="15.9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row>
    <row r="46" spans="1:70" ht="15.9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row>
    <row r="47" spans="1:70" ht="15.9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row>
    <row r="48" spans="1:70" ht="15.9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row>
    <row r="49" spans="1:70" ht="15.9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row>
    <row r="50" spans="1:70" ht="15.9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row>
    <row r="51" spans="1:70" ht="15.9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row>
    <row r="52" spans="1:70" ht="15.9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row>
    <row r="53" spans="1:70" ht="15.9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row>
    <row r="54" spans="1:70" ht="15.9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row>
    <row r="55" spans="1:70" ht="15.9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row>
    <row r="56" spans="1:70" ht="15.9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row>
    <row r="57" spans="1:70" ht="15.9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row>
    <row r="58" spans="1:70" ht="15.9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row>
    <row r="59" spans="1:70" ht="15.9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row>
    <row r="60" spans="1:70" ht="15.9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row>
    <row r="61" spans="1:70" ht="15.9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row>
    <row r="62" spans="1:70" ht="15.9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row>
    <row r="63" spans="1:70" ht="15.9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row>
    <row r="64" spans="1:70" ht="15.9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row>
    <row r="65" spans="1:70" ht="15.9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row>
    <row r="66" spans="1:70" ht="15.9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row>
    <row r="67" spans="1:70" ht="15.9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row>
    <row r="68" spans="1:70" ht="15.9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row>
    <row r="69" spans="1:70" ht="15.9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row>
    <row r="70" spans="1:70" ht="15.9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row>
    <row r="71" spans="1:70" ht="15.9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row>
    <row r="72" spans="1:70" ht="15.9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row>
    <row r="73" spans="1:70" ht="15.9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row>
    <row r="74" spans="1:70" ht="15.9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row>
    <row r="75" spans="1:70" ht="15.9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row>
    <row r="76" spans="1:70" ht="15.9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row>
    <row r="77" spans="1:70" ht="15.9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row>
    <row r="78" spans="1:70" ht="15.9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row>
    <row r="79" spans="1:70" ht="15.9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row>
    <row r="80" spans="1:70" ht="15.9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row>
    <row r="81" spans="1:70" ht="15.9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row>
    <row r="82" spans="1:70" ht="15.9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row>
    <row r="83" spans="1:70" ht="15.9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row>
    <row r="84" spans="1:70" ht="15.9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row>
    <row r="85" spans="1:70" ht="15.9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row>
    <row r="86" spans="1:70" ht="15.9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row>
    <row r="87" spans="1:70" ht="15.9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row>
    <row r="88" spans="1:70" ht="15.9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row>
    <row r="89" spans="1:70" ht="15.9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row>
    <row r="90" spans="1:70" ht="15.9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row>
    <row r="91" spans="1:70" ht="15.9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row>
    <row r="92" spans="1:70" ht="15.9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row>
    <row r="93" spans="1:70" ht="15.9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row>
    <row r="94" spans="1:70" ht="15.9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row>
    <row r="95" spans="1:70" ht="15.9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row>
    <row r="96" spans="1:70" ht="15.9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row>
    <row r="97" spans="1:70" ht="15.9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row>
    <row r="98" spans="1:70" ht="15.9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row>
    <row r="99" spans="1:70" ht="15.9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row>
    <row r="100" spans="1:70" ht="15.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row>
    <row r="101" spans="1:70" ht="15.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row>
    <row r="102" spans="1:70" ht="15.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row>
    <row r="103" spans="1:70" ht="15.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row>
    <row r="104" spans="1:70" ht="15.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row>
    <row r="105" spans="1:70" ht="15.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row>
    <row r="106" spans="1:70" ht="15.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row>
    <row r="107" spans="1:70" ht="15.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row>
    <row r="108" spans="1:70" ht="15.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row>
    <row r="109" spans="1:70" ht="15.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row>
    <row r="110" spans="1:70" ht="15.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row>
    <row r="111" spans="1:70" ht="15.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row>
    <row r="112" spans="1:70" ht="15.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row>
    <row r="113" spans="1:70" ht="15.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row>
    <row r="114" spans="1:70" ht="15.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row>
    <row r="115" spans="1:70" ht="15.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row>
    <row r="116" spans="1:70" ht="15.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row>
    <row r="117" spans="1:70" ht="15.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row>
    <row r="118" spans="1:70" ht="15.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row>
    <row r="119" spans="1:70" ht="15.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row>
    <row r="120" spans="1:70" ht="15.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row>
    <row r="121" spans="1:70" ht="15.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row>
    <row r="122" spans="1:70" ht="15.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row>
    <row r="123" spans="1:70" ht="15.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row>
    <row r="124" spans="1:70" ht="15.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row>
    <row r="125" spans="1:70" ht="15.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row>
    <row r="126" spans="1:70" ht="15.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row>
    <row r="127" spans="1:70" ht="15.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row>
    <row r="128" spans="1:70" ht="15.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row>
    <row r="129" spans="1:70" ht="15.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row>
    <row r="130" spans="1:70" ht="15.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row>
    <row r="131" spans="1:70" ht="15.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row>
    <row r="132" spans="1:70" ht="15.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row>
    <row r="133" spans="1:70" ht="15.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row>
    <row r="134" spans="1:70" ht="15.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row>
    <row r="135" spans="1:70" ht="15.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row>
    <row r="136" spans="1:70" ht="15.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row>
    <row r="137" spans="1:70" ht="15.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row>
    <row r="138" spans="1:70" ht="15.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row>
    <row r="139" spans="1:70" ht="15.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row>
    <row r="140" spans="1:70" ht="15.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row>
    <row r="141" spans="1:70" ht="15.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row>
    <row r="142" spans="1:70" ht="15.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row>
    <row r="143" spans="1:70" ht="15.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row>
    <row r="144" spans="1:70" ht="15.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row>
    <row r="145" spans="1:70" ht="15.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row>
    <row r="146" spans="1:70" ht="15.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row>
    <row r="147" spans="1:70" ht="15.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row>
    <row r="148" spans="1:70" ht="15.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row>
    <row r="149" spans="1:70" ht="15.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row>
    <row r="150" spans="1:70" ht="15.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row>
    <row r="151" spans="1:70" ht="15.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row>
    <row r="152" spans="1:70" ht="15.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DC61-87AF-4F4A-BF9E-C8617F70A0DA}">
  <dimension ref="A1:P142"/>
  <sheetViews>
    <sheetView tabSelected="1" topLeftCell="A48" workbookViewId="0">
      <selection activeCell="C92" sqref="C92"/>
    </sheetView>
  </sheetViews>
  <sheetFormatPr defaultRowHeight="15"/>
  <cols>
    <col min="1" max="1" width="9" customWidth="1"/>
    <col min="2" max="2" width="16" customWidth="1"/>
    <col min="6" max="6" width="9.5546875" bestFit="1" customWidth="1"/>
    <col min="9" max="9" width="9.44140625" bestFit="1" customWidth="1"/>
  </cols>
  <sheetData>
    <row r="1" spans="1:16">
      <c r="A1" t="s">
        <v>337</v>
      </c>
      <c r="B1" t="s">
        <v>338</v>
      </c>
      <c r="C1" t="s">
        <v>339</v>
      </c>
      <c r="E1" t="s">
        <v>343</v>
      </c>
      <c r="F1" t="s">
        <v>344</v>
      </c>
      <c r="G1" t="s">
        <v>345</v>
      </c>
      <c r="H1" t="s">
        <v>344</v>
      </c>
      <c r="J1" t="s">
        <v>345</v>
      </c>
      <c r="K1" t="s">
        <v>346</v>
      </c>
      <c r="L1" t="s">
        <v>347</v>
      </c>
      <c r="M1" t="s">
        <v>344</v>
      </c>
    </row>
    <row r="2" spans="1:16">
      <c r="A2">
        <v>75</v>
      </c>
      <c r="B2">
        <v>0.25</v>
      </c>
      <c r="C2">
        <f>A2*B2</f>
        <v>18.75</v>
      </c>
      <c r="E2">
        <v>227</v>
      </c>
      <c r="F2">
        <f>(E2+E3+E4+E5+E6+E7)/6</f>
        <v>282.33333333333331</v>
      </c>
      <c r="G2">
        <v>71</v>
      </c>
      <c r="H2">
        <f>(G2+G3+G4+G5)/4</f>
        <v>74</v>
      </c>
      <c r="J2">
        <v>12</v>
      </c>
      <c r="K2">
        <v>10</v>
      </c>
      <c r="L2">
        <f>J2*K2</f>
        <v>120</v>
      </c>
      <c r="M2">
        <f>(L2+L3+L4+L5+L6+L7+L8)/M3</f>
        <v>15.28695652173913</v>
      </c>
    </row>
    <row r="3" spans="1:16">
      <c r="A3">
        <v>90</v>
      </c>
      <c r="B3">
        <v>0.2</v>
      </c>
      <c r="C3">
        <f t="shared" ref="C3:C5" si="0">A3*B3</f>
        <v>18</v>
      </c>
      <c r="E3">
        <v>341</v>
      </c>
      <c r="G3">
        <v>69</v>
      </c>
      <c r="J3">
        <v>13</v>
      </c>
      <c r="K3">
        <v>17</v>
      </c>
      <c r="L3">
        <f t="shared" ref="L3:L8" si="1">J3*K3</f>
        <v>221</v>
      </c>
      <c r="M3">
        <f>SUM(K2:K8)</f>
        <v>115</v>
      </c>
    </row>
    <row r="4" spans="1:16">
      <c r="A4">
        <v>93</v>
      </c>
      <c r="B4">
        <v>0.13</v>
      </c>
      <c r="C4">
        <f t="shared" si="0"/>
        <v>12.09</v>
      </c>
      <c r="E4">
        <v>168</v>
      </c>
      <c r="G4">
        <v>71</v>
      </c>
      <c r="J4">
        <v>14</v>
      </c>
      <c r="K4">
        <v>14</v>
      </c>
      <c r="L4">
        <f t="shared" si="1"/>
        <v>196</v>
      </c>
    </row>
    <row r="5" spans="1:16">
      <c r="A5">
        <v>62.285714285714292</v>
      </c>
      <c r="B5">
        <v>0.42</v>
      </c>
      <c r="C5">
        <f t="shared" si="0"/>
        <v>26.16</v>
      </c>
      <c r="E5">
        <v>500</v>
      </c>
      <c r="G5">
        <v>85</v>
      </c>
      <c r="J5">
        <v>15</v>
      </c>
      <c r="K5">
        <v>15</v>
      </c>
      <c r="L5">
        <f t="shared" si="1"/>
        <v>225</v>
      </c>
    </row>
    <row r="6" spans="1:16">
      <c r="E6">
        <v>182</v>
      </c>
      <c r="J6">
        <v>16</v>
      </c>
      <c r="K6">
        <v>22</v>
      </c>
      <c r="L6">
        <f t="shared" si="1"/>
        <v>352</v>
      </c>
    </row>
    <row r="7" spans="1:16" ht="45">
      <c r="A7" s="5" t="s">
        <v>340</v>
      </c>
      <c r="B7">
        <f>C2+C3+C4+C5</f>
        <v>75</v>
      </c>
      <c r="E7">
        <v>276</v>
      </c>
      <c r="J7">
        <v>17</v>
      </c>
      <c r="K7">
        <v>22</v>
      </c>
      <c r="L7">
        <f t="shared" si="1"/>
        <v>374</v>
      </c>
    </row>
    <row r="8" spans="1:16" ht="30">
      <c r="A8" s="5" t="s">
        <v>341</v>
      </c>
      <c r="B8">
        <f>B2+B3+B4+B5</f>
        <v>1</v>
      </c>
      <c r="J8">
        <v>18</v>
      </c>
      <c r="K8">
        <v>15</v>
      </c>
      <c r="L8">
        <f t="shared" si="1"/>
        <v>270</v>
      </c>
    </row>
    <row r="9" spans="1:16" ht="30">
      <c r="A9" s="5" t="s">
        <v>342</v>
      </c>
      <c r="B9">
        <v>80.599999999999994</v>
      </c>
    </row>
    <row r="11" spans="1:16" ht="30" customHeight="1">
      <c r="A11" s="14" t="s">
        <v>364</v>
      </c>
      <c r="B11" s="14"/>
      <c r="C11" s="14"/>
      <c r="D11" s="14"/>
      <c r="E11" s="14"/>
      <c r="F11" s="14"/>
      <c r="G11" s="14"/>
      <c r="H11" s="14"/>
      <c r="I11" s="14"/>
    </row>
    <row r="12" spans="1:16" ht="30">
      <c r="C12" s="5" t="s">
        <v>359</v>
      </c>
      <c r="D12" s="5" t="s">
        <v>360</v>
      </c>
      <c r="E12" s="5" t="s">
        <v>361</v>
      </c>
      <c r="F12" s="5" t="s">
        <v>362</v>
      </c>
      <c r="G12" s="5" t="s">
        <v>363</v>
      </c>
      <c r="K12" t="s">
        <v>389</v>
      </c>
      <c r="L12" t="s">
        <v>390</v>
      </c>
      <c r="M12" t="s">
        <v>381</v>
      </c>
      <c r="N12" t="s">
        <v>382</v>
      </c>
      <c r="O12" s="10" t="s">
        <v>391</v>
      </c>
      <c r="P12" s="5" t="s">
        <v>392</v>
      </c>
    </row>
    <row r="13" spans="1:16" ht="60">
      <c r="A13" t="s">
        <v>348</v>
      </c>
      <c r="B13" s="5" t="s">
        <v>349</v>
      </c>
      <c r="C13" s="5">
        <v>1</v>
      </c>
      <c r="D13" s="5">
        <v>2</v>
      </c>
      <c r="E13">
        <v>3</v>
      </c>
      <c r="F13" s="5">
        <v>4</v>
      </c>
      <c r="G13" s="5">
        <v>5</v>
      </c>
      <c r="H13" s="5" t="s">
        <v>351</v>
      </c>
      <c r="I13" s="5" t="s">
        <v>350</v>
      </c>
    </row>
    <row r="14" spans="1:16" ht="30">
      <c r="A14">
        <v>1</v>
      </c>
      <c r="B14" s="5" t="s">
        <v>352</v>
      </c>
      <c r="C14">
        <f>COUNTIFS(DataT!12:12,C$13)</f>
        <v>37</v>
      </c>
      <c r="D14">
        <f>COUNTIFS(DataT!12:12,D$13)</f>
        <v>33</v>
      </c>
      <c r="E14">
        <f>COUNTIFS(DataT!12:12,E$13)</f>
        <v>41</v>
      </c>
      <c r="F14">
        <f>COUNTIFS(DataT!12:12,F$13)</f>
        <v>23</v>
      </c>
      <c r="G14">
        <f>COUNTIFS(DataT!12:12,G$13)</f>
        <v>6</v>
      </c>
      <c r="H14">
        <f>SUM(C14:G14)</f>
        <v>140</v>
      </c>
      <c r="I14" s="7">
        <f>((C$13*C14)+(D$13*D14)+(E$13*E14)+(F$13*F14)+(G$13*G14))/H14</f>
        <v>2.4857142857142858</v>
      </c>
      <c r="K14" s="5" t="s">
        <v>393</v>
      </c>
      <c r="L14" t="s">
        <v>394</v>
      </c>
      <c r="M14">
        <v>0</v>
      </c>
      <c r="N14">
        <v>8</v>
      </c>
      <c r="O14" t="s">
        <v>394</v>
      </c>
      <c r="P14" t="s">
        <v>394</v>
      </c>
    </row>
    <row r="15" spans="1:16">
      <c r="A15">
        <v>2</v>
      </c>
      <c r="B15" t="s">
        <v>353</v>
      </c>
      <c r="C15">
        <f>COUNTIFS(DataT!13:13,C$13)</f>
        <v>60</v>
      </c>
      <c r="D15">
        <f>COUNTIFS(DataT!13:13,D$13)</f>
        <v>51</v>
      </c>
      <c r="E15">
        <f>COUNTIFS(DataT!13:13,E$13)</f>
        <v>22</v>
      </c>
      <c r="F15">
        <f>COUNTIFS(DataT!13:13,F$13)</f>
        <v>7</v>
      </c>
      <c r="G15">
        <f>COUNTIFS(DataT!13:13,G$13)</f>
        <v>2</v>
      </c>
      <c r="H15">
        <f t="shared" ref="H15:H20" si="2">SUM(C15:G15)</f>
        <v>142</v>
      </c>
      <c r="I15" s="7">
        <f t="shared" ref="I15:I20" si="3">((C$13*C15)+(D$13*D15)+(E$13*E15)+(F$13*F15)+(G$13*G15))/H15</f>
        <v>1.8732394366197183</v>
      </c>
    </row>
    <row r="16" spans="1:16" ht="30">
      <c r="A16">
        <v>3</v>
      </c>
      <c r="B16" s="5" t="s">
        <v>354</v>
      </c>
      <c r="C16">
        <f>COUNTIFS(DataT!14:14,C$13)</f>
        <v>30</v>
      </c>
      <c r="D16">
        <f>COUNTIFS(DataT!14:14,D$13)</f>
        <v>41</v>
      </c>
      <c r="E16">
        <f>COUNTIFS(DataT!14:14,E$13)</f>
        <v>38</v>
      </c>
      <c r="F16">
        <f>COUNTIFS(DataT!14:14,F$13)</f>
        <v>22</v>
      </c>
      <c r="G16">
        <f>COUNTIFS(DataT!14:14,G$13)</f>
        <v>9</v>
      </c>
      <c r="H16">
        <f t="shared" si="2"/>
        <v>140</v>
      </c>
      <c r="I16" s="7">
        <f t="shared" si="3"/>
        <v>2.5642857142857145</v>
      </c>
    </row>
    <row r="17" spans="1:11" ht="30">
      <c r="A17">
        <v>4</v>
      </c>
      <c r="B17" s="5" t="s">
        <v>355</v>
      </c>
      <c r="C17">
        <f>COUNTIFS(DataT!15:15,C$13)</f>
        <v>102</v>
      </c>
      <c r="D17">
        <f>COUNTIFS(DataT!15:15,D$13)</f>
        <v>25</v>
      </c>
      <c r="E17">
        <f>COUNTIFS(DataT!15:15,E$13)</f>
        <v>9</v>
      </c>
      <c r="F17">
        <f>COUNTIFS(DataT!15:15,F$13)</f>
        <v>4</v>
      </c>
      <c r="G17">
        <f>COUNTIFS(DataT!15:15,G$13)</f>
        <v>1</v>
      </c>
      <c r="H17">
        <f t="shared" si="2"/>
        <v>141</v>
      </c>
      <c r="I17" s="7">
        <f t="shared" si="3"/>
        <v>1.4184397163120568</v>
      </c>
    </row>
    <row r="18" spans="1:11">
      <c r="A18">
        <v>5</v>
      </c>
      <c r="B18" s="5" t="s">
        <v>356</v>
      </c>
      <c r="C18">
        <f>COUNTIFS(DataT!16:16,C$13)</f>
        <v>59</v>
      </c>
      <c r="D18">
        <f>COUNTIFS(DataT!16:16,D$13)</f>
        <v>40</v>
      </c>
      <c r="E18">
        <f>COUNTIFS(DataT!16:16,E$13)</f>
        <v>21</v>
      </c>
      <c r="F18">
        <f>COUNTIFS(DataT!16:16,F$13)</f>
        <v>13</v>
      </c>
      <c r="G18">
        <f>COUNTIFS(DataT!16:16,G$13)</f>
        <v>6</v>
      </c>
      <c r="H18">
        <f t="shared" si="2"/>
        <v>139</v>
      </c>
      <c r="I18" s="7">
        <f t="shared" si="3"/>
        <v>2.0431654676258995</v>
      </c>
    </row>
    <row r="19" spans="1:11" ht="30">
      <c r="A19">
        <v>6</v>
      </c>
      <c r="B19" s="5" t="s">
        <v>357</v>
      </c>
      <c r="C19">
        <f>COUNTIFS(DataT!17:17,C$13)</f>
        <v>75</v>
      </c>
      <c r="D19">
        <f>COUNTIFS(DataT!17:17,D$13)</f>
        <v>39</v>
      </c>
      <c r="E19">
        <f>COUNTIFS(DataT!17:17,E$13)</f>
        <v>18</v>
      </c>
      <c r="F19">
        <f>COUNTIFS(DataT!17:17,F$13)</f>
        <v>6</v>
      </c>
      <c r="G19">
        <f>COUNTIFS(DataT!17:17,G$13)</f>
        <v>2</v>
      </c>
      <c r="H19">
        <f t="shared" si="2"/>
        <v>140</v>
      </c>
      <c r="I19" s="7">
        <f t="shared" si="3"/>
        <v>1.7214285714285715</v>
      </c>
    </row>
    <row r="20" spans="1:11" ht="30">
      <c r="A20">
        <v>7</v>
      </c>
      <c r="B20" s="5" t="s">
        <v>358</v>
      </c>
      <c r="C20">
        <f>COUNTIFS(DataT!18:18,C$13)</f>
        <v>120</v>
      </c>
      <c r="D20">
        <f>COUNTIFS(DataT!18:18,D$13)</f>
        <v>16</v>
      </c>
      <c r="E20">
        <f>COUNTIFS(DataT!18:18,E$13)</f>
        <v>4</v>
      </c>
      <c r="F20">
        <f>COUNTIFS(DataT!18:18,F$13)</f>
        <v>2</v>
      </c>
      <c r="G20">
        <f>COUNTIFS(DataT!18:18,G$13)</f>
        <v>0</v>
      </c>
      <c r="H20">
        <f t="shared" si="2"/>
        <v>142</v>
      </c>
      <c r="I20" s="7">
        <f t="shared" si="3"/>
        <v>1.2112676056338028</v>
      </c>
    </row>
    <row r="21" spans="1:11">
      <c r="C21" s="13" t="s">
        <v>365</v>
      </c>
      <c r="D21" s="13"/>
      <c r="E21" s="13"/>
    </row>
    <row r="22" spans="1:11" ht="45">
      <c r="C22" s="6" t="s">
        <v>366</v>
      </c>
      <c r="D22" s="6" t="s">
        <v>367</v>
      </c>
      <c r="E22" s="6" t="s">
        <v>368</v>
      </c>
      <c r="F22" s="6" t="s">
        <v>369</v>
      </c>
      <c r="G22" s="6" t="s">
        <v>370</v>
      </c>
      <c r="I22" s="6" t="s">
        <v>371</v>
      </c>
      <c r="J22" s="6" t="s">
        <v>372</v>
      </c>
      <c r="K22" s="10" t="s">
        <v>374</v>
      </c>
    </row>
    <row r="23" spans="1:11" ht="30">
      <c r="A23">
        <v>1</v>
      </c>
      <c r="B23" s="5" t="s">
        <v>352</v>
      </c>
      <c r="C23" s="8">
        <f>C14/$H14</f>
        <v>0.26428571428571429</v>
      </c>
      <c r="D23" s="8">
        <f t="shared" ref="D23:H23" si="4">D14/$H14</f>
        <v>0.23571428571428571</v>
      </c>
      <c r="E23" s="8">
        <f t="shared" si="4"/>
        <v>0.29285714285714287</v>
      </c>
      <c r="F23" s="8">
        <f t="shared" si="4"/>
        <v>0.16428571428571428</v>
      </c>
      <c r="G23" s="8">
        <f t="shared" si="4"/>
        <v>4.2857142857142858E-2</v>
      </c>
      <c r="H23" s="8">
        <f t="shared" si="4"/>
        <v>1</v>
      </c>
      <c r="I23" s="8">
        <f>F23+G23</f>
        <v>0.20714285714285713</v>
      </c>
      <c r="J23" s="8">
        <f>SUMPRODUCT(C23:G23, C$32:G$32)</f>
        <v>0.37142857142857144</v>
      </c>
      <c r="K23" s="8">
        <f>SUMPRODUCT(C23:G23, C$33:G$33)</f>
        <v>0.29221428571428576</v>
      </c>
    </row>
    <row r="24" spans="1:11">
      <c r="A24">
        <v>2</v>
      </c>
      <c r="B24" t="s">
        <v>353</v>
      </c>
      <c r="C24" s="8">
        <f t="shared" ref="C24:H24" si="5">C15/$H15</f>
        <v>0.42253521126760563</v>
      </c>
      <c r="D24" s="8">
        <f t="shared" si="5"/>
        <v>0.35915492957746481</v>
      </c>
      <c r="E24" s="8">
        <f t="shared" si="5"/>
        <v>0.15492957746478872</v>
      </c>
      <c r="F24" s="8">
        <f t="shared" si="5"/>
        <v>4.9295774647887321E-2</v>
      </c>
      <c r="G24" s="8">
        <f t="shared" si="5"/>
        <v>1.4084507042253521E-2</v>
      </c>
      <c r="H24" s="8">
        <f t="shared" si="5"/>
        <v>1</v>
      </c>
      <c r="I24" s="8">
        <f t="shared" ref="I24:I29" si="6">F24+G24</f>
        <v>6.3380281690140844E-2</v>
      </c>
      <c r="J24" s="8">
        <f>SUMPRODUCT(C24:G24, C$32:G$32)</f>
        <v>0.21830985915492959</v>
      </c>
      <c r="K24" s="8">
        <f t="shared" ref="K24:K29" si="7">SUMPRODUCT(C24:G24, C$33:G$33)</f>
        <v>0.13112676056338027</v>
      </c>
    </row>
    <row r="25" spans="1:11" ht="30">
      <c r="A25">
        <v>3</v>
      </c>
      <c r="B25" s="5" t="s">
        <v>354</v>
      </c>
      <c r="C25" s="8">
        <f t="shared" ref="C25:H25" si="8">C16/$H16</f>
        <v>0.21428571428571427</v>
      </c>
      <c r="D25" s="8">
        <f t="shared" si="8"/>
        <v>0.29285714285714287</v>
      </c>
      <c r="E25" s="8">
        <f t="shared" si="8"/>
        <v>0.27142857142857141</v>
      </c>
      <c r="F25" s="8">
        <f t="shared" si="8"/>
        <v>0.15714285714285714</v>
      </c>
      <c r="G25" s="8">
        <f t="shared" si="8"/>
        <v>6.4285714285714279E-2</v>
      </c>
      <c r="H25" s="8">
        <f t="shared" si="8"/>
        <v>1</v>
      </c>
      <c r="I25" s="8">
        <f t="shared" si="6"/>
        <v>0.22142857142857142</v>
      </c>
      <c r="J25" s="8">
        <f t="shared" ref="J25:J29" si="9">SUMPRODUCT(C25:G25, C$32:G$32)</f>
        <v>0.39107142857142851</v>
      </c>
      <c r="K25" s="8">
        <f t="shared" si="7"/>
        <v>0.2912142857142857</v>
      </c>
    </row>
    <row r="26" spans="1:11" ht="30">
      <c r="A26">
        <v>4</v>
      </c>
      <c r="B26" s="5" t="s">
        <v>355</v>
      </c>
      <c r="C26" s="8">
        <f t="shared" ref="C26:H26" si="10">C17/$H17</f>
        <v>0.72340425531914898</v>
      </c>
      <c r="D26" s="8">
        <f t="shared" si="10"/>
        <v>0.1773049645390071</v>
      </c>
      <c r="E26" s="8">
        <f t="shared" si="10"/>
        <v>6.3829787234042548E-2</v>
      </c>
      <c r="F26" s="8">
        <f t="shared" si="10"/>
        <v>2.8368794326241134E-2</v>
      </c>
      <c r="G26" s="8">
        <f t="shared" si="10"/>
        <v>7.0921985815602835E-3</v>
      </c>
      <c r="H26" s="8">
        <f t="shared" si="10"/>
        <v>1</v>
      </c>
      <c r="I26" s="8">
        <f t="shared" si="6"/>
        <v>3.5460992907801414E-2</v>
      </c>
      <c r="J26" s="8">
        <f t="shared" si="9"/>
        <v>0.10460992907801418</v>
      </c>
      <c r="K26" s="8">
        <f t="shared" si="7"/>
        <v>6.0283687943262408E-2</v>
      </c>
    </row>
    <row r="27" spans="1:11">
      <c r="A27">
        <v>5</v>
      </c>
      <c r="B27" s="5" t="s">
        <v>356</v>
      </c>
      <c r="C27" s="8">
        <f t="shared" ref="C27:H27" si="11">C18/$H18</f>
        <v>0.42446043165467628</v>
      </c>
      <c r="D27" s="8">
        <f t="shared" si="11"/>
        <v>0.28776978417266186</v>
      </c>
      <c r="E27" s="8">
        <f t="shared" si="11"/>
        <v>0.15107913669064749</v>
      </c>
      <c r="F27" s="8">
        <f t="shared" si="11"/>
        <v>9.3525179856115109E-2</v>
      </c>
      <c r="G27" s="8">
        <f t="shared" si="11"/>
        <v>4.3165467625899283E-2</v>
      </c>
      <c r="H27" s="8">
        <f t="shared" si="11"/>
        <v>1</v>
      </c>
      <c r="I27" s="8">
        <f t="shared" si="6"/>
        <v>0.1366906474820144</v>
      </c>
      <c r="J27" s="8">
        <f t="shared" si="9"/>
        <v>0.26079136690647481</v>
      </c>
      <c r="K27" s="8">
        <f t="shared" si="7"/>
        <v>0.17302158273381296</v>
      </c>
    </row>
    <row r="28" spans="1:11" ht="30">
      <c r="A28">
        <v>6</v>
      </c>
      <c r="B28" s="5" t="s">
        <v>357</v>
      </c>
      <c r="C28" s="8">
        <f t="shared" ref="C28:H28" si="12">C19/$H19</f>
        <v>0.5357142857142857</v>
      </c>
      <c r="D28" s="8">
        <f t="shared" si="12"/>
        <v>0.27857142857142858</v>
      </c>
      <c r="E28" s="8">
        <f t="shared" si="12"/>
        <v>0.12857142857142856</v>
      </c>
      <c r="F28" s="8">
        <f t="shared" si="12"/>
        <v>4.2857142857142858E-2</v>
      </c>
      <c r="G28" s="8">
        <f t="shared" si="12"/>
        <v>1.4285714285714285E-2</v>
      </c>
      <c r="H28" s="8">
        <f t="shared" si="12"/>
        <v>1</v>
      </c>
      <c r="I28" s="8">
        <f t="shared" si="6"/>
        <v>5.7142857142857141E-2</v>
      </c>
      <c r="J28" s="8">
        <f t="shared" si="9"/>
        <v>0.18035714285714285</v>
      </c>
      <c r="K28" s="8">
        <f t="shared" si="7"/>
        <v>0.11128571428571429</v>
      </c>
    </row>
    <row r="29" spans="1:11" ht="30">
      <c r="A29">
        <v>7</v>
      </c>
      <c r="B29" s="5" t="s">
        <v>358</v>
      </c>
      <c r="C29" s="8">
        <f t="shared" ref="C29:H29" si="13">C20/$H20</f>
        <v>0.84507042253521125</v>
      </c>
      <c r="D29" s="8">
        <f t="shared" si="13"/>
        <v>0.11267605633802817</v>
      </c>
      <c r="E29" s="8">
        <f t="shared" si="13"/>
        <v>2.8169014084507043E-2</v>
      </c>
      <c r="F29" s="8">
        <f t="shared" si="13"/>
        <v>1.4084507042253521E-2</v>
      </c>
      <c r="G29" s="8">
        <f t="shared" si="13"/>
        <v>0</v>
      </c>
      <c r="H29" s="8">
        <f t="shared" si="13"/>
        <v>1</v>
      </c>
      <c r="I29" s="8">
        <f t="shared" si="6"/>
        <v>1.4084507042253521E-2</v>
      </c>
      <c r="J29" s="8">
        <f t="shared" si="9"/>
        <v>5.2816901408450703E-2</v>
      </c>
      <c r="K29" s="8">
        <f t="shared" si="7"/>
        <v>2.619718309859155E-2</v>
      </c>
    </row>
    <row r="31" spans="1:11">
      <c r="C31">
        <v>1</v>
      </c>
      <c r="D31">
        <v>2</v>
      </c>
      <c r="E31">
        <v>3</v>
      </c>
      <c r="F31">
        <v>4</v>
      </c>
      <c r="G31">
        <v>5</v>
      </c>
    </row>
    <row r="32" spans="1:11">
      <c r="B32" s="5" t="s">
        <v>373</v>
      </c>
      <c r="C32" s="9">
        <v>0</v>
      </c>
      <c r="D32" s="9">
        <v>0.25</v>
      </c>
      <c r="E32" s="9">
        <v>0.5</v>
      </c>
      <c r="F32" s="9">
        <v>0.75</v>
      </c>
      <c r="G32" s="9">
        <v>1</v>
      </c>
    </row>
    <row r="33" spans="1:11">
      <c r="C33" s="9">
        <v>0</v>
      </c>
      <c r="D33" s="9">
        <v>0.02</v>
      </c>
      <c r="E33" s="9">
        <v>0.55000000000000004</v>
      </c>
      <c r="F33" s="9">
        <v>0.6</v>
      </c>
      <c r="G33" s="9">
        <v>0.65</v>
      </c>
    </row>
    <row r="34" spans="1:11">
      <c r="A34" s="16" t="s">
        <v>346</v>
      </c>
      <c r="B34" s="16"/>
      <c r="C34" s="16"/>
      <c r="D34" s="16"/>
      <c r="E34" s="16"/>
      <c r="F34" s="16"/>
      <c r="G34" s="16"/>
      <c r="H34" s="16"/>
      <c r="I34" s="16"/>
    </row>
    <row r="35" spans="1:11" ht="90">
      <c r="C35" s="5" t="s">
        <v>375</v>
      </c>
      <c r="D35" s="5" t="s">
        <v>376</v>
      </c>
      <c r="E35" s="5" t="s">
        <v>55</v>
      </c>
    </row>
    <row r="36" spans="1:11" ht="60">
      <c r="A36" t="s">
        <v>348</v>
      </c>
      <c r="B36" s="5" t="s">
        <v>349</v>
      </c>
      <c r="C36" s="5">
        <v>1</v>
      </c>
      <c r="D36" s="5">
        <v>2</v>
      </c>
      <c r="E36">
        <v>3</v>
      </c>
      <c r="F36" s="5">
        <v>4</v>
      </c>
      <c r="G36" s="5">
        <v>5</v>
      </c>
      <c r="H36" s="5" t="s">
        <v>351</v>
      </c>
      <c r="I36" s="5" t="s">
        <v>350</v>
      </c>
    </row>
    <row r="37" spans="1:11" ht="30">
      <c r="A37">
        <v>1</v>
      </c>
      <c r="B37" s="5" t="s">
        <v>352</v>
      </c>
      <c r="C37">
        <f>COUNTIFS(DataT!26:26,C$36)</f>
        <v>72</v>
      </c>
      <c r="D37">
        <f>COUNTIFS(DataT!26:26,D$36)</f>
        <v>31</v>
      </c>
      <c r="E37">
        <f>COUNTIFS(DataT!26:26,E$36)</f>
        <v>10</v>
      </c>
      <c r="F37">
        <f>COUNTIFS(DataT!26:26,F$36)</f>
        <v>1</v>
      </c>
      <c r="G37">
        <f>COUNTIFS(DataT!26:26,G$36)</f>
        <v>21</v>
      </c>
      <c r="H37">
        <f>SUM(C37:G37)</f>
        <v>135</v>
      </c>
      <c r="I37" s="7">
        <f>((C$13*C37)+(D$13*D37)+(E$13*E37)+(F$13*F37)+(G$13*G37))/H37</f>
        <v>2.0222222222222221</v>
      </c>
    </row>
    <row r="38" spans="1:11">
      <c r="A38">
        <v>2</v>
      </c>
      <c r="B38" t="s">
        <v>353</v>
      </c>
      <c r="C38">
        <f>COUNTIFS(DataT!27:27,C$36)</f>
        <v>84</v>
      </c>
      <c r="D38">
        <f>COUNTIFS(DataT!27:27,D$36)</f>
        <v>14</v>
      </c>
      <c r="E38">
        <f>COUNTIFS(DataT!27:27,E$36)</f>
        <v>4</v>
      </c>
      <c r="F38">
        <f>COUNTIFS(DataT!27:27,F$36)</f>
        <v>2</v>
      </c>
      <c r="G38">
        <f>COUNTIFS(DataT!27:27,G$36)</f>
        <v>32</v>
      </c>
      <c r="H38">
        <f t="shared" ref="H38:H43" si="14">SUM(C38:G38)</f>
        <v>136</v>
      </c>
      <c r="I38" s="7">
        <f t="shared" ref="I38:I43" si="15">((C$13*C38)+(D$13*D38)+(E$13*E38)+(F$13*F38)+(G$13*G38))/H38</f>
        <v>2.1470588235294117</v>
      </c>
    </row>
    <row r="39" spans="1:11" ht="30">
      <c r="A39">
        <v>3</v>
      </c>
      <c r="B39" s="5" t="s">
        <v>354</v>
      </c>
      <c r="C39">
        <f>COUNTIFS(DataT!28:28,C$36)</f>
        <v>77</v>
      </c>
      <c r="D39">
        <f>COUNTIFS(DataT!28:28,D$36)</f>
        <v>24</v>
      </c>
      <c r="E39">
        <f>COUNTIFS(DataT!28:28,E$36)</f>
        <v>15</v>
      </c>
      <c r="F39">
        <f>COUNTIFS(DataT!28:28,F$36)</f>
        <v>3</v>
      </c>
      <c r="G39">
        <f>COUNTIFS(DataT!28:28,G$36)</f>
        <v>15</v>
      </c>
      <c r="H39">
        <f t="shared" si="14"/>
        <v>134</v>
      </c>
      <c r="I39" s="7">
        <f t="shared" si="15"/>
        <v>1.9179104477611941</v>
      </c>
    </row>
    <row r="40" spans="1:11" ht="30">
      <c r="A40">
        <v>4</v>
      </c>
      <c r="B40" s="5" t="s">
        <v>355</v>
      </c>
      <c r="C40">
        <f>COUNTIFS(DataT!29:29,C$36)</f>
        <v>84</v>
      </c>
      <c r="D40">
        <f>COUNTIFS(DataT!29:29,D$36)</f>
        <v>7</v>
      </c>
      <c r="E40">
        <f>COUNTIFS(DataT!29:29,E$36)</f>
        <v>1</v>
      </c>
      <c r="F40">
        <f>COUNTIFS(DataT!29:29,F$36)</f>
        <v>2</v>
      </c>
      <c r="G40">
        <f>COUNTIFS(DataT!29:29,G$36)</f>
        <v>40</v>
      </c>
      <c r="H40">
        <f t="shared" si="14"/>
        <v>134</v>
      </c>
      <c r="I40" s="7">
        <f t="shared" si="15"/>
        <v>2.3059701492537314</v>
      </c>
    </row>
    <row r="41" spans="1:11">
      <c r="A41">
        <v>5</v>
      </c>
      <c r="B41" s="5" t="s">
        <v>356</v>
      </c>
      <c r="C41">
        <f>COUNTIFS(DataT!30:30,C$36)</f>
        <v>78</v>
      </c>
      <c r="D41">
        <f>COUNTIFS(DataT!30:30,D$36)</f>
        <v>20</v>
      </c>
      <c r="E41">
        <f>COUNTIFS(DataT!30:30,E$36)</f>
        <v>14</v>
      </c>
      <c r="F41">
        <f>COUNTIFS(DataT!30:30,F$36)</f>
        <v>3</v>
      </c>
      <c r="G41">
        <f>COUNTIFS(DataT!30:30,G$36)</f>
        <v>20</v>
      </c>
      <c r="H41">
        <f t="shared" si="14"/>
        <v>135</v>
      </c>
      <c r="I41" s="7">
        <f t="shared" si="15"/>
        <v>2.0148148148148146</v>
      </c>
    </row>
    <row r="42" spans="1:11" ht="30">
      <c r="A42">
        <v>6</v>
      </c>
      <c r="B42" s="5" t="s">
        <v>357</v>
      </c>
      <c r="C42">
        <f>COUNTIFS(DataT!31:31,C$36)</f>
        <v>81</v>
      </c>
      <c r="D42">
        <f>COUNTIFS(DataT!31:31,D$36)</f>
        <v>17</v>
      </c>
      <c r="E42">
        <f>COUNTIFS(DataT!31:31,E$36)</f>
        <v>5</v>
      </c>
      <c r="F42">
        <f>COUNTIFS(DataT!31:31,F$36)</f>
        <v>2</v>
      </c>
      <c r="G42">
        <f>COUNTIFS(DataT!31:31,G$36)</f>
        <v>28</v>
      </c>
      <c r="H42">
        <f t="shared" si="14"/>
        <v>133</v>
      </c>
      <c r="I42" s="7">
        <f t="shared" si="15"/>
        <v>2.0902255639097747</v>
      </c>
    </row>
    <row r="43" spans="1:11" ht="30">
      <c r="A43">
        <v>7</v>
      </c>
      <c r="B43" s="5" t="s">
        <v>358</v>
      </c>
      <c r="C43">
        <f>COUNTIFS(DataT!32:32,C$36)</f>
        <v>77</v>
      </c>
      <c r="D43">
        <f>COUNTIFS(DataT!32:32,D$36)</f>
        <v>6</v>
      </c>
      <c r="E43">
        <f>COUNTIFS(DataT!32:32,E$36)</f>
        <v>3</v>
      </c>
      <c r="F43">
        <f>COUNTIFS(DataT!32:32,F$36)</f>
        <v>0</v>
      </c>
      <c r="G43">
        <f>COUNTIFS(DataT!32:32,G$36)</f>
        <v>50</v>
      </c>
      <c r="H43">
        <f t="shared" si="14"/>
        <v>136</v>
      </c>
      <c r="I43" s="7">
        <f t="shared" si="15"/>
        <v>2.5588235294117645</v>
      </c>
    </row>
    <row r="44" spans="1:11">
      <c r="C44" s="13" t="s">
        <v>365</v>
      </c>
      <c r="D44" s="13"/>
      <c r="E44" s="13"/>
    </row>
    <row r="45" spans="1:11" ht="45">
      <c r="C45" s="6" t="s">
        <v>366</v>
      </c>
      <c r="D45" s="6" t="s">
        <v>367</v>
      </c>
      <c r="E45" s="6" t="s">
        <v>368</v>
      </c>
      <c r="F45" s="6" t="s">
        <v>369</v>
      </c>
      <c r="G45" s="6" t="s">
        <v>370</v>
      </c>
      <c r="I45" s="6" t="s">
        <v>371</v>
      </c>
      <c r="J45" s="6" t="s">
        <v>372</v>
      </c>
      <c r="K45" s="10" t="s">
        <v>377</v>
      </c>
    </row>
    <row r="46" spans="1:11" ht="30">
      <c r="A46">
        <v>1</v>
      </c>
      <c r="B46" s="5" t="s">
        <v>352</v>
      </c>
      <c r="C46" s="8">
        <f>C37/$H37</f>
        <v>0.53333333333333333</v>
      </c>
      <c r="D46" s="8">
        <f t="shared" ref="D46:H46" si="16">D37/$H37</f>
        <v>0.22962962962962963</v>
      </c>
      <c r="E46" s="8">
        <f t="shared" si="16"/>
        <v>7.407407407407407E-2</v>
      </c>
      <c r="F46" s="8">
        <f t="shared" si="16"/>
        <v>7.4074074074074077E-3</v>
      </c>
      <c r="G46" s="8">
        <f>G37/$H37</f>
        <v>0.15555555555555556</v>
      </c>
      <c r="H46" s="8">
        <f t="shared" si="16"/>
        <v>1</v>
      </c>
      <c r="I46" s="8">
        <f>F46+G46</f>
        <v>0.16296296296296298</v>
      </c>
      <c r="J46" s="8">
        <f>SUMPRODUCT(C46:G46, C$32:G$32)</f>
        <v>0.25555555555555554</v>
      </c>
      <c r="K46" s="11">
        <f>SUMPRODUCT(C46:G46, C$56:G$56)</f>
        <v>12.074074074074073</v>
      </c>
    </row>
    <row r="47" spans="1:11">
      <c r="A47">
        <v>2</v>
      </c>
      <c r="B47" t="s">
        <v>353</v>
      </c>
      <c r="C47" s="8">
        <f t="shared" ref="C47:H47" si="17">C38/$H38</f>
        <v>0.61764705882352944</v>
      </c>
      <c r="D47" s="8">
        <f t="shared" si="17"/>
        <v>0.10294117647058823</v>
      </c>
      <c r="E47" s="8">
        <f t="shared" si="17"/>
        <v>2.9411764705882353E-2</v>
      </c>
      <c r="F47" s="8">
        <f t="shared" si="17"/>
        <v>1.4705882352941176E-2</v>
      </c>
      <c r="G47" s="8">
        <f t="shared" si="17"/>
        <v>0.23529411764705882</v>
      </c>
      <c r="H47" s="8">
        <f t="shared" si="17"/>
        <v>1</v>
      </c>
      <c r="I47" s="8">
        <f t="shared" ref="I47:I52" si="18">F47+G47</f>
        <v>0.25</v>
      </c>
      <c r="J47" s="8">
        <f>SUMPRODUCT(C47:G47, C$32:G$32)</f>
        <v>0.28676470588235292</v>
      </c>
      <c r="K47" s="11">
        <f t="shared" ref="K47:K52" si="19">SUMPRODUCT(C47:G47, C$56:G$56)</f>
        <v>8.235294117647058</v>
      </c>
    </row>
    <row r="48" spans="1:11" ht="30">
      <c r="A48">
        <v>3</v>
      </c>
      <c r="B48" s="5" t="s">
        <v>354</v>
      </c>
      <c r="C48" s="8">
        <f t="shared" ref="C48:H48" si="20">C39/$H39</f>
        <v>0.57462686567164178</v>
      </c>
      <c r="D48" s="8">
        <f t="shared" si="20"/>
        <v>0.17910447761194029</v>
      </c>
      <c r="E48" s="8">
        <f t="shared" si="20"/>
        <v>0.11194029850746269</v>
      </c>
      <c r="F48" s="8">
        <f t="shared" si="20"/>
        <v>2.2388059701492536E-2</v>
      </c>
      <c r="G48" s="8">
        <f t="shared" si="20"/>
        <v>0.11194029850746269</v>
      </c>
      <c r="H48" s="8">
        <f t="shared" si="20"/>
        <v>1</v>
      </c>
      <c r="I48" s="8">
        <f t="shared" si="18"/>
        <v>0.13432835820895522</v>
      </c>
      <c r="J48" s="8">
        <f t="shared" ref="J48:J52" si="21">SUMPRODUCT(C48:G48, C$32:G$32)</f>
        <v>0.22947761194029853</v>
      </c>
      <c r="K48" s="11">
        <f t="shared" si="19"/>
        <v>14.850746268656717</v>
      </c>
    </row>
    <row r="49" spans="1:11" ht="30">
      <c r="A49">
        <v>4</v>
      </c>
      <c r="B49" s="5" t="s">
        <v>355</v>
      </c>
      <c r="C49" s="8">
        <f t="shared" ref="C49:H49" si="22">C40/$H40</f>
        <v>0.62686567164179108</v>
      </c>
      <c r="D49" s="8">
        <f t="shared" si="22"/>
        <v>5.2238805970149252E-2</v>
      </c>
      <c r="E49" s="8">
        <f t="shared" si="22"/>
        <v>7.462686567164179E-3</v>
      </c>
      <c r="F49" s="8">
        <f t="shared" si="22"/>
        <v>1.4925373134328358E-2</v>
      </c>
      <c r="G49" s="8">
        <f t="shared" si="22"/>
        <v>0.29850746268656714</v>
      </c>
      <c r="H49" s="8">
        <f t="shared" si="22"/>
        <v>1</v>
      </c>
      <c r="I49" s="8">
        <f t="shared" si="18"/>
        <v>0.31343283582089548</v>
      </c>
      <c r="J49" s="8">
        <f t="shared" si="21"/>
        <v>0.32649253731343281</v>
      </c>
      <c r="K49" s="11">
        <f t="shared" si="19"/>
        <v>6.0820895522388057</v>
      </c>
    </row>
    <row r="50" spans="1:11">
      <c r="A50">
        <v>5</v>
      </c>
      <c r="B50" s="5" t="s">
        <v>356</v>
      </c>
      <c r="C50" s="8">
        <f t="shared" ref="C50:H50" si="23">C41/$H41</f>
        <v>0.57777777777777772</v>
      </c>
      <c r="D50" s="8">
        <f t="shared" si="23"/>
        <v>0.14814814814814814</v>
      </c>
      <c r="E50" s="8">
        <f t="shared" si="23"/>
        <v>0.1037037037037037</v>
      </c>
      <c r="F50" s="8">
        <f t="shared" si="23"/>
        <v>2.2222222222222223E-2</v>
      </c>
      <c r="G50" s="8">
        <f t="shared" si="23"/>
        <v>0.14814814814814814</v>
      </c>
      <c r="H50" s="8">
        <f t="shared" si="23"/>
        <v>1</v>
      </c>
      <c r="I50" s="8">
        <f t="shared" si="18"/>
        <v>0.17037037037037037</v>
      </c>
      <c r="J50" s="8">
        <f t="shared" si="21"/>
        <v>0.25370370370370365</v>
      </c>
      <c r="K50" s="11">
        <f t="shared" si="19"/>
        <v>13.777777777777775</v>
      </c>
    </row>
    <row r="51" spans="1:11" ht="30">
      <c r="A51">
        <v>6</v>
      </c>
      <c r="B51" s="5" t="s">
        <v>357</v>
      </c>
      <c r="C51" s="8">
        <f t="shared" ref="C51:H51" si="24">C42/$H42</f>
        <v>0.60902255639097747</v>
      </c>
      <c r="D51" s="8">
        <f t="shared" si="24"/>
        <v>0.12781954887218044</v>
      </c>
      <c r="E51" s="8">
        <f t="shared" si="24"/>
        <v>3.7593984962406013E-2</v>
      </c>
      <c r="F51" s="8">
        <f t="shared" si="24"/>
        <v>1.5037593984962405E-2</v>
      </c>
      <c r="G51" s="8">
        <f t="shared" si="24"/>
        <v>0.21052631578947367</v>
      </c>
      <c r="H51" s="8">
        <f t="shared" si="24"/>
        <v>1</v>
      </c>
      <c r="I51" s="8">
        <f t="shared" si="18"/>
        <v>0.22556390977443608</v>
      </c>
      <c r="J51" s="8">
        <f t="shared" si="21"/>
        <v>0.27255639097744361</v>
      </c>
      <c r="K51" s="11">
        <f t="shared" si="19"/>
        <v>9.1729323308270683</v>
      </c>
    </row>
    <row r="52" spans="1:11" ht="30">
      <c r="A52">
        <v>7</v>
      </c>
      <c r="B52" s="5" t="s">
        <v>358</v>
      </c>
      <c r="C52" s="8">
        <f t="shared" ref="C52:H52" si="25">C43/$H43</f>
        <v>0.56617647058823528</v>
      </c>
      <c r="D52" s="8">
        <f t="shared" si="25"/>
        <v>4.4117647058823532E-2</v>
      </c>
      <c r="E52" s="8">
        <f t="shared" si="25"/>
        <v>2.2058823529411766E-2</v>
      </c>
      <c r="F52" s="8">
        <f t="shared" si="25"/>
        <v>0</v>
      </c>
      <c r="G52" s="8">
        <f t="shared" si="25"/>
        <v>0.36764705882352944</v>
      </c>
      <c r="H52" s="8">
        <f t="shared" si="25"/>
        <v>1</v>
      </c>
      <c r="I52" s="8">
        <f t="shared" si="18"/>
        <v>0.36764705882352944</v>
      </c>
      <c r="J52" s="8">
        <f t="shared" si="21"/>
        <v>0.38970588235294118</v>
      </c>
      <c r="K52" s="11">
        <f t="shared" si="19"/>
        <v>4.9264705882352944</v>
      </c>
    </row>
    <row r="54" spans="1:11">
      <c r="C54">
        <v>1</v>
      </c>
      <c r="D54">
        <v>2</v>
      </c>
      <c r="E54">
        <v>3</v>
      </c>
      <c r="F54">
        <v>4</v>
      </c>
      <c r="G54">
        <v>5</v>
      </c>
    </row>
    <row r="55" spans="1:11">
      <c r="B55" s="5" t="s">
        <v>373</v>
      </c>
      <c r="C55" s="9">
        <v>0</v>
      </c>
      <c r="D55" s="9">
        <v>0.25</v>
      </c>
      <c r="E55" s="9">
        <v>0.5</v>
      </c>
      <c r="F55" s="9">
        <v>0.75</v>
      </c>
      <c r="G55" s="9">
        <v>1</v>
      </c>
    </row>
    <row r="56" spans="1:11">
      <c r="C56" s="12">
        <v>5</v>
      </c>
      <c r="D56" s="12">
        <v>20</v>
      </c>
      <c r="E56" s="12">
        <v>55</v>
      </c>
      <c r="F56" s="12">
        <v>100</v>
      </c>
      <c r="G56" s="12">
        <v>0</v>
      </c>
    </row>
    <row r="57" spans="1:11" ht="60">
      <c r="C57" s="6" t="s">
        <v>366</v>
      </c>
      <c r="D57" s="6" t="s">
        <v>367</v>
      </c>
      <c r="E57" s="6" t="s">
        <v>368</v>
      </c>
      <c r="F57" s="6" t="s">
        <v>369</v>
      </c>
      <c r="G57" s="10" t="s">
        <v>378</v>
      </c>
      <c r="H57" s="10" t="s">
        <v>379</v>
      </c>
    </row>
    <row r="58" spans="1:11" ht="30">
      <c r="A58">
        <v>1</v>
      </c>
      <c r="B58" s="5" t="s">
        <v>352</v>
      </c>
      <c r="C58" s="8">
        <f>C37/$G58</f>
        <v>0.63157894736842102</v>
      </c>
      <c r="D58" s="8">
        <f t="shared" ref="D58:F58" si="26">D37/$G58</f>
        <v>0.27192982456140352</v>
      </c>
      <c r="E58" s="8">
        <f t="shared" si="26"/>
        <v>8.771929824561403E-2</v>
      </c>
      <c r="F58" s="8">
        <f t="shared" si="26"/>
        <v>8.771929824561403E-3</v>
      </c>
      <c r="G58">
        <f>SUM(C37:F37)</f>
        <v>114</v>
      </c>
      <c r="H58" s="11">
        <f>SUMPRODUCT(C$56:F$56, C58:F58)</f>
        <v>14.298245614035086</v>
      </c>
    </row>
    <row r="59" spans="1:11">
      <c r="A59">
        <v>2</v>
      </c>
      <c r="B59" t="s">
        <v>353</v>
      </c>
      <c r="C59" s="8">
        <f t="shared" ref="C59:F59" si="27">C38/$G59</f>
        <v>0.80769230769230771</v>
      </c>
      <c r="D59" s="8">
        <f t="shared" si="27"/>
        <v>0.13461538461538461</v>
      </c>
      <c r="E59" s="8">
        <f t="shared" si="27"/>
        <v>3.8461538461538464E-2</v>
      </c>
      <c r="F59" s="8">
        <f t="shared" si="27"/>
        <v>1.9230769230769232E-2</v>
      </c>
      <c r="G59">
        <f t="shared" ref="G59:G64" si="28">SUM(C38:F38)</f>
        <v>104</v>
      </c>
      <c r="H59" s="11">
        <f t="shared" ref="H59:H64" si="29">SUMPRODUCT(C$56:F$56, C59:F59)</f>
        <v>10.769230769230768</v>
      </c>
    </row>
    <row r="60" spans="1:11" ht="30">
      <c r="A60">
        <v>3</v>
      </c>
      <c r="B60" s="5" t="s">
        <v>354</v>
      </c>
      <c r="C60" s="8">
        <f t="shared" ref="C60:F60" si="30">C39/$G60</f>
        <v>0.6470588235294118</v>
      </c>
      <c r="D60" s="8">
        <f t="shared" si="30"/>
        <v>0.20168067226890757</v>
      </c>
      <c r="E60" s="8">
        <f t="shared" si="30"/>
        <v>0.12605042016806722</v>
      </c>
      <c r="F60" s="8">
        <f t="shared" si="30"/>
        <v>2.5210084033613446E-2</v>
      </c>
      <c r="G60">
        <f t="shared" si="28"/>
        <v>119</v>
      </c>
      <c r="H60" s="11">
        <f t="shared" si="29"/>
        <v>16.72268907563025</v>
      </c>
    </row>
    <row r="61" spans="1:11" ht="30">
      <c r="A61">
        <v>4</v>
      </c>
      <c r="B61" s="5" t="s">
        <v>355</v>
      </c>
      <c r="C61" s="8">
        <f t="shared" ref="C61:F61" si="31">C40/$G61</f>
        <v>0.8936170212765957</v>
      </c>
      <c r="D61" s="8">
        <f t="shared" si="31"/>
        <v>7.4468085106382975E-2</v>
      </c>
      <c r="E61" s="8">
        <f t="shared" si="31"/>
        <v>1.0638297872340425E-2</v>
      </c>
      <c r="F61" s="8">
        <f t="shared" si="31"/>
        <v>2.1276595744680851E-2</v>
      </c>
      <c r="G61">
        <f t="shared" si="28"/>
        <v>94</v>
      </c>
      <c r="H61" s="11">
        <f t="shared" si="29"/>
        <v>8.6702127659574462</v>
      </c>
    </row>
    <row r="62" spans="1:11">
      <c r="A62">
        <v>5</v>
      </c>
      <c r="B62" s="5" t="s">
        <v>356</v>
      </c>
      <c r="C62" s="8">
        <f t="shared" ref="C62:F62" si="32">C41/$G62</f>
        <v>0.67826086956521736</v>
      </c>
      <c r="D62" s="8">
        <f t="shared" si="32"/>
        <v>0.17391304347826086</v>
      </c>
      <c r="E62" s="8">
        <f t="shared" si="32"/>
        <v>0.12173913043478261</v>
      </c>
      <c r="F62" s="8">
        <f t="shared" si="32"/>
        <v>2.6086956521739129E-2</v>
      </c>
      <c r="G62">
        <f t="shared" si="28"/>
        <v>115</v>
      </c>
      <c r="H62" s="11">
        <f t="shared" si="29"/>
        <v>16.173913043478262</v>
      </c>
    </row>
    <row r="63" spans="1:11" ht="30">
      <c r="A63">
        <v>6</v>
      </c>
      <c r="B63" s="5" t="s">
        <v>357</v>
      </c>
      <c r="C63" s="8">
        <f t="shared" ref="C63:F63" si="33">C42/$G63</f>
        <v>0.77142857142857146</v>
      </c>
      <c r="D63" s="8">
        <f t="shared" si="33"/>
        <v>0.16190476190476191</v>
      </c>
      <c r="E63" s="8">
        <f t="shared" si="33"/>
        <v>4.7619047619047616E-2</v>
      </c>
      <c r="F63" s="8">
        <f t="shared" si="33"/>
        <v>1.9047619047619049E-2</v>
      </c>
      <c r="G63">
        <f t="shared" si="28"/>
        <v>105</v>
      </c>
      <c r="H63" s="11">
        <f t="shared" si="29"/>
        <v>11.619047619047619</v>
      </c>
    </row>
    <row r="64" spans="1:11" ht="30">
      <c r="A64">
        <v>7</v>
      </c>
      <c r="B64" s="5" t="s">
        <v>358</v>
      </c>
      <c r="C64" s="8">
        <f>C43/$G64</f>
        <v>0.89534883720930236</v>
      </c>
      <c r="D64" s="8">
        <f t="shared" ref="D64:F64" si="34">D43/$G64</f>
        <v>6.9767441860465115E-2</v>
      </c>
      <c r="E64" s="8">
        <f t="shared" si="34"/>
        <v>3.4883720930232558E-2</v>
      </c>
      <c r="F64" s="8">
        <f t="shared" si="34"/>
        <v>0</v>
      </c>
      <c r="G64">
        <f t="shared" si="28"/>
        <v>86</v>
      </c>
      <c r="H64" s="11">
        <f t="shared" si="29"/>
        <v>7.7906976744186043</v>
      </c>
    </row>
    <row r="67" spans="1:11">
      <c r="A67" s="15" t="s">
        <v>380</v>
      </c>
      <c r="B67" s="15"/>
      <c r="C67" s="15"/>
      <c r="D67" s="15"/>
      <c r="E67" s="15"/>
      <c r="F67" s="15"/>
      <c r="G67" s="15"/>
      <c r="H67" s="15"/>
      <c r="I67" s="15"/>
    </row>
    <row r="69" spans="1:11" ht="60">
      <c r="A69" t="s">
        <v>348</v>
      </c>
      <c r="B69" s="5" t="s">
        <v>349</v>
      </c>
      <c r="C69" s="5">
        <v>1</v>
      </c>
      <c r="D69" s="5">
        <v>2</v>
      </c>
      <c r="E69">
        <v>3</v>
      </c>
      <c r="F69" s="5">
        <v>4</v>
      </c>
      <c r="G69" s="5">
        <v>5</v>
      </c>
      <c r="H69" s="5" t="s">
        <v>351</v>
      </c>
      <c r="I69" s="5" t="s">
        <v>350</v>
      </c>
    </row>
    <row r="70" spans="1:11" ht="30">
      <c r="A70">
        <v>1</v>
      </c>
      <c r="B70" s="5" t="s">
        <v>352</v>
      </c>
      <c r="C70">
        <f>COUNTIFS(DataT!19:19,C$69)</f>
        <v>38</v>
      </c>
      <c r="D70">
        <f>COUNTIFS(DataT!19:19,D$69)</f>
        <v>49</v>
      </c>
      <c r="E70">
        <f>COUNTIFS(DataT!19:19,E$69)</f>
        <v>8</v>
      </c>
      <c r="F70">
        <f>COUNTIFS(DataT!19:19,F$69)</f>
        <v>4</v>
      </c>
      <c r="G70">
        <f>COUNTIFS(DataT!19:19,G$69)</f>
        <v>38</v>
      </c>
      <c r="H70">
        <f>SUM(C70:G70)</f>
        <v>137</v>
      </c>
      <c r="I70" s="7">
        <f>((C$13*C70)+(D$13*D70)+(E$13*E70)+(F$13*F70)+(G$13*G70))/H70</f>
        <v>2.6715328467153285</v>
      </c>
    </row>
    <row r="71" spans="1:11">
      <c r="A71">
        <v>2</v>
      </c>
      <c r="B71" t="s">
        <v>353</v>
      </c>
      <c r="C71">
        <f>COUNTIFS(DataT!20:20,C$69)</f>
        <v>64</v>
      </c>
      <c r="D71">
        <f>COUNTIFS(DataT!20:20,D$69)</f>
        <v>33</v>
      </c>
      <c r="E71">
        <f>COUNTIFS(DataT!20:20,E$69)</f>
        <v>4</v>
      </c>
      <c r="F71">
        <f>COUNTIFS(DataT!20:20,F$69)</f>
        <v>0</v>
      </c>
      <c r="G71">
        <f>COUNTIFS(DataT!20:20,G$69)</f>
        <v>37</v>
      </c>
      <c r="H71">
        <f t="shared" ref="H71:H76" si="35">SUM(C71:G71)</f>
        <v>138</v>
      </c>
      <c r="I71" s="7">
        <f t="shared" ref="I71:I76" si="36">((C$13*C71)+(D$13*D71)+(E$13*E71)+(F$13*F71)+(G$13*G71))/H71</f>
        <v>2.3695652173913042</v>
      </c>
    </row>
    <row r="72" spans="1:11" ht="30">
      <c r="A72">
        <v>3</v>
      </c>
      <c r="B72" s="5" t="s">
        <v>354</v>
      </c>
      <c r="C72">
        <f>COUNTIFS(DataT!21:21,C$69)</f>
        <v>36</v>
      </c>
      <c r="D72">
        <f>COUNTIFS(DataT!21:21,D$69)</f>
        <v>57</v>
      </c>
      <c r="E72">
        <f>COUNTIFS(DataT!21:21,E$69)</f>
        <v>8</v>
      </c>
      <c r="F72">
        <f>COUNTIFS(DataT!21:21,F$69)</f>
        <v>3</v>
      </c>
      <c r="G72">
        <f>COUNTIFS(DataT!21:21,G$69)</f>
        <v>34</v>
      </c>
      <c r="H72">
        <f t="shared" si="35"/>
        <v>138</v>
      </c>
      <c r="I72" s="7">
        <f t="shared" si="36"/>
        <v>2.5797101449275361</v>
      </c>
    </row>
    <row r="73" spans="1:11" ht="30">
      <c r="A73">
        <v>4</v>
      </c>
      <c r="B73" s="5" t="s">
        <v>355</v>
      </c>
      <c r="C73">
        <f>COUNTIFS(DataT!22:22,C$69)</f>
        <v>105</v>
      </c>
      <c r="D73">
        <f>COUNTIFS(DataT!22:22,D$69)</f>
        <v>4</v>
      </c>
      <c r="E73">
        <f>COUNTIFS(DataT!22:22,E$69)</f>
        <v>0</v>
      </c>
      <c r="F73">
        <f>COUNTIFS(DataT!22:22,F$69)</f>
        <v>0</v>
      </c>
      <c r="G73">
        <f>COUNTIFS(DataT!22:22,G$69)</f>
        <v>28</v>
      </c>
      <c r="H73">
        <f t="shared" si="35"/>
        <v>137</v>
      </c>
      <c r="I73" s="7">
        <f t="shared" si="36"/>
        <v>1.8467153284671534</v>
      </c>
    </row>
    <row r="74" spans="1:11">
      <c r="A74">
        <v>5</v>
      </c>
      <c r="B74" s="5" t="s">
        <v>356</v>
      </c>
      <c r="C74">
        <f>COUNTIFS(DataT!23:23,C$69)</f>
        <v>37</v>
      </c>
      <c r="D74">
        <f>COUNTIFS(DataT!23:23,D$69)</f>
        <v>55</v>
      </c>
      <c r="E74">
        <f>COUNTIFS(DataT!23:23,E$69)</f>
        <v>12</v>
      </c>
      <c r="F74">
        <f>COUNTIFS(DataT!23:23,F$69)</f>
        <v>5</v>
      </c>
      <c r="G74">
        <f>COUNTIFS(DataT!23:23,G$69)</f>
        <v>28</v>
      </c>
      <c r="H74">
        <f t="shared" si="35"/>
        <v>137</v>
      </c>
      <c r="I74" s="7">
        <f t="shared" si="36"/>
        <v>2.5036496350364965</v>
      </c>
    </row>
    <row r="75" spans="1:11" ht="30">
      <c r="A75">
        <v>6</v>
      </c>
      <c r="B75" s="5" t="s">
        <v>357</v>
      </c>
      <c r="C75">
        <f>COUNTIFS(DataT!24:24,C$69)</f>
        <v>88</v>
      </c>
      <c r="D75">
        <f>COUNTIFS(DataT!24:24,D$69)</f>
        <v>14</v>
      </c>
      <c r="E75">
        <f>COUNTIFS(DataT!24:24,E$69)</f>
        <v>0</v>
      </c>
      <c r="F75">
        <f>COUNTIFS(DataT!24:24,F$69)</f>
        <v>0</v>
      </c>
      <c r="G75">
        <f>COUNTIFS(DataT!24:24,G$69)</f>
        <v>34</v>
      </c>
      <c r="H75">
        <f t="shared" si="35"/>
        <v>136</v>
      </c>
      <c r="I75" s="7">
        <f t="shared" si="36"/>
        <v>2.1029411764705883</v>
      </c>
    </row>
    <row r="76" spans="1:11" ht="30">
      <c r="A76">
        <v>7</v>
      </c>
      <c r="B76" s="5" t="s">
        <v>358</v>
      </c>
      <c r="C76">
        <f>COUNTIFS(DataT!25:25,C$69)</f>
        <v>111</v>
      </c>
      <c r="D76">
        <f>COUNTIFS(DataT!25:25,D$69)</f>
        <v>3</v>
      </c>
      <c r="E76">
        <f>COUNTIFS(DataT!25:25,E$69)</f>
        <v>1</v>
      </c>
      <c r="F76">
        <f>COUNTIFS(DataT!25:25,F$69)</f>
        <v>0</v>
      </c>
      <c r="G76">
        <f>COUNTIFS(DataT!25:25,G$69)</f>
        <v>24</v>
      </c>
      <c r="H76">
        <f t="shared" si="35"/>
        <v>139</v>
      </c>
      <c r="I76" s="7">
        <f t="shared" si="36"/>
        <v>1.7266187050359711</v>
      </c>
    </row>
    <row r="78" spans="1:11" ht="45">
      <c r="C78" s="6" t="s">
        <v>366</v>
      </c>
      <c r="D78" s="6" t="s">
        <v>367</v>
      </c>
      <c r="E78" s="6" t="s">
        <v>368</v>
      </c>
      <c r="F78" s="6" t="s">
        <v>369</v>
      </c>
      <c r="G78" s="6" t="s">
        <v>370</v>
      </c>
      <c r="I78" s="6" t="s">
        <v>371</v>
      </c>
      <c r="J78" s="6" t="s">
        <v>372</v>
      </c>
      <c r="K78" s="10" t="s">
        <v>374</v>
      </c>
    </row>
    <row r="79" spans="1:11" ht="30">
      <c r="A79">
        <v>1</v>
      </c>
      <c r="B79" s="5" t="s">
        <v>352</v>
      </c>
      <c r="C79" s="8">
        <f>C70/$H70</f>
        <v>0.27737226277372262</v>
      </c>
      <c r="D79" s="8">
        <f t="shared" ref="D79:H79" si="37">D70/$H70</f>
        <v>0.35766423357664234</v>
      </c>
      <c r="E79" s="8">
        <f t="shared" si="37"/>
        <v>5.8394160583941604E-2</v>
      </c>
      <c r="F79" s="8">
        <f t="shared" si="37"/>
        <v>2.9197080291970802E-2</v>
      </c>
      <c r="G79" s="8">
        <f t="shared" si="37"/>
        <v>0.27737226277372262</v>
      </c>
      <c r="H79" s="8">
        <f t="shared" si="37"/>
        <v>1</v>
      </c>
      <c r="I79" s="8">
        <f>F79+G79</f>
        <v>0.30656934306569344</v>
      </c>
      <c r="J79" s="8">
        <f>SUMPRODUCT(C79:G79, C$32:G$32)</f>
        <v>0.41788321167883213</v>
      </c>
      <c r="K79" s="8">
        <f>SUMPRODUCT(C79:G79, C$33:G$33)</f>
        <v>0.23708029197080291</v>
      </c>
    </row>
    <row r="80" spans="1:11">
      <c r="A80">
        <v>2</v>
      </c>
      <c r="B80" t="s">
        <v>353</v>
      </c>
      <c r="C80" s="8">
        <f t="shared" ref="C80:H80" si="38">C71/$H71</f>
        <v>0.46376811594202899</v>
      </c>
      <c r="D80" s="8">
        <f t="shared" si="38"/>
        <v>0.2391304347826087</v>
      </c>
      <c r="E80" s="8">
        <f t="shared" si="38"/>
        <v>2.8985507246376812E-2</v>
      </c>
      <c r="F80" s="8">
        <f t="shared" si="38"/>
        <v>0</v>
      </c>
      <c r="G80" s="8">
        <f t="shared" si="38"/>
        <v>0.26811594202898553</v>
      </c>
      <c r="H80" s="8">
        <f t="shared" si="38"/>
        <v>1</v>
      </c>
      <c r="I80" s="8">
        <f t="shared" ref="I80:I85" si="39">F80+G80</f>
        <v>0.26811594202898553</v>
      </c>
      <c r="J80" s="8">
        <f>SUMPRODUCT(C80:G80, C$32:G$32)</f>
        <v>0.34239130434782611</v>
      </c>
      <c r="K80" s="8">
        <f t="shared" ref="K80:K85" si="40">SUMPRODUCT(C80:G80, C$33:G$33)</f>
        <v>0.19500000000000003</v>
      </c>
    </row>
    <row r="81" spans="1:13" ht="30">
      <c r="A81">
        <v>3</v>
      </c>
      <c r="B81" s="5" t="s">
        <v>354</v>
      </c>
      <c r="C81" s="8">
        <f t="shared" ref="C81:H81" si="41">C72/$H72</f>
        <v>0.2608695652173913</v>
      </c>
      <c r="D81" s="8">
        <f t="shared" si="41"/>
        <v>0.41304347826086957</v>
      </c>
      <c r="E81" s="8">
        <f t="shared" si="41"/>
        <v>5.7971014492753624E-2</v>
      </c>
      <c r="F81" s="8">
        <f t="shared" si="41"/>
        <v>2.1739130434782608E-2</v>
      </c>
      <c r="G81" s="8">
        <f t="shared" si="41"/>
        <v>0.24637681159420291</v>
      </c>
      <c r="H81" s="8">
        <f t="shared" si="41"/>
        <v>1</v>
      </c>
      <c r="I81" s="8">
        <f t="shared" si="39"/>
        <v>0.26811594202898553</v>
      </c>
      <c r="J81" s="8">
        <f t="shared" ref="J81:J85" si="42">SUMPRODUCT(C81:G81, C$32:G$32)</f>
        <v>0.39492753623188404</v>
      </c>
      <c r="K81" s="8">
        <f t="shared" si="40"/>
        <v>0.21333333333333335</v>
      </c>
    </row>
    <row r="82" spans="1:13" ht="30">
      <c r="A82">
        <v>4</v>
      </c>
      <c r="B82" s="5" t="s">
        <v>355</v>
      </c>
      <c r="C82" s="8">
        <f t="shared" ref="C82:H82" si="43">C73/$H73</f>
        <v>0.76642335766423353</v>
      </c>
      <c r="D82" s="8">
        <f t="shared" si="43"/>
        <v>2.9197080291970802E-2</v>
      </c>
      <c r="E82" s="8">
        <f t="shared" si="43"/>
        <v>0</v>
      </c>
      <c r="F82" s="8">
        <f>F73/$H73</f>
        <v>0</v>
      </c>
      <c r="G82" s="8">
        <f t="shared" si="43"/>
        <v>0.20437956204379562</v>
      </c>
      <c r="H82" s="8">
        <f t="shared" si="43"/>
        <v>1</v>
      </c>
      <c r="I82" s="8">
        <f t="shared" si="39"/>
        <v>0.20437956204379562</v>
      </c>
      <c r="J82" s="8">
        <f t="shared" si="42"/>
        <v>0.21167883211678831</v>
      </c>
      <c r="K82" s="8">
        <f t="shared" si="40"/>
        <v>0.13343065693430656</v>
      </c>
    </row>
    <row r="83" spans="1:13">
      <c r="A83">
        <v>5</v>
      </c>
      <c r="B83" s="5" t="s">
        <v>356</v>
      </c>
      <c r="C83" s="8">
        <f t="shared" ref="C83:H83" si="44">C74/$H74</f>
        <v>0.27007299270072993</v>
      </c>
      <c r="D83" s="8">
        <f t="shared" si="44"/>
        <v>0.40145985401459855</v>
      </c>
      <c r="E83" s="8">
        <f t="shared" si="44"/>
        <v>8.7591240875912413E-2</v>
      </c>
      <c r="F83" s="8">
        <f t="shared" si="44"/>
        <v>3.6496350364963501E-2</v>
      </c>
      <c r="G83" s="8">
        <f t="shared" si="44"/>
        <v>0.20437956204379562</v>
      </c>
      <c r="H83" s="8">
        <f t="shared" si="44"/>
        <v>1</v>
      </c>
      <c r="I83" s="8">
        <f t="shared" si="39"/>
        <v>0.24087591240875911</v>
      </c>
      <c r="J83" s="8">
        <f t="shared" si="42"/>
        <v>0.37591240875912413</v>
      </c>
      <c r="K83" s="8">
        <f t="shared" si="40"/>
        <v>0.21094890510948905</v>
      </c>
    </row>
    <row r="84" spans="1:13" ht="30">
      <c r="A84">
        <v>6</v>
      </c>
      <c r="B84" s="5" t="s">
        <v>357</v>
      </c>
      <c r="C84" s="8">
        <f t="shared" ref="C84:H84" si="45">C75/$H75</f>
        <v>0.6470588235294118</v>
      </c>
      <c r="D84" s="8">
        <f t="shared" si="45"/>
        <v>0.10294117647058823</v>
      </c>
      <c r="E84" s="8">
        <f t="shared" si="45"/>
        <v>0</v>
      </c>
      <c r="F84" s="8">
        <f t="shared" si="45"/>
        <v>0</v>
      </c>
      <c r="G84" s="8">
        <f t="shared" si="45"/>
        <v>0.25</v>
      </c>
      <c r="H84" s="8">
        <f t="shared" si="45"/>
        <v>1</v>
      </c>
      <c r="I84" s="8">
        <f t="shared" si="39"/>
        <v>0.25</v>
      </c>
      <c r="J84" s="8">
        <f t="shared" si="42"/>
        <v>0.27573529411764708</v>
      </c>
      <c r="K84" s="8">
        <f t="shared" si="40"/>
        <v>0.16455882352941176</v>
      </c>
    </row>
    <row r="85" spans="1:13" ht="30">
      <c r="A85">
        <v>7</v>
      </c>
      <c r="B85" s="5" t="s">
        <v>358</v>
      </c>
      <c r="C85" s="8">
        <f t="shared" ref="C85:H85" si="46">C76/$H76</f>
        <v>0.79856115107913672</v>
      </c>
      <c r="D85" s="8">
        <f t="shared" si="46"/>
        <v>2.1582733812949641E-2</v>
      </c>
      <c r="E85" s="8">
        <f t="shared" si="46"/>
        <v>7.1942446043165471E-3</v>
      </c>
      <c r="F85" s="8">
        <f t="shared" si="46"/>
        <v>0</v>
      </c>
      <c r="G85" s="8">
        <f t="shared" si="46"/>
        <v>0.17266187050359713</v>
      </c>
      <c r="H85" s="8">
        <f t="shared" si="46"/>
        <v>1</v>
      </c>
      <c r="I85" s="8">
        <f t="shared" si="39"/>
        <v>0.17266187050359713</v>
      </c>
      <c r="J85" s="8">
        <f t="shared" si="42"/>
        <v>0.18165467625899281</v>
      </c>
      <c r="K85" s="8">
        <f t="shared" si="40"/>
        <v>0.11661870503597123</v>
      </c>
    </row>
    <row r="86" spans="1:13">
      <c r="A86" s="14" t="s">
        <v>364</v>
      </c>
      <c r="B86" s="14"/>
      <c r="C86" s="14"/>
      <c r="D86" s="14"/>
      <c r="E86" s="14"/>
      <c r="F86" s="14"/>
      <c r="G86" s="14"/>
      <c r="H86" s="14"/>
      <c r="I86" s="14"/>
    </row>
    <row r="87" spans="1:13">
      <c r="A87" t="s">
        <v>388</v>
      </c>
    </row>
    <row r="88" spans="1:13">
      <c r="A88" s="5"/>
      <c r="B88" s="5"/>
      <c r="C88" s="5"/>
      <c r="D88" s="5"/>
      <c r="E88" s="5"/>
      <c r="F88" s="5"/>
      <c r="G88" s="5"/>
      <c r="H88" s="5"/>
      <c r="I88" s="5"/>
    </row>
    <row r="89" spans="1:13" ht="30">
      <c r="C89" s="5" t="s">
        <v>359</v>
      </c>
      <c r="D89" s="5" t="s">
        <v>360</v>
      </c>
      <c r="E89" s="5" t="s">
        <v>361</v>
      </c>
      <c r="F89" s="5" t="s">
        <v>362</v>
      </c>
      <c r="G89" s="5" t="s">
        <v>363</v>
      </c>
    </row>
    <row r="90" spans="1:13" ht="60">
      <c r="A90" t="s">
        <v>348</v>
      </c>
      <c r="B90" s="5" t="s">
        <v>349</v>
      </c>
      <c r="C90" s="5">
        <v>1</v>
      </c>
      <c r="D90" s="5">
        <v>2</v>
      </c>
      <c r="E90">
        <v>3</v>
      </c>
      <c r="F90" s="5">
        <v>4</v>
      </c>
      <c r="G90" s="5">
        <v>5</v>
      </c>
      <c r="H90" s="5" t="s">
        <v>351</v>
      </c>
      <c r="I90" s="5" t="s">
        <v>350</v>
      </c>
      <c r="J90" t="s">
        <v>381</v>
      </c>
      <c r="K90" s="5" t="s">
        <v>382</v>
      </c>
      <c r="L90" s="5" t="s">
        <v>383</v>
      </c>
      <c r="M90" s="5" t="s">
        <v>384</v>
      </c>
    </row>
    <row r="91" spans="1:13" ht="30">
      <c r="A91">
        <v>1</v>
      </c>
      <c r="B91" s="5" t="s">
        <v>352</v>
      </c>
      <c r="C91">
        <f>COUNTIFS(DataT!12:12,C$90, DataT!$4:$4, $J$91, DataT!$4:$4, $K$91)</f>
        <v>11</v>
      </c>
      <c r="D91">
        <f>COUNTIFS(DataT!12:12,D$90, DataT!$4:$4, $J$91, DataT!$4:$4, $K$91)</f>
        <v>11</v>
      </c>
      <c r="E91">
        <f>COUNTIFS(DataT!12:12,E$90, DataT!$4:$4, $J$91, DataT!$4:$4, $K$91)</f>
        <v>20</v>
      </c>
      <c r="F91">
        <f>COUNTIFS(DataT!12:12,F$90, DataT!$4:$4, $J$91, DataT!$4:$4, $K$91)</f>
        <v>11</v>
      </c>
      <c r="G91">
        <f>COUNTIFS(DataT!12:12,G$90, DataT!$4:$4, $J$91, DataT!$4:$4, $K$91)</f>
        <v>2</v>
      </c>
      <c r="H91">
        <f>SUM(C91:G91)</f>
        <v>55</v>
      </c>
      <c r="I91" s="7">
        <f>((C$13*C91)+(D$13*D91)+(E$13*E91)+(F$13*F91)+(G$13*G91))/H91</f>
        <v>2.6727272727272728</v>
      </c>
      <c r="J91" t="s">
        <v>385</v>
      </c>
      <c r="K91" t="s">
        <v>386</v>
      </c>
      <c r="L91" t="s">
        <v>385</v>
      </c>
      <c r="M91" t="s">
        <v>387</v>
      </c>
    </row>
    <row r="92" spans="1:13">
      <c r="A92">
        <v>2</v>
      </c>
      <c r="B92" t="s">
        <v>353</v>
      </c>
      <c r="C92">
        <f>COUNTIFS(DataT!13:13,C$90, DataT!$4:$4, $J$91, DataT!$4:$4, $K$91)</f>
        <v>20</v>
      </c>
      <c r="D92">
        <f>COUNTIFS(DataT!13:13,D$90, DataT!$4:$4, $J$91, DataT!$4:$4, $K$91)</f>
        <v>20</v>
      </c>
      <c r="E92">
        <f>COUNTIFS(DataT!13:13,E$90, DataT!$4:$4, $J$91, DataT!$4:$4, $K$91)</f>
        <v>12</v>
      </c>
      <c r="F92">
        <f>COUNTIFS(DataT!13:13,F$90, DataT!$4:$4, $J$91, DataT!$4:$4, $K$91)</f>
        <v>4</v>
      </c>
      <c r="G92">
        <f>COUNTIFS(DataT!13:13,G$90, DataT!$4:$4, $J$91, DataT!$4:$4, $K$91)</f>
        <v>1</v>
      </c>
      <c r="H92">
        <f>SUM(C92:G92)</f>
        <v>57</v>
      </c>
      <c r="I92" s="7">
        <f t="shared" ref="I92:I97" si="47">((C$13*C92)+(D$13*D92)+(E$13*E92)+(F$13*F92)+(G$13*G92))/H92</f>
        <v>2.0526315789473686</v>
      </c>
    </row>
    <row r="93" spans="1:13" ht="30">
      <c r="A93">
        <v>3</v>
      </c>
      <c r="B93" s="5" t="s">
        <v>354</v>
      </c>
      <c r="C93">
        <f>COUNTIFS(DataT!14:14,C$90, DataT!$4:$4, $J$91, DataT!$4:$4, $K$91)</f>
        <v>7</v>
      </c>
      <c r="D93">
        <f>COUNTIFS(DataT!14:14,D$90, DataT!$4:$4, $J$91, DataT!$4:$4, $K$91)</f>
        <v>16</v>
      </c>
      <c r="E93">
        <f>COUNTIFS(DataT!14:14,E$90, DataT!$4:$4, $J$91, DataT!$4:$4, $K$91)</f>
        <v>17</v>
      </c>
      <c r="F93">
        <f>COUNTIFS(DataT!14:14,F$90, DataT!$4:$4, $J$91, DataT!$4:$4, $K$91)</f>
        <v>10</v>
      </c>
      <c r="G93">
        <f>COUNTIFS(DataT!14:14,G$90, DataT!$4:$4, $J$91, DataT!$4:$4, $K$91)</f>
        <v>5</v>
      </c>
      <c r="H93">
        <f t="shared" ref="H93:H97" si="48">SUM(C93:G93)</f>
        <v>55</v>
      </c>
      <c r="I93" s="7">
        <f t="shared" si="47"/>
        <v>2.8181818181818183</v>
      </c>
    </row>
    <row r="94" spans="1:13" ht="30">
      <c r="A94">
        <v>4</v>
      </c>
      <c r="B94" s="5" t="s">
        <v>355</v>
      </c>
      <c r="C94">
        <f>COUNTIFS(DataT!15:15,C$90, DataT!$4:$4, $J$91, DataT!$4:$4, $K$91)</f>
        <v>42</v>
      </c>
      <c r="D94">
        <f>COUNTIFS(DataT!15:15,D$90, DataT!$4:$4, $J$91, DataT!$4:$4, $K$91)</f>
        <v>8</v>
      </c>
      <c r="E94">
        <f>COUNTIFS(DataT!15:15,E$90, DataT!$4:$4, $J$91, DataT!$4:$4, $K$91)</f>
        <v>4</v>
      </c>
      <c r="F94">
        <f>COUNTIFS(DataT!15:15,F$90, DataT!$4:$4, $J$91, DataT!$4:$4, $K$91)</f>
        <v>1</v>
      </c>
      <c r="G94">
        <f>COUNTIFS(DataT!15:15,G$90, DataT!$4:$4, $J$91, DataT!$4:$4, $K$91)</f>
        <v>1</v>
      </c>
      <c r="H94">
        <f t="shared" si="48"/>
        <v>56</v>
      </c>
      <c r="I94" s="7">
        <f t="shared" si="47"/>
        <v>1.4107142857142858</v>
      </c>
    </row>
    <row r="95" spans="1:13">
      <c r="A95">
        <v>5</v>
      </c>
      <c r="B95" s="5" t="s">
        <v>356</v>
      </c>
      <c r="C95">
        <f>COUNTIFS(DataT!16:16,C$90, DataT!$4:$4, $J$91, DataT!$4:$4, $K$91)</f>
        <v>26</v>
      </c>
      <c r="D95">
        <f>COUNTIFS(DataT!16:16,D$90, DataT!$4:$4, $J$91, DataT!$4:$4, $K$91)</f>
        <v>11</v>
      </c>
      <c r="E95">
        <f>COUNTIFS(DataT!16:16,E$90, DataT!$4:$4, $J$91, DataT!$4:$4, $K$91)</f>
        <v>10</v>
      </c>
      <c r="F95">
        <f>COUNTIFS(DataT!16:16,F$90, DataT!$4:$4, $J$91, DataT!$4:$4, $K$91)</f>
        <v>6</v>
      </c>
      <c r="G95">
        <f>COUNTIFS(DataT!16:16,G$90, DataT!$4:$4, $J$91, DataT!$4:$4, $K$91)</f>
        <v>2</v>
      </c>
      <c r="H95">
        <f t="shared" si="48"/>
        <v>55</v>
      </c>
      <c r="I95" s="7">
        <f t="shared" si="47"/>
        <v>2.0363636363636362</v>
      </c>
    </row>
    <row r="96" spans="1:13" ht="30">
      <c r="A96">
        <v>6</v>
      </c>
      <c r="B96" s="5" t="s">
        <v>357</v>
      </c>
      <c r="C96">
        <f>COUNTIFS(DataT!17:17,C$90, DataT!$4:$4, $J$91, DataT!$4:$4, $K$91)</f>
        <v>27</v>
      </c>
      <c r="D96">
        <f>COUNTIFS(DataT!17:17,D$90, DataT!$4:$4, $J$91, DataT!$4:$4, $K$91)</f>
        <v>15</v>
      </c>
      <c r="E96">
        <f>COUNTIFS(DataT!17:17,E$90, DataT!$4:$4, $J$91, DataT!$4:$4, $K$91)</f>
        <v>9</v>
      </c>
      <c r="F96">
        <f>COUNTIFS(DataT!17:17,F$90, DataT!$4:$4, $J$91, DataT!$4:$4, $K$91)</f>
        <v>3</v>
      </c>
      <c r="G96">
        <f>COUNTIFS(DataT!17:17,G$90, DataT!$4:$4, $J$91, DataT!$4:$4, $K$91)</f>
        <v>1</v>
      </c>
      <c r="H96">
        <f t="shared" si="48"/>
        <v>55</v>
      </c>
      <c r="I96" s="7">
        <f t="shared" si="47"/>
        <v>1.8363636363636364</v>
      </c>
    </row>
    <row r="97" spans="1:10" ht="30">
      <c r="A97">
        <v>7</v>
      </c>
      <c r="B97" s="5" t="s">
        <v>358</v>
      </c>
      <c r="C97">
        <f>COUNTIFS(DataT!18:18,C$90, DataT!$4:$4, $J$91, DataT!$4:$4, $K$91)</f>
        <v>48</v>
      </c>
      <c r="D97">
        <f>COUNTIFS(DataT!18:18,D$90, DataT!$4:$4, $J$91, DataT!$4:$4, $K$91)</f>
        <v>4</v>
      </c>
      <c r="E97">
        <f>COUNTIFS(DataT!18:18,E$90, DataT!$4:$4, $J$91, DataT!$4:$4, $K$91)</f>
        <v>2</v>
      </c>
      <c r="F97">
        <f>COUNTIFS(DataT!18:18,F$90, DataT!$4:$4, $J$91, DataT!$4:$4, $K$91)</f>
        <v>2</v>
      </c>
      <c r="G97">
        <f>COUNTIFS(DataT!18:18,G$90, DataT!$4:$4, $J$91, DataT!$4:$4, $K$91)</f>
        <v>0</v>
      </c>
      <c r="H97">
        <f t="shared" si="48"/>
        <v>56</v>
      </c>
      <c r="I97" s="7">
        <f t="shared" si="47"/>
        <v>1.25</v>
      </c>
    </row>
    <row r="98" spans="1:10">
      <c r="C98" s="13" t="s">
        <v>365</v>
      </c>
      <c r="D98" s="13"/>
      <c r="E98" s="13"/>
    </row>
    <row r="99" spans="1:10">
      <c r="C99" s="6" t="s">
        <v>366</v>
      </c>
      <c r="D99" s="6" t="s">
        <v>367</v>
      </c>
      <c r="E99" s="6" t="s">
        <v>368</v>
      </c>
      <c r="F99" s="6" t="s">
        <v>369</v>
      </c>
      <c r="G99" s="6" t="s">
        <v>370</v>
      </c>
      <c r="I99" s="6" t="s">
        <v>371</v>
      </c>
      <c r="J99" s="6" t="s">
        <v>372</v>
      </c>
    </row>
    <row r="100" spans="1:10" ht="30">
      <c r="A100">
        <v>1</v>
      </c>
      <c r="B100" s="5" t="s">
        <v>352</v>
      </c>
      <c r="C100" s="8">
        <f>C91/$H91</f>
        <v>0.2</v>
      </c>
      <c r="D100" s="8">
        <f t="shared" ref="D100:H100" si="49">D91/$H91</f>
        <v>0.2</v>
      </c>
      <c r="E100" s="8">
        <f t="shared" si="49"/>
        <v>0.36363636363636365</v>
      </c>
      <c r="F100" s="8">
        <f t="shared" si="49"/>
        <v>0.2</v>
      </c>
      <c r="G100" s="8">
        <f t="shared" si="49"/>
        <v>3.6363636363636362E-2</v>
      </c>
      <c r="H100" s="8">
        <f t="shared" si="49"/>
        <v>1</v>
      </c>
      <c r="I100" s="8">
        <f>F100+G100</f>
        <v>0.23636363636363639</v>
      </c>
      <c r="J100" s="8">
        <f>SUMPRODUCT(C100:G100, C$32:G$32)</f>
        <v>0.41818181818181821</v>
      </c>
    </row>
    <row r="101" spans="1:10">
      <c r="A101">
        <v>2</v>
      </c>
      <c r="B101" t="s">
        <v>353</v>
      </c>
      <c r="C101" s="8">
        <f t="shared" ref="C101:H101" si="50">C92/$H92</f>
        <v>0.35087719298245612</v>
      </c>
      <c r="D101" s="8">
        <f t="shared" si="50"/>
        <v>0.35087719298245612</v>
      </c>
      <c r="E101" s="8">
        <f t="shared" si="50"/>
        <v>0.21052631578947367</v>
      </c>
      <c r="F101" s="8">
        <f t="shared" si="50"/>
        <v>7.0175438596491224E-2</v>
      </c>
      <c r="G101" s="8">
        <f t="shared" si="50"/>
        <v>1.7543859649122806E-2</v>
      </c>
      <c r="H101" s="8">
        <f t="shared" si="50"/>
        <v>1</v>
      </c>
      <c r="I101" s="8">
        <f t="shared" ref="I101:I106" si="51">F101+G101</f>
        <v>8.771929824561403E-2</v>
      </c>
      <c r="J101" s="8">
        <f>SUMPRODUCT(C101:G101, C$32:G$32)</f>
        <v>0.26315789473684209</v>
      </c>
    </row>
    <row r="102" spans="1:10" ht="30">
      <c r="A102">
        <v>3</v>
      </c>
      <c r="B102" s="5" t="s">
        <v>354</v>
      </c>
      <c r="C102" s="8">
        <f t="shared" ref="C102:H102" si="52">C93/$H93</f>
        <v>0.12727272727272726</v>
      </c>
      <c r="D102" s="8">
        <f t="shared" si="52"/>
        <v>0.29090909090909089</v>
      </c>
      <c r="E102" s="8">
        <f t="shared" si="52"/>
        <v>0.30909090909090908</v>
      </c>
      <c r="F102" s="8">
        <f t="shared" si="52"/>
        <v>0.18181818181818182</v>
      </c>
      <c r="G102" s="8">
        <f t="shared" si="52"/>
        <v>9.0909090909090912E-2</v>
      </c>
      <c r="H102" s="8">
        <f t="shared" si="52"/>
        <v>1</v>
      </c>
      <c r="I102" s="8">
        <f t="shared" si="51"/>
        <v>0.27272727272727271</v>
      </c>
      <c r="J102" s="8">
        <f t="shared" ref="J102:J106" si="53">SUMPRODUCT(C102:G102, C$32:G$32)</f>
        <v>0.45454545454545459</v>
      </c>
    </row>
    <row r="103" spans="1:10" ht="30">
      <c r="A103">
        <v>4</v>
      </c>
      <c r="B103" s="5" t="s">
        <v>355</v>
      </c>
      <c r="C103" s="8">
        <f t="shared" ref="C103:H103" si="54">C94/$H94</f>
        <v>0.75</v>
      </c>
      <c r="D103" s="8">
        <f t="shared" si="54"/>
        <v>0.14285714285714285</v>
      </c>
      <c r="E103" s="8">
        <f t="shared" si="54"/>
        <v>7.1428571428571425E-2</v>
      </c>
      <c r="F103" s="8">
        <f t="shared" si="54"/>
        <v>1.7857142857142856E-2</v>
      </c>
      <c r="G103" s="8">
        <f t="shared" si="54"/>
        <v>1.7857142857142856E-2</v>
      </c>
      <c r="H103" s="8">
        <f t="shared" si="54"/>
        <v>1</v>
      </c>
      <c r="I103" s="8">
        <f t="shared" si="51"/>
        <v>3.5714285714285712E-2</v>
      </c>
      <c r="J103" s="8">
        <f t="shared" si="53"/>
        <v>0.10267857142857142</v>
      </c>
    </row>
    <row r="104" spans="1:10">
      <c r="A104">
        <v>5</v>
      </c>
      <c r="B104" s="5" t="s">
        <v>356</v>
      </c>
      <c r="C104" s="8">
        <f t="shared" ref="C104:H104" si="55">C95/$H95</f>
        <v>0.47272727272727272</v>
      </c>
      <c r="D104" s="8">
        <f t="shared" si="55"/>
        <v>0.2</v>
      </c>
      <c r="E104" s="8">
        <f t="shared" si="55"/>
        <v>0.18181818181818182</v>
      </c>
      <c r="F104" s="8">
        <f t="shared" si="55"/>
        <v>0.10909090909090909</v>
      </c>
      <c r="G104" s="8">
        <f t="shared" si="55"/>
        <v>3.6363636363636362E-2</v>
      </c>
      <c r="H104" s="8">
        <f t="shared" si="55"/>
        <v>1</v>
      </c>
      <c r="I104" s="8">
        <f t="shared" si="51"/>
        <v>0.14545454545454545</v>
      </c>
      <c r="J104" s="8">
        <f t="shared" si="53"/>
        <v>0.25909090909090909</v>
      </c>
    </row>
    <row r="105" spans="1:10" ht="30">
      <c r="A105">
        <v>6</v>
      </c>
      <c r="B105" s="5" t="s">
        <v>357</v>
      </c>
      <c r="C105" s="8">
        <f t="shared" ref="C105:H105" si="56">C96/$H96</f>
        <v>0.49090909090909091</v>
      </c>
      <c r="D105" s="8">
        <f t="shared" si="56"/>
        <v>0.27272727272727271</v>
      </c>
      <c r="E105" s="8">
        <f t="shared" si="56"/>
        <v>0.16363636363636364</v>
      </c>
      <c r="F105" s="8">
        <f t="shared" si="56"/>
        <v>5.4545454545454543E-2</v>
      </c>
      <c r="G105" s="8">
        <f t="shared" si="56"/>
        <v>1.8181818181818181E-2</v>
      </c>
      <c r="H105" s="8">
        <f t="shared" si="56"/>
        <v>1</v>
      </c>
      <c r="I105" s="8">
        <f t="shared" si="51"/>
        <v>7.2727272727272724E-2</v>
      </c>
      <c r="J105" s="8">
        <f t="shared" si="53"/>
        <v>0.20909090909090911</v>
      </c>
    </row>
    <row r="106" spans="1:10" ht="30">
      <c r="A106">
        <v>7</v>
      </c>
      <c r="B106" s="5" t="s">
        <v>358</v>
      </c>
      <c r="C106" s="8">
        <f t="shared" ref="C106:H106" si="57">C97/$H97</f>
        <v>0.8571428571428571</v>
      </c>
      <c r="D106" s="8">
        <f t="shared" si="57"/>
        <v>7.1428571428571425E-2</v>
      </c>
      <c r="E106" s="8">
        <f t="shared" si="57"/>
        <v>3.5714285714285712E-2</v>
      </c>
      <c r="F106" s="8">
        <f t="shared" si="57"/>
        <v>3.5714285714285712E-2</v>
      </c>
      <c r="G106" s="8">
        <f t="shared" si="57"/>
        <v>0</v>
      </c>
      <c r="H106" s="8">
        <f t="shared" si="57"/>
        <v>1</v>
      </c>
      <c r="I106" s="8">
        <f t="shared" si="51"/>
        <v>3.5714285714285712E-2</v>
      </c>
      <c r="J106" s="8">
        <f t="shared" si="53"/>
        <v>6.25E-2</v>
      </c>
    </row>
    <row r="108" spans="1:10">
      <c r="C108">
        <v>1</v>
      </c>
      <c r="D108">
        <v>2</v>
      </c>
      <c r="E108">
        <v>3</v>
      </c>
      <c r="F108">
        <v>4</v>
      </c>
      <c r="G108">
        <v>5</v>
      </c>
    </row>
    <row r="109" spans="1:10">
      <c r="B109" s="5" t="s">
        <v>373</v>
      </c>
      <c r="C109" s="9">
        <v>0</v>
      </c>
      <c r="D109" s="9">
        <v>0.25</v>
      </c>
      <c r="E109" s="9">
        <v>0.5</v>
      </c>
      <c r="F109" s="9">
        <v>0.75</v>
      </c>
      <c r="G109" s="9">
        <v>1</v>
      </c>
    </row>
    <row r="110" spans="1:10">
      <c r="C110" s="9">
        <v>0</v>
      </c>
      <c r="D110" s="9">
        <v>0.02</v>
      </c>
      <c r="E110" s="9">
        <v>0.55000000000000004</v>
      </c>
      <c r="F110" s="9">
        <v>0.6</v>
      </c>
      <c r="G110" s="9">
        <v>0.65</v>
      </c>
    </row>
    <row r="112" spans="1:10">
      <c r="A112" s="16" t="s">
        <v>346</v>
      </c>
      <c r="B112" s="16"/>
      <c r="C112" s="16"/>
      <c r="D112" s="16"/>
      <c r="E112" s="16"/>
      <c r="F112" s="16"/>
      <c r="G112" s="16"/>
      <c r="H112" s="16"/>
      <c r="I112" s="16"/>
    </row>
    <row r="113" spans="1:14" ht="90">
      <c r="C113" s="5" t="s">
        <v>375</v>
      </c>
      <c r="D113" s="5" t="s">
        <v>376</v>
      </c>
      <c r="E113" s="5" t="s">
        <v>55</v>
      </c>
    </row>
    <row r="114" spans="1:14" ht="60">
      <c r="A114" t="s">
        <v>348</v>
      </c>
      <c r="B114" s="5" t="s">
        <v>349</v>
      </c>
      <c r="C114" s="5">
        <v>1</v>
      </c>
      <c r="D114" s="5">
        <v>2</v>
      </c>
      <c r="E114">
        <v>3</v>
      </c>
      <c r="F114" s="5">
        <v>4</v>
      </c>
      <c r="G114" s="5">
        <v>5</v>
      </c>
      <c r="H114" s="5" t="s">
        <v>351</v>
      </c>
      <c r="I114" s="5" t="s">
        <v>350</v>
      </c>
    </row>
    <row r="115" spans="1:14" ht="30">
      <c r="A115">
        <v>1</v>
      </c>
      <c r="B115" s="5" t="s">
        <v>352</v>
      </c>
      <c r="C115">
        <f>COUNTIFS(DataT!26:26,C$90, DataT!$4:$4, $K$116, DataT!$4:$4, $L$116, DataT!$5:$5, 3)</f>
        <v>36</v>
      </c>
      <c r="D115">
        <f>COUNTIFS(DataT!26:26,D$90, DataT!$4:$4, $K$116, DataT!$4:$4, $L$116, DataT!$5:$5, 3)</f>
        <v>14</v>
      </c>
      <c r="E115">
        <f>COUNTIFS(DataT!26:26,E$90, DataT!$4:$4, $K$116, DataT!$4:$4, $L$116, DataT!$5:$5, 3)</f>
        <v>7</v>
      </c>
      <c r="F115">
        <f>COUNTIFS(DataT!26:26,F$90, DataT!$4:$4, $K$116, DataT!$4:$4, $L$116, DataT!$5:$5, 3)</f>
        <v>1</v>
      </c>
      <c r="G115">
        <f>COUNTIFS(DataT!26:26,G$90, DataT!$4:$4, $K$116, DataT!$4:$4, $L$116, DataT!$5:$5, 3)</f>
        <v>13</v>
      </c>
      <c r="H115">
        <f>SUM(C115:G115)</f>
        <v>71</v>
      </c>
      <c r="I115" s="7">
        <f>((C$13*C115)+(D$13*D115)+(E$13*E115)+(F$13*F115)+(G$13*G115))/H115</f>
        <v>2.1690140845070425</v>
      </c>
      <c r="K115" t="s">
        <v>381</v>
      </c>
      <c r="L115" s="5" t="s">
        <v>382</v>
      </c>
      <c r="M115" s="5" t="s">
        <v>383</v>
      </c>
      <c r="N115" s="5" t="s">
        <v>384</v>
      </c>
    </row>
    <row r="116" spans="1:14">
      <c r="A116">
        <v>2</v>
      </c>
      <c r="B116" t="s">
        <v>353</v>
      </c>
      <c r="C116">
        <f>COUNTIFS(DataT!27:27,C$90, DataT!$4:$4, $K$116, DataT!$4:$4, $L$116, DataT!$5:$5, 3)</f>
        <v>43</v>
      </c>
      <c r="D116">
        <f>COUNTIFS(DataT!27:27,D$90, DataT!$4:$4, $K$116, DataT!$4:$4, $L$116, DataT!$5:$5, 3)</f>
        <v>6</v>
      </c>
      <c r="E116">
        <f>COUNTIFS(DataT!27:27,E$90, DataT!$4:$4, $K$116, DataT!$4:$4, $L$116, DataT!$5:$5, 3)</f>
        <v>2</v>
      </c>
      <c r="F116">
        <f>COUNTIFS(DataT!27:27,F$90, DataT!$4:$4, $K$116, DataT!$4:$4, $L$116, DataT!$5:$5, 3)</f>
        <v>1</v>
      </c>
      <c r="G116">
        <f>COUNTIFS(DataT!27:27,G$90, DataT!$4:$4, $K$116, DataT!$4:$4, $L$116, DataT!$5:$5, 3)</f>
        <v>19</v>
      </c>
      <c r="H116">
        <f t="shared" ref="H116:H121" si="58">SUM(C116:G116)</f>
        <v>71</v>
      </c>
      <c r="I116" s="7">
        <f t="shared" ref="I116:I121" si="59">((C$13*C116)+(D$13*D116)+(E$13*E116)+(F$13*F116)+(G$13*G116))/H116</f>
        <v>2.2535211267605635</v>
      </c>
      <c r="K116" t="s">
        <v>385</v>
      </c>
      <c r="L116" t="s">
        <v>395</v>
      </c>
      <c r="M116" t="s">
        <v>385</v>
      </c>
      <c r="N116" t="s">
        <v>387</v>
      </c>
    </row>
    <row r="117" spans="1:14" ht="30">
      <c r="A117">
        <v>3</v>
      </c>
      <c r="B117" s="5" t="s">
        <v>354</v>
      </c>
      <c r="C117">
        <f>COUNTIFS(DataT!28:28,C$90, DataT!$4:$4, $K$116, DataT!$4:$4, $L$116, DataT!$5:$5, 3)</f>
        <v>42</v>
      </c>
      <c r="D117">
        <f>COUNTIFS(DataT!28:28,D$90, DataT!$4:$4, $K$116, DataT!$4:$4, $L$116, DataT!$5:$5, 3)</f>
        <v>10</v>
      </c>
      <c r="E117">
        <f>COUNTIFS(DataT!28:28,E$90, DataT!$4:$4, $K$116, DataT!$4:$4, $L$116, DataT!$5:$5, 3)</f>
        <v>7</v>
      </c>
      <c r="F117">
        <f>COUNTIFS(DataT!28:28,F$90, DataT!$4:$4, $K$116, DataT!$4:$4, $L$116, DataT!$5:$5, 3)</f>
        <v>2</v>
      </c>
      <c r="G117">
        <f>COUNTIFS(DataT!28:28,G$90, DataT!$4:$4, $K$116, DataT!$4:$4, $L$116, DataT!$5:$5, 3)</f>
        <v>10</v>
      </c>
      <c r="H117">
        <f t="shared" si="58"/>
        <v>71</v>
      </c>
      <c r="I117" s="7">
        <f t="shared" si="59"/>
        <v>1.9859154929577465</v>
      </c>
    </row>
    <row r="118" spans="1:14" ht="30">
      <c r="A118">
        <v>4</v>
      </c>
      <c r="B118" s="5" t="s">
        <v>355</v>
      </c>
      <c r="C118">
        <f>COUNTIFS(DataT!29:29,C$90, DataT!$4:$4, $K$116, DataT!$4:$4, $L$116, DataT!$5:$5, 3)</f>
        <v>44</v>
      </c>
      <c r="D118">
        <f>COUNTIFS(DataT!29:29,D$90, DataT!$4:$4, $K$116, DataT!$4:$4, $L$116, DataT!$5:$5, 3)</f>
        <v>3</v>
      </c>
      <c r="E118">
        <f>COUNTIFS(DataT!29:29,E$90, DataT!$4:$4, $K$116, DataT!$4:$4, $L$116, DataT!$5:$5, 3)</f>
        <v>1</v>
      </c>
      <c r="F118">
        <f>COUNTIFS(DataT!29:29,F$90, DataT!$4:$4, $K$116, DataT!$4:$4, $L$116, DataT!$5:$5, 3)</f>
        <v>1</v>
      </c>
      <c r="G118">
        <f>COUNTIFS(DataT!29:29,G$90, DataT!$4:$4, $K$116, DataT!$4:$4, $L$116, DataT!$5:$5, 3)</f>
        <v>23</v>
      </c>
      <c r="H118">
        <f t="shared" si="58"/>
        <v>72</v>
      </c>
      <c r="I118" s="7">
        <f t="shared" si="59"/>
        <v>2.3888888888888888</v>
      </c>
    </row>
    <row r="119" spans="1:14">
      <c r="A119">
        <v>5</v>
      </c>
      <c r="B119" s="5" t="s">
        <v>356</v>
      </c>
      <c r="C119">
        <f>COUNTIFS(DataT!30:30,C$90, DataT!$4:$4, $K$116, DataT!$4:$4, $L$116, DataT!$5:$5, 3)</f>
        <v>37</v>
      </c>
      <c r="D119">
        <f>COUNTIFS(DataT!30:30,D$90, DataT!$4:$4, $K$116, DataT!$4:$4, $L$116, DataT!$5:$5, 3)</f>
        <v>10</v>
      </c>
      <c r="E119">
        <f>COUNTIFS(DataT!30:30,E$90, DataT!$4:$4, $K$116, DataT!$4:$4, $L$116, DataT!$5:$5, 3)</f>
        <v>9</v>
      </c>
      <c r="F119">
        <f>COUNTIFS(DataT!30:30,F$90, DataT!$4:$4, $K$116, DataT!$4:$4, $L$116, DataT!$5:$5, 3)</f>
        <v>3</v>
      </c>
      <c r="G119">
        <f>COUNTIFS(DataT!30:30,G$90, DataT!$4:$4, $K$116, DataT!$4:$4, $L$116, DataT!$5:$5, 3)</f>
        <v>13</v>
      </c>
      <c r="H119">
        <f t="shared" si="58"/>
        <v>72</v>
      </c>
      <c r="I119" s="7">
        <f t="shared" si="59"/>
        <v>2.2361111111111112</v>
      </c>
    </row>
    <row r="120" spans="1:14" ht="30">
      <c r="A120">
        <v>6</v>
      </c>
      <c r="B120" s="5" t="s">
        <v>357</v>
      </c>
      <c r="C120">
        <f>COUNTIFS(DataT!31:31,C$90, DataT!$4:$4, $K$116, DataT!$4:$4, $L$116, DataT!$5:$5, 3)</f>
        <v>41</v>
      </c>
      <c r="D120">
        <f>COUNTIFS(DataT!31:31,D$90, DataT!$4:$4, $K$116, DataT!$4:$4, $L$116, DataT!$5:$5, 3)</f>
        <v>9</v>
      </c>
      <c r="E120">
        <f>COUNTIFS(DataT!31:31,E$90, DataT!$4:$4, $K$116, DataT!$4:$4, $L$116, DataT!$5:$5, 3)</f>
        <v>2</v>
      </c>
      <c r="F120">
        <f>COUNTIFS(DataT!31:31,F$90, DataT!$4:$4, $K$116, DataT!$4:$4, $L$116, DataT!$5:$5, 3)</f>
        <v>2</v>
      </c>
      <c r="G120">
        <f>COUNTIFS(DataT!31:31,G$90, DataT!$4:$4, $K$116, DataT!$4:$4, $L$116, DataT!$5:$5, 3)</f>
        <v>15</v>
      </c>
      <c r="H120">
        <f t="shared" si="58"/>
        <v>69</v>
      </c>
      <c r="I120" s="7">
        <f t="shared" si="59"/>
        <v>2.1449275362318843</v>
      </c>
    </row>
    <row r="121" spans="1:14" ht="30">
      <c r="A121">
        <v>7</v>
      </c>
      <c r="B121" s="5" t="s">
        <v>358</v>
      </c>
      <c r="C121">
        <f>COUNTIFS(DataT!32:32,C$90, DataT!$4:$4, $K$116, DataT!$4:$4, $L$116, DataT!$5:$5, 3)</f>
        <v>37</v>
      </c>
      <c r="D121">
        <f>COUNTIFS(DataT!32:32,D$90, DataT!$4:$4, $K$116, DataT!$4:$4, $L$116, DataT!$5:$5, 3)</f>
        <v>3</v>
      </c>
      <c r="E121">
        <f>COUNTIFS(DataT!32:32,E$90, DataT!$4:$4, $K$116, DataT!$4:$4, $L$116, DataT!$5:$5, 3)</f>
        <v>0</v>
      </c>
      <c r="F121">
        <f>COUNTIFS(DataT!32:32,F$90, DataT!$4:$4, $K$116, DataT!$4:$4, $L$116, DataT!$5:$5, 3)</f>
        <v>0</v>
      </c>
      <c r="G121">
        <f>COUNTIFS(DataT!32:32,G$90, DataT!$4:$4, $K$116, DataT!$4:$4, $L$116, DataT!$5:$5, 3)</f>
        <v>32</v>
      </c>
      <c r="H121">
        <f t="shared" si="58"/>
        <v>72</v>
      </c>
      <c r="I121" s="7">
        <f t="shared" si="59"/>
        <v>2.8194444444444446</v>
      </c>
    </row>
    <row r="122" spans="1:14">
      <c r="C122" s="13" t="s">
        <v>365</v>
      </c>
      <c r="D122" s="13"/>
      <c r="E122" s="13"/>
    </row>
    <row r="123" spans="1:14" ht="45">
      <c r="C123" s="6" t="s">
        <v>366</v>
      </c>
      <c r="D123" s="6" t="s">
        <v>367</v>
      </c>
      <c r="E123" s="6" t="s">
        <v>368</v>
      </c>
      <c r="F123" s="6" t="s">
        <v>369</v>
      </c>
      <c r="G123" s="6" t="s">
        <v>370</v>
      </c>
      <c r="I123" s="6" t="s">
        <v>371</v>
      </c>
      <c r="J123" s="6" t="s">
        <v>372</v>
      </c>
      <c r="K123" s="10" t="s">
        <v>377</v>
      </c>
    </row>
    <row r="124" spans="1:14" ht="30">
      <c r="A124">
        <v>1</v>
      </c>
      <c r="B124" s="5" t="s">
        <v>352</v>
      </c>
      <c r="C124" s="8">
        <f>C115/$H115</f>
        <v>0.50704225352112675</v>
      </c>
      <c r="D124" s="8">
        <f t="shared" ref="D124:F124" si="60">D115/$H115</f>
        <v>0.19718309859154928</v>
      </c>
      <c r="E124" s="8">
        <f t="shared" si="60"/>
        <v>9.8591549295774641E-2</v>
      </c>
      <c r="F124" s="8">
        <f t="shared" si="60"/>
        <v>1.4084507042253521E-2</v>
      </c>
      <c r="G124" s="8">
        <f>G115/$H115</f>
        <v>0.18309859154929578</v>
      </c>
      <c r="H124" s="8">
        <f t="shared" ref="H124" si="61">H115/$H115</f>
        <v>1</v>
      </c>
      <c r="I124" s="8">
        <f>F124+G124</f>
        <v>0.19718309859154931</v>
      </c>
      <c r="J124" s="8">
        <f>SUMPRODUCT(C124:G124, C$32:G$32)</f>
        <v>0.29225352112676056</v>
      </c>
      <c r="K124" s="11">
        <f>SUMPRODUCT(C124:G124, C$56:G$56)</f>
        <v>13.309859154929576</v>
      </c>
    </row>
    <row r="125" spans="1:14">
      <c r="A125">
        <v>2</v>
      </c>
      <c r="B125" t="s">
        <v>353</v>
      </c>
      <c r="C125" s="8">
        <f>C116/$H116</f>
        <v>0.60563380281690138</v>
      </c>
      <c r="D125" s="8">
        <f>D116/$H116</f>
        <v>8.4507042253521125E-2</v>
      </c>
      <c r="E125" s="8">
        <f t="shared" ref="E125:H125" si="62">E116/$H116</f>
        <v>2.8169014084507043E-2</v>
      </c>
      <c r="F125" s="8">
        <f t="shared" si="62"/>
        <v>1.4084507042253521E-2</v>
      </c>
      <c r="G125" s="8">
        <f t="shared" si="62"/>
        <v>0.26760563380281688</v>
      </c>
      <c r="H125" s="8">
        <f t="shared" si="62"/>
        <v>1</v>
      </c>
      <c r="I125" s="8">
        <f t="shared" ref="I125:I130" si="63">F125+G125</f>
        <v>0.28169014084507038</v>
      </c>
      <c r="J125" s="8">
        <f>SUMPRODUCT(C125:G125, C$32:G$32)</f>
        <v>0.31338028169014082</v>
      </c>
      <c r="K125" s="11">
        <f t="shared" ref="K125:K130" si="64">SUMPRODUCT(C125:G125, C$56:G$56)</f>
        <v>7.676056338028169</v>
      </c>
    </row>
    <row r="126" spans="1:14" ht="30">
      <c r="A126">
        <v>3</v>
      </c>
      <c r="B126" s="5" t="s">
        <v>354</v>
      </c>
      <c r="C126" s="8">
        <f t="shared" ref="C126:H126" si="65">C117/$H117</f>
        <v>0.59154929577464788</v>
      </c>
      <c r="D126" s="8">
        <f t="shared" si="65"/>
        <v>0.14084507042253522</v>
      </c>
      <c r="E126" s="8">
        <f t="shared" si="65"/>
        <v>9.8591549295774641E-2</v>
      </c>
      <c r="F126" s="8">
        <f t="shared" si="65"/>
        <v>2.8169014084507043E-2</v>
      </c>
      <c r="G126" s="8">
        <f t="shared" si="65"/>
        <v>0.14084507042253522</v>
      </c>
      <c r="H126" s="8">
        <f t="shared" si="65"/>
        <v>1</v>
      </c>
      <c r="I126" s="8">
        <f t="shared" si="63"/>
        <v>0.16901408450704225</v>
      </c>
      <c r="J126" s="8">
        <f t="shared" ref="J126:J130" si="66">SUMPRODUCT(C126:G126, C$32:G$32)</f>
        <v>0.24647887323943662</v>
      </c>
      <c r="K126" s="11">
        <f t="shared" si="64"/>
        <v>14.014084507042252</v>
      </c>
    </row>
    <row r="127" spans="1:14" ht="30">
      <c r="A127">
        <v>4</v>
      </c>
      <c r="B127" s="5" t="s">
        <v>355</v>
      </c>
      <c r="C127" s="8">
        <f t="shared" ref="C127:H127" si="67">C118/$H118</f>
        <v>0.61111111111111116</v>
      </c>
      <c r="D127" s="8">
        <f t="shared" si="67"/>
        <v>4.1666666666666664E-2</v>
      </c>
      <c r="E127" s="8">
        <f t="shared" si="67"/>
        <v>1.3888888888888888E-2</v>
      </c>
      <c r="F127" s="8">
        <f t="shared" si="67"/>
        <v>1.3888888888888888E-2</v>
      </c>
      <c r="G127" s="8">
        <f t="shared" si="67"/>
        <v>0.31944444444444442</v>
      </c>
      <c r="H127" s="8">
        <f t="shared" si="67"/>
        <v>1</v>
      </c>
      <c r="I127" s="8">
        <f t="shared" si="63"/>
        <v>0.33333333333333331</v>
      </c>
      <c r="J127" s="8">
        <f t="shared" si="66"/>
        <v>0.34722222222222221</v>
      </c>
      <c r="K127" s="11">
        <f t="shared" si="64"/>
        <v>6.0416666666666679</v>
      </c>
    </row>
    <row r="128" spans="1:14">
      <c r="A128">
        <v>5</v>
      </c>
      <c r="B128" s="5" t="s">
        <v>356</v>
      </c>
      <c r="C128" s="8">
        <f t="shared" ref="C128:H128" si="68">C119/$H119</f>
        <v>0.51388888888888884</v>
      </c>
      <c r="D128" s="8">
        <f t="shared" si="68"/>
        <v>0.1388888888888889</v>
      </c>
      <c r="E128" s="8">
        <f t="shared" si="68"/>
        <v>0.125</v>
      </c>
      <c r="F128" s="8">
        <f t="shared" si="68"/>
        <v>4.1666666666666664E-2</v>
      </c>
      <c r="G128" s="8">
        <f t="shared" si="68"/>
        <v>0.18055555555555555</v>
      </c>
      <c r="H128" s="8">
        <f t="shared" si="68"/>
        <v>1</v>
      </c>
      <c r="I128" s="8">
        <f t="shared" si="63"/>
        <v>0.22222222222222221</v>
      </c>
      <c r="J128" s="8">
        <f t="shared" si="66"/>
        <v>0.30902777777777779</v>
      </c>
      <c r="K128" s="11">
        <f t="shared" si="64"/>
        <v>16.388888888888886</v>
      </c>
    </row>
    <row r="129" spans="1:11" ht="30">
      <c r="A129">
        <v>6</v>
      </c>
      <c r="B129" s="5" t="s">
        <v>357</v>
      </c>
      <c r="C129" s="8">
        <f t="shared" ref="C129:H129" si="69">C120/$H120</f>
        <v>0.59420289855072461</v>
      </c>
      <c r="D129" s="8">
        <f t="shared" si="69"/>
        <v>0.13043478260869565</v>
      </c>
      <c r="E129" s="8">
        <f t="shared" si="69"/>
        <v>2.8985507246376812E-2</v>
      </c>
      <c r="F129" s="8">
        <f t="shared" si="69"/>
        <v>2.8985507246376812E-2</v>
      </c>
      <c r="G129" s="8">
        <f t="shared" si="69"/>
        <v>0.21739130434782608</v>
      </c>
      <c r="H129" s="8">
        <f t="shared" si="69"/>
        <v>1</v>
      </c>
      <c r="I129" s="8">
        <f t="shared" si="63"/>
        <v>0.24637681159420288</v>
      </c>
      <c r="J129" s="8">
        <f t="shared" si="66"/>
        <v>0.28623188405797101</v>
      </c>
      <c r="K129" s="11">
        <f t="shared" si="64"/>
        <v>10.072463768115941</v>
      </c>
    </row>
    <row r="130" spans="1:11" ht="30">
      <c r="A130">
        <v>7</v>
      </c>
      <c r="B130" s="5" t="s">
        <v>358</v>
      </c>
      <c r="C130" s="8">
        <f t="shared" ref="C130:H130" si="70">C121/$H121</f>
        <v>0.51388888888888884</v>
      </c>
      <c r="D130" s="8">
        <f t="shared" si="70"/>
        <v>4.1666666666666664E-2</v>
      </c>
      <c r="E130" s="8">
        <f t="shared" si="70"/>
        <v>0</v>
      </c>
      <c r="F130" s="8">
        <f t="shared" si="70"/>
        <v>0</v>
      </c>
      <c r="G130" s="8">
        <f t="shared" si="70"/>
        <v>0.44444444444444442</v>
      </c>
      <c r="H130" s="8">
        <f t="shared" si="70"/>
        <v>1</v>
      </c>
      <c r="I130" s="8">
        <f t="shared" si="63"/>
        <v>0.44444444444444442</v>
      </c>
      <c r="J130" s="8">
        <f t="shared" si="66"/>
        <v>0.4548611111111111</v>
      </c>
      <c r="K130" s="11">
        <f t="shared" si="64"/>
        <v>3.4027777777777777</v>
      </c>
    </row>
    <row r="132" spans="1:11">
      <c r="C132">
        <v>1</v>
      </c>
      <c r="D132">
        <v>2</v>
      </c>
      <c r="E132">
        <v>3</v>
      </c>
      <c r="F132">
        <v>4</v>
      </c>
      <c r="G132">
        <v>5</v>
      </c>
    </row>
    <row r="133" spans="1:11">
      <c r="B133" s="5" t="s">
        <v>373</v>
      </c>
      <c r="C133" s="9">
        <v>0</v>
      </c>
      <c r="D133" s="9">
        <v>0.25</v>
      </c>
      <c r="E133" s="9">
        <v>0.5</v>
      </c>
      <c r="F133" s="9">
        <v>0.75</v>
      </c>
      <c r="G133" s="9">
        <v>1</v>
      </c>
    </row>
    <row r="134" spans="1:11">
      <c r="C134" s="12">
        <v>5</v>
      </c>
      <c r="D134" s="12">
        <v>20</v>
      </c>
      <c r="E134" s="12">
        <v>55</v>
      </c>
      <c r="F134" s="12">
        <v>100</v>
      </c>
      <c r="G134" s="12">
        <v>0</v>
      </c>
    </row>
    <row r="135" spans="1:11" ht="60">
      <c r="C135" s="6" t="s">
        <v>366</v>
      </c>
      <c r="D135" s="6" t="s">
        <v>367</v>
      </c>
      <c r="E135" s="6" t="s">
        <v>368</v>
      </c>
      <c r="F135" s="6" t="s">
        <v>369</v>
      </c>
      <c r="G135" s="10" t="s">
        <v>378</v>
      </c>
      <c r="H135" s="10" t="s">
        <v>379</v>
      </c>
    </row>
    <row r="136" spans="1:11" ht="30">
      <c r="A136">
        <v>1</v>
      </c>
      <c r="B136" s="5" t="s">
        <v>352</v>
      </c>
      <c r="C136" s="8">
        <f>C115/$G136</f>
        <v>0.62068965517241381</v>
      </c>
      <c r="D136" s="8">
        <f t="shared" ref="D136:F136" si="71">D115/$G136</f>
        <v>0.2413793103448276</v>
      </c>
      <c r="E136" s="8">
        <f t="shared" si="71"/>
        <v>0.1206896551724138</v>
      </c>
      <c r="F136" s="8">
        <f t="shared" si="71"/>
        <v>1.7241379310344827E-2</v>
      </c>
      <c r="G136">
        <f>SUM(C115:F115)</f>
        <v>58</v>
      </c>
      <c r="H136" s="11">
        <f>SUMPRODUCT(C$56:F$56, C136:F136)</f>
        <v>16.293103448275865</v>
      </c>
    </row>
    <row r="137" spans="1:11">
      <c r="A137">
        <v>2</v>
      </c>
      <c r="B137" t="s">
        <v>353</v>
      </c>
      <c r="C137" s="8">
        <f t="shared" ref="C137:F137" si="72">C116/$G137</f>
        <v>0.82692307692307687</v>
      </c>
      <c r="D137" s="8">
        <f t="shared" si="72"/>
        <v>0.11538461538461539</v>
      </c>
      <c r="E137" s="8">
        <f t="shared" si="72"/>
        <v>3.8461538461538464E-2</v>
      </c>
      <c r="F137" s="8">
        <f t="shared" si="72"/>
        <v>1.9230769230769232E-2</v>
      </c>
      <c r="G137">
        <f t="shared" ref="G137:G142" si="73">SUM(C116:F116)</f>
        <v>52</v>
      </c>
      <c r="H137" s="11">
        <f t="shared" ref="H137:H142" si="74">SUMPRODUCT(C$56:F$56, C137:F137)</f>
        <v>10.48076923076923</v>
      </c>
    </row>
    <row r="138" spans="1:11" ht="30">
      <c r="A138">
        <v>3</v>
      </c>
      <c r="B138" s="5" t="s">
        <v>354</v>
      </c>
      <c r="C138" s="8">
        <f t="shared" ref="C138:F138" si="75">C117/$G138</f>
        <v>0.68852459016393441</v>
      </c>
      <c r="D138" s="8">
        <f t="shared" si="75"/>
        <v>0.16393442622950818</v>
      </c>
      <c r="E138" s="8">
        <f t="shared" si="75"/>
        <v>0.11475409836065574</v>
      </c>
      <c r="F138" s="8">
        <f t="shared" si="75"/>
        <v>3.2786885245901641E-2</v>
      </c>
      <c r="G138">
        <f t="shared" si="73"/>
        <v>61</v>
      </c>
      <c r="H138" s="11">
        <f t="shared" si="74"/>
        <v>16.311475409836063</v>
      </c>
    </row>
    <row r="139" spans="1:11" ht="30">
      <c r="A139">
        <v>4</v>
      </c>
      <c r="B139" s="5" t="s">
        <v>355</v>
      </c>
      <c r="C139" s="8">
        <f t="shared" ref="C139:F139" si="76">C118/$G139</f>
        <v>0.89795918367346939</v>
      </c>
      <c r="D139" s="8">
        <f t="shared" si="76"/>
        <v>6.1224489795918366E-2</v>
      </c>
      <c r="E139" s="8">
        <f t="shared" si="76"/>
        <v>2.0408163265306121E-2</v>
      </c>
      <c r="F139" s="8">
        <f t="shared" si="76"/>
        <v>2.0408163265306121E-2</v>
      </c>
      <c r="G139">
        <f t="shared" si="73"/>
        <v>49</v>
      </c>
      <c r="H139" s="11">
        <f t="shared" si="74"/>
        <v>8.8775510204081627</v>
      </c>
    </row>
    <row r="140" spans="1:11">
      <c r="A140">
        <v>5</v>
      </c>
      <c r="B140" s="5" t="s">
        <v>356</v>
      </c>
      <c r="C140" s="8">
        <f t="shared" ref="C140:F140" si="77">C119/$G140</f>
        <v>0.6271186440677966</v>
      </c>
      <c r="D140" s="8">
        <f t="shared" si="77"/>
        <v>0.16949152542372881</v>
      </c>
      <c r="E140" s="8">
        <f t="shared" si="77"/>
        <v>0.15254237288135594</v>
      </c>
      <c r="F140" s="8">
        <f t="shared" si="77"/>
        <v>5.0847457627118647E-2</v>
      </c>
      <c r="G140">
        <f t="shared" si="73"/>
        <v>59</v>
      </c>
      <c r="H140" s="11">
        <f t="shared" si="74"/>
        <v>20</v>
      </c>
    </row>
    <row r="141" spans="1:11" ht="30">
      <c r="A141">
        <v>6</v>
      </c>
      <c r="B141" s="5" t="s">
        <v>357</v>
      </c>
      <c r="C141" s="8">
        <f t="shared" ref="C141:F141" si="78">C120/$G141</f>
        <v>0.7592592592592593</v>
      </c>
      <c r="D141" s="8">
        <f t="shared" si="78"/>
        <v>0.16666666666666666</v>
      </c>
      <c r="E141" s="8">
        <f t="shared" si="78"/>
        <v>3.7037037037037035E-2</v>
      </c>
      <c r="F141" s="8">
        <f t="shared" si="78"/>
        <v>3.7037037037037035E-2</v>
      </c>
      <c r="G141">
        <f t="shared" si="73"/>
        <v>54</v>
      </c>
      <c r="H141" s="11">
        <f t="shared" si="74"/>
        <v>12.87037037037037</v>
      </c>
    </row>
    <row r="142" spans="1:11" ht="30">
      <c r="A142">
        <v>7</v>
      </c>
      <c r="B142" s="5" t="s">
        <v>358</v>
      </c>
      <c r="C142" s="8">
        <f>C121/$G142</f>
        <v>0.92500000000000004</v>
      </c>
      <c r="D142" s="8">
        <f t="shared" ref="D142:F142" si="79">D121/$G142</f>
        <v>7.4999999999999997E-2</v>
      </c>
      <c r="E142" s="8">
        <f t="shared" si="79"/>
        <v>0</v>
      </c>
      <c r="F142" s="8">
        <f t="shared" si="79"/>
        <v>0</v>
      </c>
      <c r="G142">
        <f t="shared" si="73"/>
        <v>40</v>
      </c>
      <c r="H142" s="11">
        <f t="shared" si="74"/>
        <v>6.125</v>
      </c>
    </row>
  </sheetData>
  <mergeCells count="9">
    <mergeCell ref="A11:I11"/>
    <mergeCell ref="C21:E21"/>
    <mergeCell ref="C44:E44"/>
    <mergeCell ref="A112:I112"/>
    <mergeCell ref="C122:E122"/>
    <mergeCell ref="A86:I86"/>
    <mergeCell ref="C98:E98"/>
    <mergeCell ref="A67:I67"/>
    <mergeCell ref="A34:I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79604-2554-4F1F-9B1B-90424607E69F}">
  <dimension ref="A2:O51"/>
  <sheetViews>
    <sheetView topLeftCell="A32" workbookViewId="0">
      <selection activeCell="C33" sqref="C33"/>
    </sheetView>
  </sheetViews>
  <sheetFormatPr defaultRowHeight="15"/>
  <cols>
    <col min="3" max="3" width="8.77734375" customWidth="1"/>
  </cols>
  <sheetData>
    <row r="2" spans="1:15">
      <c r="A2" t="s">
        <v>389</v>
      </c>
      <c r="B2" t="s">
        <v>389</v>
      </c>
      <c r="C2" t="s">
        <v>389</v>
      </c>
      <c r="D2" t="s">
        <v>389</v>
      </c>
      <c r="E2" t="s">
        <v>389</v>
      </c>
      <c r="F2" t="s">
        <v>389</v>
      </c>
      <c r="G2" t="s">
        <v>389</v>
      </c>
      <c r="H2" t="s">
        <v>389</v>
      </c>
      <c r="I2" t="s">
        <v>389</v>
      </c>
    </row>
    <row r="5" spans="1:15">
      <c r="A5" s="14" t="s">
        <v>364</v>
      </c>
      <c r="B5" s="14"/>
      <c r="C5" s="14"/>
      <c r="D5" s="14"/>
      <c r="E5" s="14"/>
      <c r="F5" s="14"/>
      <c r="G5" s="14"/>
      <c r="H5" s="14"/>
      <c r="I5" s="14"/>
    </row>
    <row r="6" spans="1:15" ht="30">
      <c r="C6" s="5" t="s">
        <v>359</v>
      </c>
      <c r="D6" s="5" t="s">
        <v>360</v>
      </c>
      <c r="E6" s="5" t="s">
        <v>361</v>
      </c>
      <c r="F6" s="5" t="s">
        <v>362</v>
      </c>
      <c r="G6" s="5" t="s">
        <v>363</v>
      </c>
      <c r="K6" t="s">
        <v>389</v>
      </c>
      <c r="L6" t="s">
        <v>390</v>
      </c>
      <c r="M6" t="s">
        <v>381</v>
      </c>
      <c r="N6" t="s">
        <v>382</v>
      </c>
      <c r="O6" s="10" t="s">
        <v>391</v>
      </c>
    </row>
    <row r="7" spans="1:15" ht="60">
      <c r="A7" t="s">
        <v>348</v>
      </c>
      <c r="B7" s="5" t="s">
        <v>349</v>
      </c>
      <c r="C7" s="5">
        <v>1</v>
      </c>
      <c r="D7" s="5">
        <v>2</v>
      </c>
      <c r="E7">
        <v>3</v>
      </c>
      <c r="F7" s="5">
        <v>4</v>
      </c>
      <c r="G7" s="5">
        <v>5</v>
      </c>
      <c r="H7" s="5" t="s">
        <v>351</v>
      </c>
      <c r="I7" s="5" t="s">
        <v>350</v>
      </c>
      <c r="L7" t="s">
        <v>394</v>
      </c>
      <c r="M7">
        <v>0</v>
      </c>
      <c r="N7">
        <v>8</v>
      </c>
      <c r="O7">
        <v>1</v>
      </c>
    </row>
    <row r="8" spans="1:15" ht="60">
      <c r="A8">
        <v>1</v>
      </c>
      <c r="B8" s="5" t="s">
        <v>352</v>
      </c>
      <c r="C8">
        <f>COUNTIFS(DataT!12:12,C$7, DataT!$5:$5, $O$7)</f>
        <v>4</v>
      </c>
      <c r="D8">
        <f>COUNTIFS(DataT!12:12,D$7, DataT!$5:$5, $O$7)</f>
        <v>7</v>
      </c>
      <c r="E8">
        <f>COUNTIFS(DataT!12:12,E$7, DataT!$5:$5, $O$7)</f>
        <v>8</v>
      </c>
      <c r="F8">
        <f>COUNTIFS(DataT!12:12,F$7, DataT!$5:$5, $O$7)</f>
        <v>3</v>
      </c>
      <c r="G8">
        <f>COUNTIFS(DataT!12:12,G$7, DataT!$5:$5, $O$7)</f>
        <v>1</v>
      </c>
      <c r="H8">
        <f>SUM(C8:G8)</f>
        <v>23</v>
      </c>
      <c r="I8" s="7">
        <f>((C$7*C8)+(D$7*D8)+(E$7*E8)+(F$7*F8)+(G$7*G8))/H8</f>
        <v>2.5652173913043477</v>
      </c>
      <c r="K8" s="5"/>
    </row>
    <row r="9" spans="1:15">
      <c r="A9">
        <v>2</v>
      </c>
      <c r="B9" t="s">
        <v>353</v>
      </c>
      <c r="C9">
        <f>COUNTIFS(DataT!13:13,C$7, DataT!$5:$5, $O$7)</f>
        <v>11</v>
      </c>
      <c r="D9">
        <f>COUNTIFS(DataT!13:13,D$7, DataT!$5:$5, $O$7)</f>
        <v>5</v>
      </c>
      <c r="E9">
        <f>COUNTIFS(DataT!13:13,E$7, DataT!$5:$5, $O$7)</f>
        <v>4</v>
      </c>
      <c r="F9">
        <f>COUNTIFS(DataT!13:13,F$7, DataT!$5:$5, $O$7)</f>
        <v>4</v>
      </c>
      <c r="G9">
        <f>COUNTIFS(DataT!13:13,G$7, DataT!$5:$5, $O$7)</f>
        <v>0</v>
      </c>
      <c r="H9">
        <f t="shared" ref="H9:H14" si="0">SUM(C9:G9)</f>
        <v>24</v>
      </c>
      <c r="I9" s="7">
        <f t="shared" ref="I9:I14" si="1">((C$7*C9)+(D$7*D9)+(E$7*E9)+(F$7*F9)+(G$7*G9))/H9</f>
        <v>2.0416666666666665</v>
      </c>
    </row>
    <row r="10" spans="1:15" ht="60">
      <c r="A10">
        <v>3</v>
      </c>
      <c r="B10" s="5" t="s">
        <v>354</v>
      </c>
      <c r="C10">
        <f>COUNTIFS(DataT!14:14,C$7, DataT!$5:$5, $O$7)</f>
        <v>2</v>
      </c>
      <c r="D10">
        <f>COUNTIFS(DataT!14:14,D$7, DataT!$5:$5, $O$7)</f>
        <v>7</v>
      </c>
      <c r="E10">
        <f>COUNTIFS(DataT!14:14,E$7, DataT!$5:$5, $O$7)</f>
        <v>8</v>
      </c>
      <c r="F10">
        <f>COUNTIFS(DataT!14:14,F$7, DataT!$5:$5, $O$7)</f>
        <v>4</v>
      </c>
      <c r="G10">
        <f>COUNTIFS(DataT!14:14,G$7, DataT!$5:$5, $O$7)</f>
        <v>2</v>
      </c>
      <c r="H10">
        <f t="shared" si="0"/>
        <v>23</v>
      </c>
      <c r="I10" s="7">
        <f t="shared" si="1"/>
        <v>2.8695652173913042</v>
      </c>
    </row>
    <row r="11" spans="1:15" ht="45">
      <c r="A11">
        <v>4</v>
      </c>
      <c r="B11" s="5" t="s">
        <v>355</v>
      </c>
      <c r="C11">
        <f>COUNTIFS(DataT!15:15,C$7, DataT!$5:$5, $O$7)</f>
        <v>18</v>
      </c>
      <c r="D11">
        <f>COUNTIFS(DataT!15:15,D$7, DataT!$5:$5, $O$7)</f>
        <v>2</v>
      </c>
      <c r="E11">
        <f>COUNTIFS(DataT!15:15,E$7, DataT!$5:$5, $O$7)</f>
        <v>2</v>
      </c>
      <c r="F11">
        <f>COUNTIFS(DataT!15:15,F$7, DataT!$5:$5, $O$7)</f>
        <v>1</v>
      </c>
      <c r="G11">
        <f>COUNTIFS(DataT!15:15,G$7, DataT!$5:$5, $O$7)</f>
        <v>0</v>
      </c>
      <c r="H11">
        <f t="shared" si="0"/>
        <v>23</v>
      </c>
      <c r="I11" s="7">
        <f t="shared" si="1"/>
        <v>1.3913043478260869</v>
      </c>
    </row>
    <row r="12" spans="1:15" ht="30">
      <c r="A12">
        <v>5</v>
      </c>
      <c r="B12" s="5" t="s">
        <v>356</v>
      </c>
      <c r="C12">
        <f>COUNTIFS(DataT!16:16,C$7, DataT!$5:$5, $O$7)</f>
        <v>12</v>
      </c>
      <c r="D12">
        <f>COUNTIFS(DataT!16:16,D$7, DataT!$5:$5, $O$7)</f>
        <v>6</v>
      </c>
      <c r="E12">
        <f>COUNTIFS(DataT!16:16,E$7, DataT!$5:$5, $O$7)</f>
        <v>3</v>
      </c>
      <c r="F12">
        <f>COUNTIFS(DataT!16:16,F$7, DataT!$5:$5, $O$7)</f>
        <v>2</v>
      </c>
      <c r="G12">
        <f>COUNTIFS(DataT!16:16,G$7, DataT!$5:$5, $O$7)</f>
        <v>0</v>
      </c>
      <c r="H12">
        <f t="shared" si="0"/>
        <v>23</v>
      </c>
      <c r="I12" s="7">
        <f t="shared" si="1"/>
        <v>1.7826086956521738</v>
      </c>
    </row>
    <row r="13" spans="1:15" ht="60">
      <c r="A13">
        <v>6</v>
      </c>
      <c r="B13" s="5" t="s">
        <v>357</v>
      </c>
      <c r="C13">
        <f>COUNTIFS(DataT!17:17,C$7, DataT!$5:$5, $O$7)</f>
        <v>12</v>
      </c>
      <c r="D13">
        <f>COUNTIFS(DataT!17:17,D$7, DataT!$5:$5, $O$7)</f>
        <v>8</v>
      </c>
      <c r="E13">
        <f>COUNTIFS(DataT!17:17,E$7, DataT!$5:$5, $O$7)</f>
        <v>2</v>
      </c>
      <c r="F13">
        <f>COUNTIFS(DataT!17:17,F$7, DataT!$5:$5, $O$7)</f>
        <v>1</v>
      </c>
      <c r="G13">
        <f>COUNTIFS(DataT!17:17,G$7, DataT!$5:$5, $O$7)</f>
        <v>0</v>
      </c>
      <c r="H13">
        <f t="shared" si="0"/>
        <v>23</v>
      </c>
      <c r="I13" s="7">
        <f t="shared" si="1"/>
        <v>1.6521739130434783</v>
      </c>
    </row>
    <row r="14" spans="1:15" ht="60">
      <c r="A14">
        <v>7</v>
      </c>
      <c r="B14" s="5" t="s">
        <v>358</v>
      </c>
      <c r="C14">
        <f>COUNTIFS(DataT!18:18,C$7, DataT!$5:$5, $O$7)</f>
        <v>20</v>
      </c>
      <c r="D14">
        <f>COUNTIFS(DataT!18:18,D$7, DataT!$5:$5, $O$7)</f>
        <v>2</v>
      </c>
      <c r="E14">
        <f>COUNTIFS(DataT!18:18,E$7, DataT!$5:$5, $O$7)</f>
        <v>0</v>
      </c>
      <c r="F14">
        <f>COUNTIFS(DataT!18:18,F$7, DataT!$5:$5, $O$7)</f>
        <v>2</v>
      </c>
      <c r="G14">
        <f>COUNTIFS(DataT!18:18,G$7, DataT!$5:$5, $O$7)</f>
        <v>0</v>
      </c>
      <c r="H14">
        <f t="shared" si="0"/>
        <v>24</v>
      </c>
      <c r="I14" s="7">
        <f t="shared" si="1"/>
        <v>1.3333333333333333</v>
      </c>
    </row>
    <row r="15" spans="1:15">
      <c r="C15" s="13" t="s">
        <v>365</v>
      </c>
      <c r="D15" s="13"/>
      <c r="E15" s="13"/>
    </row>
    <row r="16" spans="1:15" ht="45">
      <c r="C16" s="6" t="s">
        <v>366</v>
      </c>
      <c r="D16" s="6" t="s">
        <v>367</v>
      </c>
      <c r="E16" s="6" t="s">
        <v>368</v>
      </c>
      <c r="F16" s="6" t="s">
        <v>369</v>
      </c>
      <c r="G16" s="6" t="s">
        <v>370</v>
      </c>
      <c r="I16" s="6" t="s">
        <v>371</v>
      </c>
      <c r="J16" s="6" t="s">
        <v>372</v>
      </c>
      <c r="K16" s="10" t="s">
        <v>374</v>
      </c>
    </row>
    <row r="17" spans="1:14" ht="60">
      <c r="A17">
        <v>1</v>
      </c>
      <c r="B17" s="5" t="s">
        <v>352</v>
      </c>
      <c r="C17" s="8">
        <f>C8/$H8</f>
        <v>0.17391304347826086</v>
      </c>
      <c r="D17" s="8">
        <f t="shared" ref="D17:H17" si="2">D8/$H8</f>
        <v>0.30434782608695654</v>
      </c>
      <c r="E17" s="8">
        <f t="shared" si="2"/>
        <v>0.34782608695652173</v>
      </c>
      <c r="F17" s="8">
        <f t="shared" si="2"/>
        <v>0.13043478260869565</v>
      </c>
      <c r="G17" s="8">
        <f t="shared" si="2"/>
        <v>4.3478260869565216E-2</v>
      </c>
      <c r="H17" s="8">
        <f t="shared" si="2"/>
        <v>1</v>
      </c>
      <c r="I17" s="8">
        <f>F17+G17</f>
        <v>0.17391304347826086</v>
      </c>
      <c r="J17" s="8">
        <f>SUMPRODUCT(C17:G17, C$32:G$32)</f>
        <v>0.2608695652173913</v>
      </c>
      <c r="K17" s="8">
        <f>SUMPRODUCT(C17:G17, C$33:G$33)</f>
        <v>0.78260869565217395</v>
      </c>
    </row>
    <row r="18" spans="1:14">
      <c r="A18">
        <v>2</v>
      </c>
      <c r="B18" t="s">
        <v>353</v>
      </c>
      <c r="C18" s="8">
        <f t="shared" ref="C18:H23" si="3">C9/$H9</f>
        <v>0.45833333333333331</v>
      </c>
      <c r="D18" s="8">
        <f t="shared" si="3"/>
        <v>0.20833333333333334</v>
      </c>
      <c r="E18" s="8">
        <f t="shared" si="3"/>
        <v>0.16666666666666666</v>
      </c>
      <c r="F18" s="8">
        <f t="shared" si="3"/>
        <v>0.16666666666666666</v>
      </c>
      <c r="G18" s="8">
        <f t="shared" si="3"/>
        <v>0</v>
      </c>
      <c r="H18" s="8">
        <f t="shared" si="3"/>
        <v>1</v>
      </c>
      <c r="I18" s="8">
        <f t="shared" ref="I18:I23" si="4">F18+G18</f>
        <v>0.16666666666666666</v>
      </c>
      <c r="J18" s="8">
        <f>SUMPRODUCT(C18:G18, C$32:G$32)</f>
        <v>0.33333333333333331</v>
      </c>
      <c r="K18" s="8">
        <f t="shared" ref="K18:K23" si="5">SUMPRODUCT(C18:G18, C$33:G$33)</f>
        <v>0.875</v>
      </c>
    </row>
    <row r="19" spans="1:14" ht="60">
      <c r="A19">
        <v>3</v>
      </c>
      <c r="B19" s="5" t="s">
        <v>354</v>
      </c>
      <c r="C19" s="8">
        <f t="shared" si="3"/>
        <v>8.6956521739130432E-2</v>
      </c>
      <c r="D19" s="8">
        <f t="shared" si="3"/>
        <v>0.30434782608695654</v>
      </c>
      <c r="E19" s="8">
        <f t="shared" si="3"/>
        <v>0.34782608695652173</v>
      </c>
      <c r="F19" s="8">
        <f t="shared" si="3"/>
        <v>0.17391304347826086</v>
      </c>
      <c r="G19" s="8">
        <f t="shared" si="3"/>
        <v>8.6956521739130432E-2</v>
      </c>
      <c r="H19" s="8">
        <f t="shared" si="3"/>
        <v>1</v>
      </c>
      <c r="I19" s="8">
        <f t="shared" si="4"/>
        <v>0.2608695652173913</v>
      </c>
      <c r="J19" s="8">
        <f t="shared" ref="J19:J23" si="6">SUMPRODUCT(C19:G19, C$32:G$32)</f>
        <v>0.34782608695652173</v>
      </c>
      <c r="K19" s="8">
        <f t="shared" si="5"/>
        <v>0.69565217391304346</v>
      </c>
    </row>
    <row r="20" spans="1:14" ht="45">
      <c r="A20">
        <v>4</v>
      </c>
      <c r="B20" s="5" t="s">
        <v>355</v>
      </c>
      <c r="C20" s="8">
        <f t="shared" si="3"/>
        <v>0.78260869565217395</v>
      </c>
      <c r="D20" s="8">
        <f t="shared" si="3"/>
        <v>8.6956521739130432E-2</v>
      </c>
      <c r="E20" s="8">
        <f t="shared" si="3"/>
        <v>8.6956521739130432E-2</v>
      </c>
      <c r="F20" s="8">
        <f t="shared" si="3"/>
        <v>4.3478260869565216E-2</v>
      </c>
      <c r="G20" s="8">
        <f t="shared" si="3"/>
        <v>0</v>
      </c>
      <c r="H20" s="8">
        <f t="shared" si="3"/>
        <v>1</v>
      </c>
      <c r="I20" s="8">
        <f t="shared" si="4"/>
        <v>4.3478260869565216E-2</v>
      </c>
      <c r="J20" s="8">
        <f t="shared" si="6"/>
        <v>8.6956521739130432E-2</v>
      </c>
      <c r="K20" s="8">
        <f t="shared" si="5"/>
        <v>0.95652173913043481</v>
      </c>
    </row>
    <row r="21" spans="1:14" ht="30">
      <c r="A21">
        <v>5</v>
      </c>
      <c r="B21" s="5" t="s">
        <v>356</v>
      </c>
      <c r="C21" s="8">
        <f t="shared" si="3"/>
        <v>0.52173913043478259</v>
      </c>
      <c r="D21" s="8">
        <f t="shared" si="3"/>
        <v>0.2608695652173913</v>
      </c>
      <c r="E21" s="8">
        <f t="shared" si="3"/>
        <v>0.13043478260869565</v>
      </c>
      <c r="F21" s="8">
        <f t="shared" si="3"/>
        <v>8.6956521739130432E-2</v>
      </c>
      <c r="G21" s="8">
        <f t="shared" si="3"/>
        <v>0</v>
      </c>
      <c r="H21" s="8">
        <f t="shared" si="3"/>
        <v>1</v>
      </c>
      <c r="I21" s="8">
        <f t="shared" si="4"/>
        <v>8.6956521739130432E-2</v>
      </c>
      <c r="J21" s="8">
        <f t="shared" si="6"/>
        <v>0.17391304347826086</v>
      </c>
      <c r="K21" s="8">
        <f t="shared" si="5"/>
        <v>1.0434782608695652</v>
      </c>
    </row>
    <row r="22" spans="1:14" ht="60">
      <c r="A22">
        <v>6</v>
      </c>
      <c r="B22" s="5" t="s">
        <v>357</v>
      </c>
      <c r="C22" s="8">
        <f t="shared" si="3"/>
        <v>0.52173913043478259</v>
      </c>
      <c r="D22" s="8">
        <f t="shared" si="3"/>
        <v>0.34782608695652173</v>
      </c>
      <c r="E22" s="8">
        <f t="shared" si="3"/>
        <v>8.6956521739130432E-2</v>
      </c>
      <c r="F22" s="8">
        <f t="shared" si="3"/>
        <v>4.3478260869565216E-2</v>
      </c>
      <c r="G22" s="8">
        <f t="shared" si="3"/>
        <v>0</v>
      </c>
      <c r="H22" s="8">
        <f t="shared" si="3"/>
        <v>1</v>
      </c>
      <c r="I22" s="8">
        <f t="shared" si="4"/>
        <v>4.3478260869565216E-2</v>
      </c>
      <c r="J22" s="8">
        <f t="shared" si="6"/>
        <v>8.6956521739130432E-2</v>
      </c>
      <c r="K22" s="8">
        <f t="shared" si="5"/>
        <v>1.2173913043478262</v>
      </c>
    </row>
    <row r="23" spans="1:14" ht="60">
      <c r="A23">
        <v>7</v>
      </c>
      <c r="B23" s="5" t="s">
        <v>358</v>
      </c>
      <c r="C23" s="8">
        <f t="shared" si="3"/>
        <v>0.83333333333333337</v>
      </c>
      <c r="D23" s="8">
        <f t="shared" si="3"/>
        <v>8.3333333333333329E-2</v>
      </c>
      <c r="E23" s="8">
        <f t="shared" si="3"/>
        <v>0</v>
      </c>
      <c r="F23" s="8">
        <f t="shared" si="3"/>
        <v>8.3333333333333329E-2</v>
      </c>
      <c r="G23" s="8">
        <f t="shared" si="3"/>
        <v>0</v>
      </c>
      <c r="H23" s="8">
        <f t="shared" si="3"/>
        <v>1</v>
      </c>
      <c r="I23" s="8">
        <f t="shared" si="4"/>
        <v>8.3333333333333329E-2</v>
      </c>
      <c r="J23" s="8">
        <f t="shared" si="6"/>
        <v>0.16666666666666666</v>
      </c>
      <c r="K23" s="8">
        <f t="shared" si="5"/>
        <v>1</v>
      </c>
    </row>
    <row r="25" spans="1:14">
      <c r="C25">
        <v>1</v>
      </c>
      <c r="D25">
        <v>2</v>
      </c>
      <c r="E25">
        <v>3</v>
      </c>
      <c r="F25">
        <v>4</v>
      </c>
      <c r="G25">
        <v>5</v>
      </c>
    </row>
    <row r="26" spans="1:14">
      <c r="B26" s="5" t="s">
        <v>373</v>
      </c>
      <c r="C26" s="9">
        <v>0</v>
      </c>
      <c r="D26" s="9">
        <v>0.25</v>
      </c>
      <c r="E26" s="9">
        <v>0.5</v>
      </c>
      <c r="F26" s="9">
        <v>0.75</v>
      </c>
      <c r="G26" s="9">
        <v>1</v>
      </c>
    </row>
    <row r="27" spans="1:14">
      <c r="C27" s="9">
        <v>0</v>
      </c>
      <c r="D27" s="9">
        <v>0.02</v>
      </c>
      <c r="E27" s="9">
        <v>0.55000000000000004</v>
      </c>
      <c r="F27" s="9">
        <v>0.6</v>
      </c>
      <c r="G27" s="9">
        <v>0.65</v>
      </c>
    </row>
    <row r="29" spans="1:14">
      <c r="A29" s="14" t="s">
        <v>364</v>
      </c>
      <c r="B29" s="14"/>
      <c r="C29" s="14"/>
      <c r="D29" s="14"/>
      <c r="E29" s="14"/>
      <c r="F29" s="14"/>
      <c r="G29" s="14"/>
      <c r="H29" s="14"/>
      <c r="I29" s="14"/>
    </row>
    <row r="30" spans="1:14" ht="30">
      <c r="C30" s="5" t="s">
        <v>359</v>
      </c>
      <c r="D30" s="5" t="s">
        <v>360</v>
      </c>
      <c r="E30" s="5" t="s">
        <v>361</v>
      </c>
      <c r="F30" s="5" t="s">
        <v>362</v>
      </c>
      <c r="G30" s="5" t="s">
        <v>363</v>
      </c>
      <c r="K30" t="s">
        <v>389</v>
      </c>
      <c r="L30" t="s">
        <v>390</v>
      </c>
      <c r="M30" t="s">
        <v>381</v>
      </c>
      <c r="N30" t="s">
        <v>382</v>
      </c>
    </row>
    <row r="31" spans="1:14" ht="60">
      <c r="A31" t="s">
        <v>348</v>
      </c>
      <c r="B31" s="5" t="s">
        <v>349</v>
      </c>
      <c r="C31" s="5">
        <v>1</v>
      </c>
      <c r="D31" s="5">
        <v>2</v>
      </c>
      <c r="E31">
        <v>3</v>
      </c>
      <c r="F31" s="5">
        <v>4</v>
      </c>
      <c r="G31" s="5">
        <v>5</v>
      </c>
      <c r="H31" s="5" t="s">
        <v>351</v>
      </c>
      <c r="I31" s="5" t="s">
        <v>350</v>
      </c>
      <c r="L31" t="s">
        <v>394</v>
      </c>
      <c r="M31">
        <v>0</v>
      </c>
      <c r="N31">
        <v>8</v>
      </c>
    </row>
    <row r="32" spans="1:14" ht="60">
      <c r="A32">
        <v>1</v>
      </c>
      <c r="B32" s="5" t="s">
        <v>352</v>
      </c>
      <c r="C32">
        <f>COUNTIFS(DataT!12:12, C$31, DataT!$18:$18, $K$33, DataT!$68:$68,$L$33  )</f>
        <v>0</v>
      </c>
      <c r="D32">
        <f>COUNTIFS(DataT!12:12, D$31, DataT!$18:$18, $K$33, DataT!$68:$68,$L$33  )</f>
        <v>0</v>
      </c>
      <c r="E32">
        <f>COUNTIFS(DataT!12:12, E$31, DataT!$18:$18, $K$33, DataT!$68:$68,$L$33  )</f>
        <v>0</v>
      </c>
      <c r="F32">
        <f>COUNTIFS(DataT!12:12, F$31, DataT!$18:$18, $K$33, DataT!$68:$68,$L$33  )</f>
        <v>2</v>
      </c>
      <c r="G32">
        <f>COUNTIFS(DataT!12:12, G$31, DataT!$18:$18, $K$33, DataT!$68:$68,$L$33  )</f>
        <v>0</v>
      </c>
      <c r="H32">
        <f>SUM(C32:G32)</f>
        <v>2</v>
      </c>
      <c r="I32" s="7">
        <f>((C$7*C32)+(D$7*D32)+(E$7*E32)+(F$7*F32)+(G$7*G32))/H32</f>
        <v>4</v>
      </c>
      <c r="K32" s="5" t="s">
        <v>396</v>
      </c>
    </row>
    <row r="33" spans="1:12">
      <c r="A33">
        <v>2</v>
      </c>
      <c r="B33" t="s">
        <v>353</v>
      </c>
      <c r="C33">
        <f>COUNTIFS(DataT!13:13, C$31, DataT!$18:$18, $K$33, DataT!$68:$68,$L$33  )</f>
        <v>1</v>
      </c>
      <c r="D33">
        <f>COUNTIFS(DataT!13:13, D$31, DataT!$18:$18, $K$33, DataT!$68:$68,$L$33  )</f>
        <v>2</v>
      </c>
      <c r="E33">
        <f>COUNTIFS(DataT!13:13, E$31, DataT!$18:$18, $K$33, DataT!$68:$68,$L$33  )</f>
        <v>0</v>
      </c>
      <c r="F33">
        <f>COUNTIFS(DataT!13:13, F$31, DataT!$18:$18, $K$33, DataT!$68:$68,$L$33  )</f>
        <v>0</v>
      </c>
      <c r="G33">
        <f>COUNTIFS(DataT!13:13, G$31, DataT!$18:$18, $K$33, DataT!$68:$68,$L$33  )</f>
        <v>0</v>
      </c>
      <c r="H33">
        <f t="shared" ref="H33:H38" si="7">SUM(C33:G33)</f>
        <v>3</v>
      </c>
      <c r="I33" s="7">
        <f t="shared" ref="I33:I38" si="8">((C$7*C33)+(D$7*D33)+(E$7*E33)+(F$7*F33)+(G$7*G33))/H33</f>
        <v>1.6666666666666667</v>
      </c>
      <c r="K33" t="s">
        <v>397</v>
      </c>
      <c r="L33" t="s">
        <v>399</v>
      </c>
    </row>
    <row r="34" spans="1:12" ht="60">
      <c r="A34">
        <v>3</v>
      </c>
      <c r="B34" s="5" t="s">
        <v>354</v>
      </c>
      <c r="C34">
        <f>COUNTIFS(DataT!14:14, C$31, DataT!$18:$18, $K$33, DataT!$68:$68,$L$33  )</f>
        <v>0</v>
      </c>
      <c r="D34">
        <f>COUNTIFS(DataT!14:14, D$31, DataT!$18:$18, $K$33, DataT!$68:$68,$L$33  )</f>
        <v>0</v>
      </c>
      <c r="E34">
        <f>COUNTIFS(DataT!14:14, E$31, DataT!$18:$18, $K$33, DataT!$68:$68,$L$33  )</f>
        <v>1</v>
      </c>
      <c r="F34">
        <f>COUNTIFS(DataT!14:14, F$31, DataT!$18:$18, $K$33, DataT!$68:$68,$L$33  )</f>
        <v>0</v>
      </c>
      <c r="G34">
        <f>COUNTIFS(DataT!14:14, G$31, DataT!$18:$18, $K$33, DataT!$68:$68,$L$33  )</f>
        <v>1</v>
      </c>
      <c r="H34">
        <f t="shared" si="7"/>
        <v>2</v>
      </c>
      <c r="I34" s="7">
        <f t="shared" si="8"/>
        <v>4</v>
      </c>
    </row>
    <row r="35" spans="1:12" ht="45">
      <c r="A35">
        <v>4</v>
      </c>
      <c r="B35" s="5" t="s">
        <v>355</v>
      </c>
      <c r="C35">
        <f>COUNTIFS(DataT!15:15, C$31, DataT!$18:$18, $K$33, DataT!$68:$68,$L$33  )</f>
        <v>0</v>
      </c>
      <c r="D35">
        <f>COUNTIFS(DataT!15:15, D$31, DataT!$18:$18, $K$33, DataT!$68:$68,$L$33  )</f>
        <v>0</v>
      </c>
      <c r="E35">
        <f>COUNTIFS(DataT!15:15, E$31, DataT!$18:$18, $K$33, DataT!$68:$68,$L$33  )</f>
        <v>1</v>
      </c>
      <c r="F35">
        <f>COUNTIFS(DataT!15:15, F$31, DataT!$18:$18, $K$33, DataT!$68:$68,$L$33  )</f>
        <v>0</v>
      </c>
      <c r="G35">
        <f>COUNTIFS(DataT!15:15, G$31, DataT!$18:$18, $K$33, DataT!$68:$68,$L$33  )</f>
        <v>0</v>
      </c>
      <c r="H35">
        <f t="shared" si="7"/>
        <v>1</v>
      </c>
      <c r="I35" s="7">
        <f t="shared" si="8"/>
        <v>3</v>
      </c>
    </row>
    <row r="36" spans="1:12" ht="30">
      <c r="A36">
        <v>5</v>
      </c>
      <c r="B36" s="5" t="s">
        <v>356</v>
      </c>
      <c r="C36">
        <f>COUNTIFS(DataT!16:16, C$31, DataT!$18:$18, $K$33, DataT!$68:$68,$L$33  )</f>
        <v>0</v>
      </c>
      <c r="D36">
        <f>COUNTIFS(DataT!16:16, D$31, DataT!$18:$18, $K$33, DataT!$68:$68,$L$33  )</f>
        <v>0</v>
      </c>
      <c r="E36">
        <f>COUNTIFS(DataT!16:16, E$31, DataT!$18:$18, $K$33, DataT!$68:$68,$L$33  )</f>
        <v>0</v>
      </c>
      <c r="F36">
        <f>COUNTIFS(DataT!16:16, F$31, DataT!$18:$18, $K$33, DataT!$68:$68,$L$33  )</f>
        <v>0</v>
      </c>
      <c r="G36">
        <f>COUNTIFS(DataT!16:16, G$31, DataT!$18:$18, $K$33, DataT!$68:$68,$L$33  )</f>
        <v>1</v>
      </c>
      <c r="H36">
        <f t="shared" si="7"/>
        <v>1</v>
      </c>
      <c r="I36" s="7">
        <f t="shared" si="8"/>
        <v>5</v>
      </c>
    </row>
    <row r="37" spans="1:12" ht="60">
      <c r="A37">
        <v>6</v>
      </c>
      <c r="B37" s="5" t="s">
        <v>357</v>
      </c>
      <c r="C37">
        <f>COUNTIFS(DataT!17:17, C$31, DataT!$18:$18, $K$33, DataT!$68:$68,$L$33  )</f>
        <v>0</v>
      </c>
      <c r="D37">
        <f>COUNTIFS(DataT!17:17, D$31, DataT!$18:$18, $K$33, DataT!$68:$68,$L$33  )</f>
        <v>1</v>
      </c>
      <c r="E37">
        <f>COUNTIFS(DataT!17:17, E$31, DataT!$18:$18, $K$33, DataT!$68:$68,$L$33  )</f>
        <v>1</v>
      </c>
      <c r="F37">
        <f>COUNTIFS(DataT!17:17, F$31, DataT!$18:$18, $K$33, DataT!$68:$68,$L$33  )</f>
        <v>0</v>
      </c>
      <c r="G37">
        <f>COUNTIFS(DataT!17:17, G$31, DataT!$18:$18, $K$33, DataT!$68:$68,$L$33  )</f>
        <v>0</v>
      </c>
      <c r="H37">
        <f t="shared" si="7"/>
        <v>2</v>
      </c>
      <c r="I37" s="7">
        <f t="shared" si="8"/>
        <v>2.5</v>
      </c>
    </row>
    <row r="38" spans="1:12" ht="60">
      <c r="A38">
        <v>7</v>
      </c>
      <c r="B38" s="5" t="s">
        <v>358</v>
      </c>
      <c r="C38">
        <f>COUNTIFS(DataT!18:18, C$31, DataT!$18:$18, $K$33, DataT!$68:$68,$L$33  )</f>
        <v>0</v>
      </c>
      <c r="D38">
        <f>COUNTIFS(DataT!18:18, D$31, DataT!$18:$18, $K$33, DataT!$68:$68,$L$33  )</f>
        <v>1</v>
      </c>
      <c r="E38">
        <f>COUNTIFS(DataT!18:18, E$31, DataT!$18:$18, $K$33, DataT!$68:$68,$L$33  )</f>
        <v>2</v>
      </c>
      <c r="F38">
        <f>COUNTIFS(DataT!18:18, F$31, DataT!$18:$18, $K$33, DataT!$68:$68,$L$33  )</f>
        <v>1</v>
      </c>
      <c r="G38">
        <f>COUNTIFS(DataT!18:18, G$31, DataT!$18:$18, $K$33, DataT!$68:$68,$L$33  )</f>
        <v>0</v>
      </c>
      <c r="H38">
        <f t="shared" si="7"/>
        <v>4</v>
      </c>
      <c r="I38" s="7">
        <f t="shared" si="8"/>
        <v>3</v>
      </c>
    </row>
    <row r="39" spans="1:12">
      <c r="C39" s="13" t="s">
        <v>365</v>
      </c>
      <c r="D39" s="13"/>
      <c r="E39" s="13"/>
    </row>
    <row r="40" spans="1:12" ht="45">
      <c r="C40" s="6" t="s">
        <v>366</v>
      </c>
      <c r="D40" s="6" t="s">
        <v>367</v>
      </c>
      <c r="E40" s="6" t="s">
        <v>368</v>
      </c>
      <c r="F40" s="6" t="s">
        <v>369</v>
      </c>
      <c r="G40" s="6" t="s">
        <v>370</v>
      </c>
      <c r="I40" s="6" t="s">
        <v>371</v>
      </c>
      <c r="J40" s="6" t="s">
        <v>372</v>
      </c>
      <c r="K40" s="10" t="s">
        <v>374</v>
      </c>
    </row>
    <row r="41" spans="1:12" ht="60">
      <c r="A41">
        <v>1</v>
      </c>
      <c r="B41" s="5" t="s">
        <v>352</v>
      </c>
      <c r="C41" s="8">
        <f>C32/$H32</f>
        <v>0</v>
      </c>
      <c r="D41" s="8">
        <f t="shared" ref="D41:H41" si="9">D32/$H32</f>
        <v>0</v>
      </c>
      <c r="E41" s="8">
        <f t="shared" si="9"/>
        <v>0</v>
      </c>
      <c r="F41" s="8">
        <f t="shared" si="9"/>
        <v>1</v>
      </c>
      <c r="G41" s="8">
        <f t="shared" si="9"/>
        <v>0</v>
      </c>
      <c r="H41" s="8">
        <f t="shared" si="9"/>
        <v>1</v>
      </c>
      <c r="I41" s="8">
        <f>F41+G41</f>
        <v>1</v>
      </c>
      <c r="J41" s="8">
        <f>SUMPRODUCT(C41:G41, C$32:G$32)</f>
        <v>2</v>
      </c>
      <c r="K41" s="8">
        <f>SUMPRODUCT(C41:G41, C$33:G$33)</f>
        <v>0</v>
      </c>
    </row>
    <row r="42" spans="1:12">
      <c r="A42">
        <v>2</v>
      </c>
      <c r="B42" t="s">
        <v>353</v>
      </c>
      <c r="C42" s="8">
        <f t="shared" ref="C42:H42" si="10">C33/$H33</f>
        <v>0.33333333333333331</v>
      </c>
      <c r="D42" s="8">
        <f t="shared" si="10"/>
        <v>0.66666666666666663</v>
      </c>
      <c r="E42" s="8">
        <f t="shared" si="10"/>
        <v>0</v>
      </c>
      <c r="F42" s="8">
        <f t="shared" si="10"/>
        <v>0</v>
      </c>
      <c r="G42" s="8">
        <f t="shared" si="10"/>
        <v>0</v>
      </c>
      <c r="H42" s="8">
        <f t="shared" si="10"/>
        <v>1</v>
      </c>
      <c r="I42" s="8">
        <f t="shared" ref="I42:I47" si="11">F42+G42</f>
        <v>0</v>
      </c>
      <c r="J42" s="8">
        <f>SUMPRODUCT(C42:G42, C$32:G$32)</f>
        <v>0</v>
      </c>
      <c r="K42" s="8">
        <f t="shared" ref="K42:K47" si="12">SUMPRODUCT(C42:G42, C$33:G$33)</f>
        <v>1.6666666666666665</v>
      </c>
    </row>
    <row r="43" spans="1:12" ht="60">
      <c r="A43">
        <v>3</v>
      </c>
      <c r="B43" s="5" t="s">
        <v>354</v>
      </c>
      <c r="C43" s="8">
        <f t="shared" ref="C43:H43" si="13">C34/$H34</f>
        <v>0</v>
      </c>
      <c r="D43" s="8">
        <f t="shared" si="13"/>
        <v>0</v>
      </c>
      <c r="E43" s="8">
        <f t="shared" si="13"/>
        <v>0.5</v>
      </c>
      <c r="F43" s="8">
        <f t="shared" si="13"/>
        <v>0</v>
      </c>
      <c r="G43" s="8">
        <f t="shared" si="13"/>
        <v>0.5</v>
      </c>
      <c r="H43" s="8">
        <f t="shared" si="13"/>
        <v>1</v>
      </c>
      <c r="I43" s="8">
        <f t="shared" si="11"/>
        <v>0.5</v>
      </c>
      <c r="J43" s="8">
        <f t="shared" ref="J43:J47" si="14">SUMPRODUCT(C43:G43, C$32:G$32)</f>
        <v>0</v>
      </c>
      <c r="K43" s="8">
        <f t="shared" si="12"/>
        <v>0</v>
      </c>
    </row>
    <row r="44" spans="1:12" ht="45">
      <c r="A44">
        <v>4</v>
      </c>
      <c r="B44" s="5" t="s">
        <v>355</v>
      </c>
      <c r="C44" s="8">
        <f t="shared" ref="C44:H44" si="15">C35/$H35</f>
        <v>0</v>
      </c>
      <c r="D44" s="8">
        <f t="shared" si="15"/>
        <v>0</v>
      </c>
      <c r="E44" s="8">
        <f t="shared" si="15"/>
        <v>1</v>
      </c>
      <c r="F44" s="8">
        <f t="shared" si="15"/>
        <v>0</v>
      </c>
      <c r="G44" s="8">
        <f t="shared" si="15"/>
        <v>0</v>
      </c>
      <c r="H44" s="8">
        <f t="shared" si="15"/>
        <v>1</v>
      </c>
      <c r="I44" s="8">
        <f t="shared" si="11"/>
        <v>0</v>
      </c>
      <c r="J44" s="8">
        <f t="shared" si="14"/>
        <v>0</v>
      </c>
      <c r="K44" s="8">
        <f t="shared" si="12"/>
        <v>0</v>
      </c>
    </row>
    <row r="45" spans="1:12" ht="30">
      <c r="A45">
        <v>5</v>
      </c>
      <c r="B45" s="5" t="s">
        <v>356</v>
      </c>
      <c r="C45" s="8">
        <f t="shared" ref="C45:H45" si="16">C36/$H36</f>
        <v>0</v>
      </c>
      <c r="D45" s="8">
        <f t="shared" si="16"/>
        <v>0</v>
      </c>
      <c r="E45" s="8">
        <f t="shared" si="16"/>
        <v>0</v>
      </c>
      <c r="F45" s="8">
        <f t="shared" si="16"/>
        <v>0</v>
      </c>
      <c r="G45" s="8">
        <f t="shared" si="16"/>
        <v>1</v>
      </c>
      <c r="H45" s="8">
        <f t="shared" si="16"/>
        <v>1</v>
      </c>
      <c r="I45" s="8">
        <f t="shared" si="11"/>
        <v>1</v>
      </c>
      <c r="J45" s="8">
        <f t="shared" si="14"/>
        <v>0</v>
      </c>
      <c r="K45" s="8">
        <f t="shared" si="12"/>
        <v>0</v>
      </c>
    </row>
    <row r="46" spans="1:12" ht="60">
      <c r="A46">
        <v>6</v>
      </c>
      <c r="B46" s="5" t="s">
        <v>357</v>
      </c>
      <c r="C46" s="8">
        <f t="shared" ref="C46:H46" si="17">C37/$H37</f>
        <v>0</v>
      </c>
      <c r="D46" s="8">
        <f t="shared" si="17"/>
        <v>0.5</v>
      </c>
      <c r="E46" s="8">
        <f t="shared" si="17"/>
        <v>0.5</v>
      </c>
      <c r="F46" s="8">
        <f t="shared" si="17"/>
        <v>0</v>
      </c>
      <c r="G46" s="8">
        <f t="shared" si="17"/>
        <v>0</v>
      </c>
      <c r="H46" s="8">
        <f t="shared" si="17"/>
        <v>1</v>
      </c>
      <c r="I46" s="8">
        <f t="shared" si="11"/>
        <v>0</v>
      </c>
      <c r="J46" s="8">
        <f t="shared" si="14"/>
        <v>0</v>
      </c>
      <c r="K46" s="8">
        <f t="shared" si="12"/>
        <v>1</v>
      </c>
    </row>
    <row r="47" spans="1:12" ht="60">
      <c r="A47">
        <v>7</v>
      </c>
      <c r="B47" s="5" t="s">
        <v>358</v>
      </c>
      <c r="C47" s="8">
        <f t="shared" ref="C47:H47" si="18">C38/$H38</f>
        <v>0</v>
      </c>
      <c r="D47" s="8">
        <f t="shared" si="18"/>
        <v>0.25</v>
      </c>
      <c r="E47" s="8">
        <f t="shared" si="18"/>
        <v>0.5</v>
      </c>
      <c r="F47" s="8">
        <f t="shared" si="18"/>
        <v>0.25</v>
      </c>
      <c r="G47" s="8">
        <f t="shared" si="18"/>
        <v>0</v>
      </c>
      <c r="H47" s="8">
        <f t="shared" si="18"/>
        <v>1</v>
      </c>
      <c r="I47" s="8">
        <f t="shared" si="11"/>
        <v>0.25</v>
      </c>
      <c r="J47" s="8">
        <f t="shared" si="14"/>
        <v>0.5</v>
      </c>
      <c r="K47" s="8">
        <f t="shared" si="12"/>
        <v>0.5</v>
      </c>
    </row>
    <row r="49" spans="2:7">
      <c r="C49">
        <v>1</v>
      </c>
      <c r="D49">
        <v>2</v>
      </c>
      <c r="E49">
        <v>3</v>
      </c>
      <c r="F49">
        <v>4</v>
      </c>
      <c r="G49">
        <v>5</v>
      </c>
    </row>
    <row r="50" spans="2:7">
      <c r="B50" s="5" t="s">
        <v>373</v>
      </c>
      <c r="C50" s="9">
        <v>0</v>
      </c>
      <c r="D50" s="9">
        <v>0.25</v>
      </c>
      <c r="E50" s="9">
        <v>0.5</v>
      </c>
      <c r="F50" s="9">
        <v>0.75</v>
      </c>
      <c r="G50" s="9">
        <v>1</v>
      </c>
    </row>
    <row r="51" spans="2:7">
      <c r="C51" s="9">
        <v>0</v>
      </c>
      <c r="D51" s="9">
        <v>0.02</v>
      </c>
      <c r="E51" s="9">
        <v>0.55000000000000004</v>
      </c>
      <c r="F51" s="9">
        <v>0.6</v>
      </c>
      <c r="G51" s="9">
        <v>0.65</v>
      </c>
    </row>
  </sheetData>
  <mergeCells count="4">
    <mergeCell ref="A5:I5"/>
    <mergeCell ref="C15:E15"/>
    <mergeCell ref="A29:I29"/>
    <mergeCell ref="C39:E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R160"/>
  <sheetViews>
    <sheetView topLeftCell="A21" workbookViewId="0"/>
  </sheetViews>
  <sheetFormatPr defaultColWidth="11.44140625" defaultRowHeight="15"/>
  <cols>
    <col min="1" max="1" width="11.33203125" style="1" customWidth="1"/>
    <col min="2" max="2" width="15.33203125" style="1" customWidth="1"/>
    <col min="3" max="3" width="11.44140625" style="1" customWidth="1"/>
    <col min="4" max="16384" width="11.44140625" style="1"/>
  </cols>
  <sheetData>
    <row r="1" spans="1:70" ht="15.95" customHeight="1">
      <c r="A1" s="2" t="s">
        <v>14</v>
      </c>
      <c r="B1" s="2" t="s">
        <v>15</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row>
    <row r="2" spans="1:70" ht="15.95" customHeight="1">
      <c r="A2" s="4" t="s">
        <v>16</v>
      </c>
      <c r="B2" s="2" t="s">
        <v>17</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row>
    <row r="3" spans="1:70" ht="15.95" customHeight="1">
      <c r="A3" s="2"/>
      <c r="B3" s="2"/>
      <c r="C3" s="2" t="s">
        <v>18</v>
      </c>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row>
    <row r="4" spans="1:70" ht="15.95" customHeight="1">
      <c r="A4" s="2"/>
      <c r="B4" s="2"/>
      <c r="C4" s="4">
        <v>1</v>
      </c>
      <c r="D4" s="2" t="s">
        <v>19</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row>
    <row r="5" spans="1:70" ht="15.95" customHeight="1">
      <c r="A5" s="2"/>
      <c r="B5" s="2"/>
      <c r="C5" s="4">
        <v>2</v>
      </c>
      <c r="D5" s="2" t="s">
        <v>20</v>
      </c>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row>
    <row r="6" spans="1:70" ht="15.95" customHeight="1">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row>
    <row r="7" spans="1:70" ht="15.95" customHeight="1">
      <c r="A7" s="4" t="s">
        <v>21</v>
      </c>
      <c r="B7" s="2" t="s">
        <v>22</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row>
    <row r="8" spans="1:70" ht="15.95" customHeight="1">
      <c r="A8" s="2"/>
      <c r="B8" s="2"/>
      <c r="C8" s="2" t="s">
        <v>18</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row>
    <row r="9" spans="1:70" ht="15.95" customHeight="1">
      <c r="A9" s="2"/>
      <c r="B9" s="2"/>
      <c r="C9" s="4">
        <v>1</v>
      </c>
      <c r="D9" s="2" t="s">
        <v>23</v>
      </c>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row>
    <row r="10" spans="1:70" ht="15.95" customHeight="1">
      <c r="A10" s="2"/>
      <c r="B10" s="2"/>
      <c r="C10" s="4">
        <v>2</v>
      </c>
      <c r="D10" s="2" t="s">
        <v>24</v>
      </c>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row>
    <row r="11" spans="1:70" ht="15.95" customHeight="1">
      <c r="A11" s="2"/>
      <c r="B11" s="2"/>
      <c r="C11" s="4">
        <v>3</v>
      </c>
      <c r="D11" s="2" t="s">
        <v>25</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row>
    <row r="12" spans="1:70" ht="15.95" customHeight="1">
      <c r="A12" s="2"/>
      <c r="B12" s="2"/>
      <c r="C12" s="4">
        <v>4</v>
      </c>
      <c r="D12" s="2" t="s">
        <v>26</v>
      </c>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row>
    <row r="13" spans="1:70" ht="15.95" customHeight="1">
      <c r="A13" s="2"/>
      <c r="B13" s="2"/>
      <c r="C13" s="4">
        <v>5</v>
      </c>
      <c r="D13" s="2" t="s">
        <v>27</v>
      </c>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row>
    <row r="14" spans="1:70" ht="15.95" customHeight="1">
      <c r="A14" s="2"/>
      <c r="B14" s="2"/>
      <c r="C14" s="4">
        <v>6</v>
      </c>
      <c r="D14" s="2" t="s">
        <v>28</v>
      </c>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row>
    <row r="15" spans="1:70" ht="15.95" customHeight="1">
      <c r="A15" s="2"/>
      <c r="B15" s="2"/>
      <c r="C15" s="4">
        <v>7</v>
      </c>
      <c r="D15" s="2" t="s">
        <v>29</v>
      </c>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row>
    <row r="16" spans="1:70" ht="15.95" customHeight="1">
      <c r="A16" s="2"/>
      <c r="B16" s="2"/>
      <c r="C16" s="4">
        <v>8</v>
      </c>
      <c r="D16" s="2" t="s">
        <v>30</v>
      </c>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row>
    <row r="17" spans="1:70" ht="15.9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row>
    <row r="18" spans="1:70" ht="15.95" customHeight="1">
      <c r="A18" s="4" t="s">
        <v>31</v>
      </c>
      <c r="B18" s="2" t="s">
        <v>32</v>
      </c>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row>
    <row r="19" spans="1:70" ht="15.95" customHeight="1">
      <c r="A19" s="2"/>
      <c r="B19" s="2"/>
      <c r="C19" s="2" t="s">
        <v>18</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row>
    <row r="20" spans="1:70" ht="15.95" customHeight="1">
      <c r="A20" s="2"/>
      <c r="B20" s="2"/>
      <c r="C20" s="4">
        <v>1</v>
      </c>
      <c r="D20" s="2" t="s">
        <v>33</v>
      </c>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row>
    <row r="21" spans="1:70" ht="15.95" customHeight="1">
      <c r="A21" s="2"/>
      <c r="B21" s="2"/>
      <c r="C21" s="4">
        <v>2</v>
      </c>
      <c r="D21" s="2" t="s">
        <v>34</v>
      </c>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row>
    <row r="22" spans="1:70" ht="15.95" customHeight="1">
      <c r="A22" s="2"/>
      <c r="B22" s="2"/>
      <c r="C22" s="4">
        <v>3</v>
      </c>
      <c r="D22" s="2" t="s">
        <v>35</v>
      </c>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row>
    <row r="23" spans="1:70" ht="15.95" customHeight="1">
      <c r="A23" s="2"/>
      <c r="B23" s="2"/>
      <c r="C23" s="4">
        <v>4</v>
      </c>
      <c r="D23" s="2" t="s">
        <v>36</v>
      </c>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row>
    <row r="24" spans="1:70" ht="15.9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row>
    <row r="25" spans="1:70" ht="15.9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row>
    <row r="26" spans="1:70" ht="15.95" customHeight="1">
      <c r="A26" s="4" t="s">
        <v>37</v>
      </c>
      <c r="B26" s="2" t="s">
        <v>38</v>
      </c>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row>
    <row r="27" spans="1:70" ht="15.95" customHeight="1">
      <c r="A27" s="2"/>
      <c r="B27" s="2"/>
      <c r="C27" s="2" t="s">
        <v>18</v>
      </c>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row>
    <row r="28" spans="1:70" ht="15.95" customHeight="1">
      <c r="A28" s="2"/>
      <c r="B28" s="2"/>
      <c r="C28" s="4">
        <v>1</v>
      </c>
      <c r="D28" s="2" t="s">
        <v>39</v>
      </c>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row>
    <row r="29" spans="1:70" ht="15.95" customHeight="1">
      <c r="A29" s="2"/>
      <c r="B29" s="2"/>
      <c r="C29" s="4">
        <v>2</v>
      </c>
      <c r="D29" s="2" t="s">
        <v>40</v>
      </c>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row>
    <row r="30" spans="1:70" ht="15.95" customHeight="1">
      <c r="A30" s="2"/>
      <c r="B30" s="2"/>
      <c r="C30" s="4">
        <v>3</v>
      </c>
      <c r="D30" s="2" t="s">
        <v>41</v>
      </c>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row>
    <row r="31" spans="1:70" ht="15.95" customHeight="1">
      <c r="A31" s="2"/>
      <c r="B31" s="2"/>
      <c r="C31" s="4">
        <v>4</v>
      </c>
      <c r="D31" s="2" t="s">
        <v>42</v>
      </c>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row>
    <row r="32" spans="1:70" ht="15.95" customHeight="1">
      <c r="A32" s="2"/>
      <c r="B32" s="2"/>
      <c r="C32" s="4">
        <v>5</v>
      </c>
      <c r="D32" s="2" t="s">
        <v>43</v>
      </c>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row>
    <row r="33" spans="1:70" ht="15.9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row>
    <row r="34" spans="1:70" ht="15.95" customHeight="1">
      <c r="A34" s="4" t="s">
        <v>44</v>
      </c>
      <c r="B34" s="2" t="s">
        <v>45</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row>
    <row r="35" spans="1:70" ht="15.95" customHeight="1">
      <c r="A35" s="2"/>
      <c r="B35" s="2"/>
      <c r="C35" s="2" t="s">
        <v>18</v>
      </c>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row>
    <row r="36" spans="1:70" ht="15.95" customHeight="1">
      <c r="A36" s="2"/>
      <c r="B36" s="2"/>
      <c r="C36" s="4">
        <v>1</v>
      </c>
      <c r="D36" s="2" t="s">
        <v>46</v>
      </c>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row>
    <row r="37" spans="1:70" ht="15.95" customHeight="1">
      <c r="A37" s="2"/>
      <c r="B37" s="2"/>
      <c r="C37" s="4">
        <v>2</v>
      </c>
      <c r="D37" s="2" t="s">
        <v>47</v>
      </c>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row>
    <row r="38" spans="1:70" ht="15.95" customHeight="1">
      <c r="A38" s="2"/>
      <c r="B38" s="2"/>
      <c r="C38" s="4">
        <v>3</v>
      </c>
      <c r="D38" s="2" t="s">
        <v>48</v>
      </c>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row>
    <row r="39" spans="1:70" ht="15.95" customHeight="1">
      <c r="A39" s="2"/>
      <c r="B39" s="2"/>
      <c r="C39" s="4">
        <v>4</v>
      </c>
      <c r="D39" s="2" t="s">
        <v>49</v>
      </c>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row>
    <row r="40" spans="1:70" ht="15.95" customHeight="1">
      <c r="A40" s="2"/>
      <c r="B40" s="2"/>
      <c r="C40" s="4">
        <v>5</v>
      </c>
      <c r="D40" s="2" t="s">
        <v>50</v>
      </c>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row>
    <row r="41" spans="1:70" ht="15.9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row>
    <row r="42" spans="1:70" ht="15.95" customHeight="1">
      <c r="A42" s="4" t="s">
        <v>51</v>
      </c>
      <c r="B42" s="2" t="s">
        <v>52</v>
      </c>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row>
    <row r="43" spans="1:70" ht="15.95" customHeight="1">
      <c r="A43" s="2"/>
      <c r="B43" s="2"/>
      <c r="C43" s="2" t="s">
        <v>18</v>
      </c>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row>
    <row r="44" spans="1:70" ht="15.95" customHeight="1">
      <c r="A44" s="2"/>
      <c r="B44" s="2"/>
      <c r="C44" s="4">
        <v>1</v>
      </c>
      <c r="D44" s="2" t="s">
        <v>53</v>
      </c>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row>
    <row r="45" spans="1:70" ht="15.95" customHeight="1">
      <c r="A45" s="2"/>
      <c r="B45" s="2"/>
      <c r="C45" s="4">
        <v>2</v>
      </c>
      <c r="D45" s="2" t="s">
        <v>54</v>
      </c>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row>
    <row r="46" spans="1:70" ht="15.95" customHeight="1">
      <c r="A46" s="2"/>
      <c r="B46" s="2"/>
      <c r="C46" s="4">
        <v>3</v>
      </c>
      <c r="D46" s="2" t="s">
        <v>55</v>
      </c>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row>
    <row r="47" spans="1:70" ht="15.95" customHeight="1">
      <c r="A47" s="2"/>
      <c r="B47" s="2"/>
      <c r="C47" s="4">
        <v>4</v>
      </c>
      <c r="D47" s="2" t="s">
        <v>56</v>
      </c>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row>
    <row r="48" spans="1:70" ht="15.95" customHeight="1">
      <c r="A48" s="2"/>
      <c r="B48" s="2"/>
      <c r="C48" s="4">
        <v>5</v>
      </c>
      <c r="D48" s="2" t="s">
        <v>50</v>
      </c>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row>
    <row r="49" spans="1:70" ht="15.9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row>
    <row r="50" spans="1:70" ht="15.95" customHeight="1">
      <c r="A50" s="2" t="s">
        <v>57</v>
      </c>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row>
    <row r="51" spans="1:70" ht="15.9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row>
    <row r="52" spans="1:70" ht="15.9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row>
    <row r="53" spans="1:70" ht="15.9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row>
    <row r="54" spans="1:70" ht="15.9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row>
    <row r="55" spans="1:70" ht="15.9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row>
    <row r="56" spans="1:70" ht="15.9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row>
    <row r="57" spans="1:70" ht="15.9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row>
    <row r="58" spans="1:70" ht="15.9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row>
    <row r="59" spans="1:70" ht="15.9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row>
    <row r="60" spans="1:70" ht="15.9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row>
    <row r="61" spans="1:70" ht="15.9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row>
    <row r="62" spans="1:70" ht="15.9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row>
    <row r="63" spans="1:70" ht="15.9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row>
    <row r="64" spans="1:70" ht="15.9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row>
    <row r="65" spans="1:70" ht="15.9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row>
    <row r="66" spans="1:70" ht="15.9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row>
    <row r="67" spans="1:70" ht="15.9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row>
    <row r="68" spans="1:70" ht="15.9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row>
    <row r="69" spans="1:70" ht="15.9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row>
    <row r="70" spans="1:70" ht="15.9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row>
    <row r="71" spans="1:70" ht="15.9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row>
    <row r="72" spans="1:70" ht="15.9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row>
    <row r="73" spans="1:70" ht="15.9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row>
    <row r="74" spans="1:70" ht="15.9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row>
    <row r="75" spans="1:70" ht="15.9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row>
    <row r="76" spans="1:70" ht="15.9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row>
    <row r="77" spans="1:70" ht="15.9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row>
    <row r="78" spans="1:70" ht="15.9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row>
    <row r="79" spans="1:70" ht="15.9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row>
    <row r="80" spans="1:70" ht="15.9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row>
    <row r="81" spans="1:70" ht="15.9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row>
    <row r="82" spans="1:70" ht="15.9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row>
    <row r="83" spans="1:70" ht="15.9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row>
    <row r="84" spans="1:70" ht="15.9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row>
    <row r="85" spans="1:70" ht="15.9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row>
    <row r="86" spans="1:70" ht="15.9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row>
    <row r="87" spans="1:70" ht="15.9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row>
    <row r="88" spans="1:70" ht="15.9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row>
    <row r="89" spans="1:70" ht="15.9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row>
    <row r="90" spans="1:70" ht="15.9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row>
    <row r="91" spans="1:70" ht="15.9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row>
    <row r="92" spans="1:70" ht="15.9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row>
    <row r="93" spans="1:70" ht="15.9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row>
    <row r="94" spans="1:70" ht="15.9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row>
    <row r="95" spans="1:70" ht="15.9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row>
    <row r="96" spans="1:70" ht="15.9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row>
    <row r="97" spans="1:70" ht="15.9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row>
    <row r="98" spans="1:70" ht="15.9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row>
    <row r="99" spans="1:70" ht="15.9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row>
    <row r="100" spans="1:70" ht="15.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row>
    <row r="101" spans="1:70" ht="15.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row>
    <row r="102" spans="1:70" ht="15.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row>
    <row r="103" spans="1:70" ht="15.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row>
    <row r="104" spans="1:70" ht="15.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row>
    <row r="105" spans="1:70" ht="15.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row>
    <row r="106" spans="1:70" ht="15.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row>
    <row r="107" spans="1:70" ht="15.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row>
    <row r="108" spans="1:70" ht="15.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row>
    <row r="109" spans="1:70" ht="15.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row>
    <row r="110" spans="1:70" ht="15.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row>
    <row r="111" spans="1:70" ht="15.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row>
    <row r="112" spans="1:70" ht="15.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row>
    <row r="113" spans="1:70" ht="15.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row>
    <row r="114" spans="1:70" ht="15.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row>
    <row r="115" spans="1:70" ht="15.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row>
    <row r="116" spans="1:70" ht="15.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row>
    <row r="117" spans="1:70" ht="15.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row>
    <row r="118" spans="1:70" ht="15.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row>
    <row r="119" spans="1:70" ht="15.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row>
    <row r="120" spans="1:70" ht="15.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row>
    <row r="121" spans="1:70" ht="15.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row>
    <row r="122" spans="1:70" ht="15.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row>
    <row r="123" spans="1:70" ht="15.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row>
    <row r="124" spans="1:70" ht="15.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row>
    <row r="125" spans="1:70" ht="15.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row>
    <row r="126" spans="1:70" ht="15.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row>
    <row r="127" spans="1:70" ht="15.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row>
    <row r="128" spans="1:70" ht="15.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row>
    <row r="129" spans="1:70" ht="15.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row>
    <row r="130" spans="1:70" ht="15.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row>
    <row r="131" spans="1:70" ht="15.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row>
    <row r="132" spans="1:70" ht="15.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row>
    <row r="133" spans="1:70" ht="15.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row>
    <row r="134" spans="1:70" ht="15.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row>
    <row r="135" spans="1:70" ht="15.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row>
    <row r="136" spans="1:70" ht="15.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row>
    <row r="137" spans="1:70" ht="15.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row>
    <row r="138" spans="1:70" ht="15.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row>
    <row r="139" spans="1:70" ht="15.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row>
    <row r="140" spans="1:70" ht="15.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row>
    <row r="141" spans="1:70" ht="15.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row>
    <row r="142" spans="1:70" ht="15.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row>
    <row r="143" spans="1:70" ht="15.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row>
    <row r="144" spans="1:70" ht="15.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row>
    <row r="145" spans="1:70" ht="15.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row>
    <row r="146" spans="1:70" ht="15.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row>
    <row r="147" spans="1:70" ht="15.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row>
    <row r="148" spans="1:70" ht="15.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row>
    <row r="149" spans="1:70" ht="15.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row>
    <row r="150" spans="1:70" ht="15.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row>
    <row r="151" spans="1:70" ht="15.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row>
    <row r="152" spans="1:70" ht="15.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row>
    <row r="153" spans="1:70" ht="15.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row>
    <row r="154" spans="1:70" ht="15.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row>
    <row r="155" spans="1:70" ht="15.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row>
    <row r="156" spans="1:70" ht="15.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row>
    <row r="157" spans="1:70" ht="15.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row>
    <row r="158" spans="1:70" ht="15.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row>
    <row r="159" spans="1:70" ht="15.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row>
    <row r="160" spans="1:70" ht="15.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row>
  </sheetData>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O152"/>
  <sheetViews>
    <sheetView workbookViewId="0"/>
  </sheetViews>
  <sheetFormatPr defaultColWidth="8.77734375" defaultRowHeight="15"/>
  <cols>
    <col min="1" max="1" width="12" style="1" customWidth="1"/>
    <col min="2" max="2" width="8.77734375" style="1" customWidth="1"/>
    <col min="3" max="16384" width="8.77734375" style="1"/>
  </cols>
  <sheetData>
    <row r="1" spans="1:67" ht="15.95" customHeight="1">
      <c r="A1" s="2" t="s">
        <v>58</v>
      </c>
      <c r="B1" s="2" t="s">
        <v>59</v>
      </c>
      <c r="C1" s="2" t="s">
        <v>16</v>
      </c>
      <c r="D1" s="2" t="s">
        <v>21</v>
      </c>
      <c r="E1" s="2" t="s">
        <v>31</v>
      </c>
      <c r="F1" s="2" t="s">
        <v>60</v>
      </c>
      <c r="G1" s="2" t="s">
        <v>61</v>
      </c>
      <c r="H1" s="2" t="s">
        <v>62</v>
      </c>
      <c r="I1" s="2" t="s">
        <v>63</v>
      </c>
      <c r="J1" s="2" t="s">
        <v>64</v>
      </c>
      <c r="K1" s="2" t="s">
        <v>65</v>
      </c>
      <c r="L1" s="2" t="s">
        <v>66</v>
      </c>
      <c r="M1" s="2" t="s">
        <v>67</v>
      </c>
      <c r="N1" s="2" t="s">
        <v>68</v>
      </c>
      <c r="O1" s="2" t="s">
        <v>69</v>
      </c>
      <c r="P1" s="2" t="s">
        <v>70</v>
      </c>
      <c r="Q1" s="2" t="s">
        <v>71</v>
      </c>
      <c r="R1" s="2" t="s">
        <v>72</v>
      </c>
      <c r="S1" s="2" t="s">
        <v>73</v>
      </c>
      <c r="T1" s="2" t="s">
        <v>74</v>
      </c>
      <c r="U1" s="2" t="s">
        <v>75</v>
      </c>
      <c r="V1" s="2" t="s">
        <v>76</v>
      </c>
      <c r="W1" s="2" t="s">
        <v>77</v>
      </c>
      <c r="X1" s="2" t="s">
        <v>78</v>
      </c>
      <c r="Y1" s="2" t="s">
        <v>79</v>
      </c>
      <c r="Z1" s="2" t="s">
        <v>80</v>
      </c>
      <c r="AA1" s="2" t="s">
        <v>81</v>
      </c>
      <c r="AB1" s="2" t="s">
        <v>82</v>
      </c>
      <c r="AC1" s="2" t="s">
        <v>83</v>
      </c>
      <c r="AD1" s="2" t="s">
        <v>84</v>
      </c>
      <c r="AE1" s="2" t="s">
        <v>85</v>
      </c>
      <c r="AF1" s="2" t="s">
        <v>86</v>
      </c>
      <c r="AG1" s="2" t="s">
        <v>87</v>
      </c>
      <c r="AH1" s="2" t="s">
        <v>88</v>
      </c>
      <c r="AI1" s="2" t="s">
        <v>89</v>
      </c>
      <c r="AJ1" s="2" t="s">
        <v>90</v>
      </c>
      <c r="AK1" s="2" t="s">
        <v>91</v>
      </c>
      <c r="AL1" s="2" t="s">
        <v>92</v>
      </c>
      <c r="AM1" s="2" t="s">
        <v>93</v>
      </c>
      <c r="AN1" s="2" t="s">
        <v>94</v>
      </c>
      <c r="AO1" s="2" t="s">
        <v>95</v>
      </c>
      <c r="AP1" s="2" t="s">
        <v>96</v>
      </c>
      <c r="AQ1" s="2" t="s">
        <v>97</v>
      </c>
      <c r="AR1" s="2" t="s">
        <v>98</v>
      </c>
      <c r="AS1" s="2" t="s">
        <v>99</v>
      </c>
      <c r="AT1" s="2" t="s">
        <v>100</v>
      </c>
      <c r="AU1" s="2" t="s">
        <v>101</v>
      </c>
      <c r="AV1" s="2" t="s">
        <v>102</v>
      </c>
      <c r="AW1" s="2" t="s">
        <v>103</v>
      </c>
      <c r="AX1" s="2" t="s">
        <v>104</v>
      </c>
      <c r="AY1" s="2" t="s">
        <v>105</v>
      </c>
      <c r="AZ1" s="2" t="s">
        <v>106</v>
      </c>
      <c r="BA1" s="2" t="s">
        <v>107</v>
      </c>
      <c r="BB1" s="2" t="s">
        <v>108</v>
      </c>
      <c r="BC1" s="2" t="s">
        <v>109</v>
      </c>
      <c r="BD1" s="2" t="s">
        <v>110</v>
      </c>
      <c r="BE1" s="2" t="s">
        <v>111</v>
      </c>
      <c r="BF1" s="2" t="s">
        <v>112</v>
      </c>
      <c r="BG1" s="2" t="s">
        <v>113</v>
      </c>
      <c r="BH1" s="2" t="s">
        <v>114</v>
      </c>
      <c r="BI1" s="2" t="s">
        <v>115</v>
      </c>
      <c r="BJ1" s="2" t="s">
        <v>116</v>
      </c>
      <c r="BK1" s="2" t="s">
        <v>117</v>
      </c>
      <c r="BL1" s="2" t="s">
        <v>118</v>
      </c>
      <c r="BM1" s="2" t="s">
        <v>119</v>
      </c>
      <c r="BN1" s="2" t="s">
        <v>120</v>
      </c>
      <c r="BO1" s="2" t="s">
        <v>121</v>
      </c>
    </row>
    <row r="2" spans="1:67" ht="15.95" customHeight="1">
      <c r="A2" s="2" t="s">
        <v>122</v>
      </c>
      <c r="B2" s="2" t="s">
        <v>123</v>
      </c>
      <c r="C2" s="2" t="s">
        <v>124</v>
      </c>
      <c r="D2" s="2" t="s">
        <v>22</v>
      </c>
      <c r="E2" s="2" t="s">
        <v>32</v>
      </c>
      <c r="F2" s="2" t="s">
        <v>125</v>
      </c>
      <c r="G2" s="2" t="s">
        <v>126</v>
      </c>
      <c r="H2" s="2" t="s">
        <v>127</v>
      </c>
      <c r="I2" s="2" t="s">
        <v>128</v>
      </c>
      <c r="J2" s="2" t="s">
        <v>129</v>
      </c>
      <c r="K2" s="2" t="s">
        <v>130</v>
      </c>
      <c r="L2" s="2" t="s">
        <v>131</v>
      </c>
      <c r="M2" s="2" t="s">
        <v>132</v>
      </c>
      <c r="N2" s="2" t="s">
        <v>133</v>
      </c>
      <c r="O2" s="2" t="s">
        <v>134</v>
      </c>
      <c r="P2" s="2" t="s">
        <v>135</v>
      </c>
      <c r="Q2" s="2" t="s">
        <v>136</v>
      </c>
      <c r="R2" s="2" t="s">
        <v>137</v>
      </c>
      <c r="S2" s="2" t="s">
        <v>138</v>
      </c>
      <c r="T2" s="2" t="s">
        <v>139</v>
      </c>
      <c r="U2" s="2" t="s">
        <v>140</v>
      </c>
      <c r="V2" s="2" t="s">
        <v>141</v>
      </c>
      <c r="W2" s="2" t="s">
        <v>142</v>
      </c>
      <c r="X2" s="2" t="s">
        <v>143</v>
      </c>
      <c r="Y2" s="2" t="s">
        <v>144</v>
      </c>
      <c r="Z2" s="2" t="s">
        <v>145</v>
      </c>
      <c r="AA2" s="2" t="s">
        <v>146</v>
      </c>
      <c r="AB2" s="2" t="s">
        <v>147</v>
      </c>
      <c r="AC2" s="2" t="s">
        <v>148</v>
      </c>
      <c r="AD2" s="2" t="s">
        <v>149</v>
      </c>
      <c r="AE2" s="2" t="s">
        <v>150</v>
      </c>
      <c r="AF2" s="2" t="s">
        <v>151</v>
      </c>
      <c r="AG2" s="2" t="s">
        <v>152</v>
      </c>
      <c r="AH2" s="2" t="s">
        <v>153</v>
      </c>
      <c r="AI2" s="2" t="s">
        <v>154</v>
      </c>
      <c r="AJ2" s="2" t="s">
        <v>155</v>
      </c>
      <c r="AK2" s="2" t="s">
        <v>156</v>
      </c>
      <c r="AL2" s="2" t="s">
        <v>157</v>
      </c>
      <c r="AM2" s="2" t="s">
        <v>158</v>
      </c>
      <c r="AN2" s="2" t="s">
        <v>159</v>
      </c>
      <c r="AO2" s="2" t="s">
        <v>160</v>
      </c>
      <c r="AP2" s="2" t="s">
        <v>161</v>
      </c>
      <c r="AQ2" s="2" t="s">
        <v>162</v>
      </c>
      <c r="AR2" s="2" t="s">
        <v>163</v>
      </c>
      <c r="AS2" s="2" t="s">
        <v>164</v>
      </c>
      <c r="AT2" s="2" t="s">
        <v>165</v>
      </c>
      <c r="AU2" s="2" t="s">
        <v>166</v>
      </c>
      <c r="AV2" s="2" t="s">
        <v>167</v>
      </c>
      <c r="AW2" s="2" t="s">
        <v>168</v>
      </c>
      <c r="AX2" s="2" t="s">
        <v>169</v>
      </c>
      <c r="AY2" s="2" t="s">
        <v>170</v>
      </c>
      <c r="AZ2" s="2" t="s">
        <v>171</v>
      </c>
      <c r="BA2" s="2" t="s">
        <v>172</v>
      </c>
      <c r="BB2" s="2" t="s">
        <v>173</v>
      </c>
      <c r="BC2" s="2" t="s">
        <v>174</v>
      </c>
      <c r="BD2" s="2" t="s">
        <v>175</v>
      </c>
      <c r="BE2" s="2" t="s">
        <v>176</v>
      </c>
      <c r="BF2" s="2" t="s">
        <v>177</v>
      </c>
      <c r="BG2" s="2" t="s">
        <v>178</v>
      </c>
      <c r="BH2" s="2" t="s">
        <v>179</v>
      </c>
      <c r="BI2" s="2" t="s">
        <v>180</v>
      </c>
      <c r="BJ2" s="2" t="s">
        <v>181</v>
      </c>
      <c r="BK2" s="2" t="s">
        <v>182</v>
      </c>
      <c r="BL2" s="2" t="s">
        <v>183</v>
      </c>
      <c r="BM2" s="2" t="s">
        <v>184</v>
      </c>
      <c r="BN2" s="2" t="s">
        <v>185</v>
      </c>
      <c r="BO2" s="2" t="s">
        <v>186</v>
      </c>
    </row>
    <row r="3" spans="1:67" ht="15.95" customHeight="1">
      <c r="A3" s="2" t="s">
        <v>187</v>
      </c>
      <c r="B3" s="4">
        <v>1</v>
      </c>
      <c r="C3" s="4">
        <v>2</v>
      </c>
      <c r="D3" s="4">
        <v>3</v>
      </c>
      <c r="E3" s="4">
        <v>1</v>
      </c>
      <c r="F3" s="4">
        <v>3</v>
      </c>
      <c r="G3" s="4">
        <v>2</v>
      </c>
      <c r="H3" s="4">
        <v>1</v>
      </c>
      <c r="I3" s="4">
        <v>1</v>
      </c>
      <c r="J3" s="4">
        <v>2</v>
      </c>
      <c r="K3" s="4">
        <v>1</v>
      </c>
      <c r="L3" s="4">
        <v>3</v>
      </c>
      <c r="M3" s="4">
        <v>4</v>
      </c>
      <c r="N3" s="4">
        <v>3</v>
      </c>
      <c r="O3" s="4">
        <v>2</v>
      </c>
      <c r="P3" s="4">
        <v>3</v>
      </c>
      <c r="Q3" s="4">
        <v>2</v>
      </c>
      <c r="R3" s="4">
        <v>2</v>
      </c>
      <c r="S3" s="4">
        <v>1</v>
      </c>
      <c r="T3" s="4">
        <v>1</v>
      </c>
      <c r="U3" s="4">
        <v>1</v>
      </c>
      <c r="V3" s="4">
        <v>1</v>
      </c>
      <c r="W3" s="4">
        <v>1</v>
      </c>
      <c r="X3" s="4">
        <v>1</v>
      </c>
      <c r="Y3" s="4">
        <v>1</v>
      </c>
      <c r="Z3" s="4">
        <v>2</v>
      </c>
      <c r="AA3" s="4">
        <v>2</v>
      </c>
      <c r="AB3" s="4">
        <v>1</v>
      </c>
      <c r="AC3" s="4">
        <v>1</v>
      </c>
      <c r="AD3" s="4">
        <v>1</v>
      </c>
      <c r="AE3" s="4">
        <v>1</v>
      </c>
      <c r="AF3" s="4">
        <v>2</v>
      </c>
      <c r="AG3" s="4">
        <v>1</v>
      </c>
      <c r="AH3" s="4">
        <v>0</v>
      </c>
      <c r="AI3" s="4">
        <v>0</v>
      </c>
      <c r="AJ3" s="4">
        <v>0</v>
      </c>
      <c r="AK3" s="4">
        <v>0</v>
      </c>
      <c r="AL3" s="4">
        <v>1</v>
      </c>
      <c r="AM3" s="4">
        <v>0</v>
      </c>
      <c r="AN3" s="4">
        <v>0</v>
      </c>
      <c r="AO3" s="4">
        <v>0</v>
      </c>
      <c r="AP3" s="4">
        <v>0</v>
      </c>
      <c r="AQ3" s="4">
        <v>1</v>
      </c>
      <c r="AR3" s="4">
        <v>0</v>
      </c>
      <c r="AS3" s="4">
        <v>0</v>
      </c>
      <c r="AT3" s="4">
        <v>0</v>
      </c>
      <c r="AU3" s="4">
        <v>0</v>
      </c>
      <c r="AV3" s="4">
        <v>1</v>
      </c>
      <c r="AW3" s="4">
        <v>0</v>
      </c>
      <c r="AX3" s="4">
        <v>0</v>
      </c>
      <c r="AY3" s="4">
        <v>0</v>
      </c>
      <c r="AZ3" s="4">
        <v>0</v>
      </c>
      <c r="BA3" s="4">
        <v>1</v>
      </c>
      <c r="BB3" s="4">
        <v>0</v>
      </c>
      <c r="BC3" s="4">
        <v>0</v>
      </c>
      <c r="BD3" s="4">
        <v>0</v>
      </c>
      <c r="BE3" s="4">
        <v>0</v>
      </c>
      <c r="BF3" s="4">
        <v>1</v>
      </c>
      <c r="BG3" s="4">
        <v>0</v>
      </c>
      <c r="BH3" s="4">
        <v>0</v>
      </c>
      <c r="BI3" s="4">
        <v>0</v>
      </c>
      <c r="BJ3" s="4">
        <v>0</v>
      </c>
      <c r="BK3" s="4">
        <v>1</v>
      </c>
      <c r="BL3" s="4">
        <v>0</v>
      </c>
      <c r="BM3" s="4">
        <v>0</v>
      </c>
      <c r="BN3" s="4">
        <v>0</v>
      </c>
      <c r="BO3" s="4">
        <v>0</v>
      </c>
    </row>
    <row r="4" spans="1:67" ht="15.95" customHeight="1">
      <c r="A4" s="2" t="s">
        <v>188</v>
      </c>
      <c r="B4" s="4">
        <v>1</v>
      </c>
      <c r="C4" s="4">
        <v>1</v>
      </c>
      <c r="D4" s="4">
        <v>4</v>
      </c>
      <c r="E4" s="4">
        <v>3</v>
      </c>
      <c r="F4" s="4">
        <v>5</v>
      </c>
      <c r="G4" s="4">
        <v>2</v>
      </c>
      <c r="H4" s="4">
        <v>1</v>
      </c>
      <c r="I4" s="4">
        <v>1</v>
      </c>
      <c r="J4" s="4">
        <v>4</v>
      </c>
      <c r="K4" s="4">
        <v>1</v>
      </c>
      <c r="L4" s="4">
        <v>3</v>
      </c>
      <c r="M4" s="4">
        <v>3</v>
      </c>
      <c r="N4" s="4">
        <v>3</v>
      </c>
      <c r="O4" s="4">
        <v>1</v>
      </c>
      <c r="P4" s="4">
        <v>2</v>
      </c>
      <c r="Q4" s="4">
        <v>2</v>
      </c>
      <c r="R4" s="4">
        <v>1</v>
      </c>
      <c r="S4" s="4">
        <v>2</v>
      </c>
      <c r="T4" s="4">
        <v>1</v>
      </c>
      <c r="U4" s="4">
        <v>5</v>
      </c>
      <c r="V4" s="4">
        <v>1</v>
      </c>
      <c r="W4" s="4">
        <v>2</v>
      </c>
      <c r="X4" s="4">
        <v>1</v>
      </c>
      <c r="Y4" s="4">
        <v>1</v>
      </c>
      <c r="Z4" s="4">
        <v>2</v>
      </c>
      <c r="AA4" s="4">
        <v>1</v>
      </c>
      <c r="AB4" s="4">
        <v>2</v>
      </c>
      <c r="AC4" s="4">
        <v>1</v>
      </c>
      <c r="AD4" s="4">
        <v>1</v>
      </c>
      <c r="AE4" s="4">
        <v>1</v>
      </c>
      <c r="AF4" s="4">
        <v>1</v>
      </c>
      <c r="AG4" s="4">
        <v>1</v>
      </c>
      <c r="AH4" s="4">
        <v>0</v>
      </c>
      <c r="AI4" s="4">
        <v>0</v>
      </c>
      <c r="AJ4" s="4">
        <v>0</v>
      </c>
      <c r="AK4" s="4">
        <v>1</v>
      </c>
      <c r="AL4" s="4">
        <v>1</v>
      </c>
      <c r="AM4" s="4">
        <v>0</v>
      </c>
      <c r="AN4" s="4">
        <v>0</v>
      </c>
      <c r="AO4" s="4">
        <v>0</v>
      </c>
      <c r="AP4" s="4">
        <v>0</v>
      </c>
      <c r="AQ4" s="4">
        <v>1</v>
      </c>
      <c r="AR4" s="4">
        <v>0</v>
      </c>
      <c r="AS4" s="4">
        <v>0</v>
      </c>
      <c r="AT4" s="4">
        <v>0</v>
      </c>
      <c r="AU4" s="4">
        <v>0</v>
      </c>
      <c r="AV4" s="4">
        <v>0</v>
      </c>
      <c r="AW4" s="4">
        <v>0</v>
      </c>
      <c r="AX4" s="4">
        <v>0</v>
      </c>
      <c r="AY4" s="4">
        <v>0</v>
      </c>
      <c r="AZ4" s="4">
        <v>0</v>
      </c>
      <c r="BA4" s="4">
        <v>1</v>
      </c>
      <c r="BB4" s="4">
        <v>0</v>
      </c>
      <c r="BC4" s="4">
        <v>0</v>
      </c>
      <c r="BD4" s="4">
        <v>0</v>
      </c>
      <c r="BE4" s="4">
        <v>0</v>
      </c>
      <c r="BF4" s="4">
        <v>1</v>
      </c>
      <c r="BG4" s="4">
        <v>0</v>
      </c>
      <c r="BH4" s="4">
        <v>0</v>
      </c>
      <c r="BI4" s="4">
        <v>0</v>
      </c>
      <c r="BJ4" s="4">
        <v>0</v>
      </c>
      <c r="BK4" s="4">
        <v>0</v>
      </c>
      <c r="BL4" s="4">
        <v>0</v>
      </c>
      <c r="BM4" s="4">
        <v>0</v>
      </c>
      <c r="BN4" s="4">
        <v>0</v>
      </c>
      <c r="BO4" s="4">
        <v>0</v>
      </c>
    </row>
    <row r="5" spans="1:67" ht="15.95" customHeight="1">
      <c r="A5" s="2" t="s">
        <v>189</v>
      </c>
      <c r="B5" s="4">
        <v>1</v>
      </c>
      <c r="C5" s="4">
        <v>2</v>
      </c>
      <c r="D5" s="4">
        <v>2</v>
      </c>
      <c r="E5" s="4">
        <v>3</v>
      </c>
      <c r="F5" s="4">
        <v>1</v>
      </c>
      <c r="G5" s="4">
        <v>4</v>
      </c>
      <c r="H5" s="4">
        <v>1</v>
      </c>
      <c r="I5" s="4">
        <v>1</v>
      </c>
      <c r="J5" s="4">
        <v>2</v>
      </c>
      <c r="K5" s="4">
        <v>1</v>
      </c>
      <c r="L5" s="4">
        <v>4</v>
      </c>
      <c r="M5" s="4">
        <v>3</v>
      </c>
      <c r="N5" s="4">
        <v>4</v>
      </c>
      <c r="O5" s="4">
        <v>2</v>
      </c>
      <c r="P5" s="4">
        <v>3</v>
      </c>
      <c r="Q5" s="4">
        <v>4</v>
      </c>
      <c r="R5" s="4">
        <v>1</v>
      </c>
      <c r="S5" s="4">
        <v>1</v>
      </c>
      <c r="T5" s="4">
        <v>1</v>
      </c>
      <c r="U5" s="4">
        <v>1</v>
      </c>
      <c r="V5" s="4">
        <v>1</v>
      </c>
      <c r="W5" s="4">
        <v>1</v>
      </c>
      <c r="X5" s="4">
        <v>1</v>
      </c>
      <c r="Y5" s="4">
        <v>1</v>
      </c>
      <c r="Z5" s="4">
        <v>3</v>
      </c>
      <c r="AA5" s="4">
        <v>2</v>
      </c>
      <c r="AB5" s="4">
        <v>3</v>
      </c>
      <c r="AC5" s="4">
        <v>5</v>
      </c>
      <c r="AD5" s="4">
        <v>2</v>
      </c>
      <c r="AE5" s="4">
        <v>2</v>
      </c>
      <c r="AF5" s="4">
        <v>5</v>
      </c>
      <c r="AG5" s="4">
        <v>0</v>
      </c>
      <c r="AH5" s="4">
        <v>1</v>
      </c>
      <c r="AI5" s="4">
        <v>0</v>
      </c>
      <c r="AJ5" s="4">
        <v>0</v>
      </c>
      <c r="AK5" s="4">
        <v>0</v>
      </c>
      <c r="AL5" s="4">
        <v>0</v>
      </c>
      <c r="AM5" s="4">
        <v>1</v>
      </c>
      <c r="AN5" s="4">
        <v>0</v>
      </c>
      <c r="AO5" s="4">
        <v>0</v>
      </c>
      <c r="AP5" s="4">
        <v>0</v>
      </c>
      <c r="AQ5" s="4">
        <v>0</v>
      </c>
      <c r="AR5" s="4">
        <v>1</v>
      </c>
      <c r="AS5" s="4">
        <v>0</v>
      </c>
      <c r="AT5" s="4">
        <v>0</v>
      </c>
      <c r="AU5" s="4">
        <v>0</v>
      </c>
      <c r="AV5" s="4">
        <v>0</v>
      </c>
      <c r="AW5" s="4">
        <v>0</v>
      </c>
      <c r="AX5" s="4">
        <v>0</v>
      </c>
      <c r="AY5" s="4">
        <v>0</v>
      </c>
      <c r="AZ5" s="4">
        <v>0</v>
      </c>
      <c r="BA5" s="4">
        <v>0</v>
      </c>
      <c r="BB5" s="4">
        <v>1</v>
      </c>
      <c r="BC5" s="4">
        <v>0</v>
      </c>
      <c r="BD5" s="4">
        <v>0</v>
      </c>
      <c r="BE5" s="4">
        <v>0</v>
      </c>
      <c r="BF5" s="4">
        <v>0</v>
      </c>
      <c r="BG5" s="4">
        <v>0</v>
      </c>
      <c r="BH5" s="4">
        <v>0</v>
      </c>
      <c r="BI5" s="4">
        <v>0</v>
      </c>
      <c r="BJ5" s="4">
        <v>0</v>
      </c>
      <c r="BK5" s="4">
        <v>0</v>
      </c>
      <c r="BL5" s="4">
        <v>0</v>
      </c>
      <c r="BM5" s="4">
        <v>0</v>
      </c>
      <c r="BN5" s="4">
        <v>0</v>
      </c>
      <c r="BO5" s="4">
        <v>0</v>
      </c>
    </row>
    <row r="6" spans="1:67" ht="15.95" customHeight="1">
      <c r="A6" s="2" t="s">
        <v>190</v>
      </c>
      <c r="B6" s="4">
        <v>1</v>
      </c>
      <c r="C6" s="4">
        <v>1</v>
      </c>
      <c r="D6" s="4">
        <v>4</v>
      </c>
      <c r="E6" s="4">
        <v>3</v>
      </c>
      <c r="F6" s="4">
        <v>5</v>
      </c>
      <c r="G6" s="4">
        <v>5</v>
      </c>
      <c r="H6" s="4">
        <v>2</v>
      </c>
      <c r="I6" s="4">
        <v>1</v>
      </c>
      <c r="J6" s="4">
        <v>3</v>
      </c>
      <c r="K6" s="4">
        <v>1</v>
      </c>
      <c r="L6" s="4">
        <v>3</v>
      </c>
      <c r="M6" s="4">
        <v>2</v>
      </c>
      <c r="N6" s="4">
        <v>2</v>
      </c>
      <c r="O6" s="4">
        <v>2</v>
      </c>
      <c r="P6" s="4">
        <v>3</v>
      </c>
      <c r="Q6" s="4">
        <v>3</v>
      </c>
      <c r="R6" s="4">
        <v>1</v>
      </c>
      <c r="S6" s="4">
        <v>1</v>
      </c>
      <c r="T6" s="4">
        <v>1</v>
      </c>
      <c r="U6" s="4">
        <v>1</v>
      </c>
      <c r="V6" s="4">
        <v>1</v>
      </c>
      <c r="W6" s="4">
        <v>2</v>
      </c>
      <c r="X6" s="4">
        <v>1</v>
      </c>
      <c r="Y6" s="4">
        <v>1</v>
      </c>
      <c r="Z6" s="4">
        <v>1</v>
      </c>
      <c r="AA6" s="4">
        <v>5</v>
      </c>
      <c r="AB6" s="4">
        <v>5</v>
      </c>
      <c r="AC6" s="4">
        <v>5</v>
      </c>
      <c r="AD6" s="4">
        <v>2</v>
      </c>
      <c r="AE6" s="4">
        <v>2</v>
      </c>
      <c r="AF6" s="4">
        <v>5</v>
      </c>
      <c r="AG6" s="4">
        <v>0</v>
      </c>
      <c r="AH6" s="4">
        <v>0</v>
      </c>
      <c r="AI6" s="4">
        <v>0</v>
      </c>
      <c r="AJ6" s="4">
        <v>0</v>
      </c>
      <c r="AK6" s="4">
        <v>1</v>
      </c>
      <c r="AL6" s="4">
        <v>0</v>
      </c>
      <c r="AM6" s="4">
        <v>0</v>
      </c>
      <c r="AN6" s="4">
        <v>0</v>
      </c>
      <c r="AO6" s="4">
        <v>0</v>
      </c>
      <c r="AP6" s="4">
        <v>0</v>
      </c>
      <c r="AQ6" s="4">
        <v>0</v>
      </c>
      <c r="AR6" s="4">
        <v>0</v>
      </c>
      <c r="AS6" s="4">
        <v>0</v>
      </c>
      <c r="AT6" s="4">
        <v>0</v>
      </c>
      <c r="AU6" s="4">
        <v>1</v>
      </c>
      <c r="AV6" s="4">
        <v>0</v>
      </c>
      <c r="AW6" s="4">
        <v>0</v>
      </c>
      <c r="AX6" s="4">
        <v>0</v>
      </c>
      <c r="AY6" s="4">
        <v>0</v>
      </c>
      <c r="AZ6" s="4">
        <v>0</v>
      </c>
      <c r="BA6" s="4">
        <v>1</v>
      </c>
      <c r="BB6" s="4">
        <v>0</v>
      </c>
      <c r="BC6" s="4">
        <v>0</v>
      </c>
      <c r="BD6" s="4">
        <v>0</v>
      </c>
      <c r="BE6" s="4">
        <v>0</v>
      </c>
      <c r="BF6" s="4">
        <v>1</v>
      </c>
      <c r="BG6" s="4">
        <v>0</v>
      </c>
      <c r="BH6" s="4">
        <v>0</v>
      </c>
      <c r="BI6" s="4">
        <v>0</v>
      </c>
      <c r="BJ6" s="4">
        <v>0</v>
      </c>
      <c r="BK6" s="4">
        <v>0</v>
      </c>
      <c r="BL6" s="4">
        <v>0</v>
      </c>
      <c r="BM6" s="4">
        <v>0</v>
      </c>
      <c r="BN6" s="4">
        <v>0</v>
      </c>
      <c r="BO6" s="4">
        <v>0</v>
      </c>
    </row>
    <row r="7" spans="1:67" ht="15.95" customHeight="1">
      <c r="A7" s="2" t="s">
        <v>191</v>
      </c>
      <c r="B7" s="4">
        <v>1</v>
      </c>
      <c r="C7" s="4">
        <v>2</v>
      </c>
      <c r="D7" s="4">
        <v>4</v>
      </c>
      <c r="E7" s="4">
        <v>2</v>
      </c>
      <c r="F7" s="4">
        <v>5</v>
      </c>
      <c r="G7" s="4">
        <v>3</v>
      </c>
      <c r="H7" s="4">
        <v>1</v>
      </c>
      <c r="I7" s="4">
        <v>1</v>
      </c>
      <c r="J7" s="4">
        <v>2</v>
      </c>
      <c r="K7" s="4">
        <v>1</v>
      </c>
      <c r="L7" s="4">
        <v>2</v>
      </c>
      <c r="M7" s="4">
        <v>2</v>
      </c>
      <c r="N7" s="4">
        <v>2</v>
      </c>
      <c r="O7" s="4">
        <v>2</v>
      </c>
      <c r="P7" s="4">
        <v>2</v>
      </c>
      <c r="Q7" s="4">
        <v>1</v>
      </c>
      <c r="R7" s="4">
        <v>1</v>
      </c>
      <c r="S7" s="4">
        <v>1</v>
      </c>
      <c r="T7" s="4">
        <v>5</v>
      </c>
      <c r="U7" s="4">
        <v>2</v>
      </c>
      <c r="V7" s="4">
        <v>1</v>
      </c>
      <c r="W7" s="4">
        <v>5</v>
      </c>
      <c r="X7" s="4">
        <v>1</v>
      </c>
      <c r="Y7" s="4">
        <v>1</v>
      </c>
      <c r="Z7" s="4">
        <v>2</v>
      </c>
      <c r="AA7" s="4">
        <v>5</v>
      </c>
      <c r="AB7" s="4">
        <v>1</v>
      </c>
      <c r="AC7" s="4">
        <v>5</v>
      </c>
      <c r="AD7" s="4">
        <v>5</v>
      </c>
      <c r="AE7" s="4">
        <v>5</v>
      </c>
      <c r="AF7" s="4">
        <v>5</v>
      </c>
      <c r="AG7" s="4">
        <v>0</v>
      </c>
      <c r="AH7" s="4">
        <v>0</v>
      </c>
      <c r="AI7" s="4">
        <v>0</v>
      </c>
      <c r="AJ7" s="4">
        <v>1</v>
      </c>
      <c r="AK7" s="4">
        <v>1</v>
      </c>
      <c r="AL7" s="4">
        <v>0</v>
      </c>
      <c r="AM7" s="4">
        <v>0</v>
      </c>
      <c r="AN7" s="4">
        <v>0</v>
      </c>
      <c r="AO7" s="4">
        <v>0</v>
      </c>
      <c r="AP7" s="4">
        <v>0</v>
      </c>
      <c r="AQ7" s="4">
        <v>0</v>
      </c>
      <c r="AR7" s="4">
        <v>0</v>
      </c>
      <c r="AS7" s="4">
        <v>0</v>
      </c>
      <c r="AT7" s="4">
        <v>0</v>
      </c>
      <c r="AU7" s="4">
        <v>0</v>
      </c>
      <c r="AV7" s="4">
        <v>0</v>
      </c>
      <c r="AW7" s="4">
        <v>0</v>
      </c>
      <c r="AX7" s="4">
        <v>0</v>
      </c>
      <c r="AY7" s="4">
        <v>0</v>
      </c>
      <c r="AZ7" s="4">
        <v>0</v>
      </c>
      <c r="BA7" s="4">
        <v>0</v>
      </c>
      <c r="BB7" s="4">
        <v>0</v>
      </c>
      <c r="BC7" s="4">
        <v>0</v>
      </c>
      <c r="BD7" s="4">
        <v>0</v>
      </c>
      <c r="BE7" s="4">
        <v>0</v>
      </c>
      <c r="BF7" s="4">
        <v>0</v>
      </c>
      <c r="BG7" s="4">
        <v>0</v>
      </c>
      <c r="BH7" s="4">
        <v>0</v>
      </c>
      <c r="BI7" s="4">
        <v>0</v>
      </c>
      <c r="BJ7" s="4">
        <v>0</v>
      </c>
      <c r="BK7" s="4">
        <v>0</v>
      </c>
      <c r="BL7" s="4">
        <v>0</v>
      </c>
      <c r="BM7" s="4">
        <v>0</v>
      </c>
      <c r="BN7" s="4">
        <v>0</v>
      </c>
      <c r="BO7" s="4">
        <v>0</v>
      </c>
    </row>
    <row r="8" spans="1:67" ht="15.95" customHeight="1">
      <c r="A8" s="2" t="s">
        <v>192</v>
      </c>
      <c r="B8" s="4">
        <v>1</v>
      </c>
      <c r="C8" s="4">
        <v>2</v>
      </c>
      <c r="D8" s="4">
        <v>5</v>
      </c>
      <c r="E8" s="4">
        <v>4</v>
      </c>
      <c r="F8" s="4">
        <v>4</v>
      </c>
      <c r="G8" s="4">
        <v>3</v>
      </c>
      <c r="H8" s="4">
        <v>1</v>
      </c>
      <c r="I8" s="4">
        <v>1</v>
      </c>
      <c r="J8" s="4">
        <v>4</v>
      </c>
      <c r="K8" s="4">
        <v>1</v>
      </c>
      <c r="L8" s="4">
        <v>3</v>
      </c>
      <c r="M8" s="4">
        <v>1</v>
      </c>
      <c r="N8" s="4">
        <v>3</v>
      </c>
      <c r="O8" s="4">
        <v>1</v>
      </c>
      <c r="P8" s="4">
        <v>1</v>
      </c>
      <c r="Q8" s="4">
        <v>4</v>
      </c>
      <c r="R8" s="4">
        <v>1</v>
      </c>
      <c r="S8" s="4">
        <v>1</v>
      </c>
      <c r="T8" s="4">
        <v>5</v>
      </c>
      <c r="U8" s="4">
        <v>1</v>
      </c>
      <c r="V8" s="4">
        <v>1</v>
      </c>
      <c r="W8" s="4">
        <v>2</v>
      </c>
      <c r="X8" s="4">
        <v>1</v>
      </c>
      <c r="Y8" s="4">
        <v>1</v>
      </c>
      <c r="Z8" s="4">
        <v>5</v>
      </c>
      <c r="AA8" s="4">
        <v>5</v>
      </c>
      <c r="AB8" s="4">
        <v>5</v>
      </c>
      <c r="AC8" s="4">
        <v>5</v>
      </c>
      <c r="AD8" s="4">
        <v>5</v>
      </c>
      <c r="AE8" s="4">
        <v>3</v>
      </c>
      <c r="AF8" s="4">
        <v>5</v>
      </c>
      <c r="AG8" s="4">
        <v>0</v>
      </c>
      <c r="AH8" s="4">
        <v>0</v>
      </c>
      <c r="AI8" s="4">
        <v>0</v>
      </c>
      <c r="AJ8" s="4">
        <v>0</v>
      </c>
      <c r="AK8" s="4">
        <v>1</v>
      </c>
      <c r="AL8" s="4">
        <v>0</v>
      </c>
      <c r="AM8" s="4">
        <v>0</v>
      </c>
      <c r="AN8" s="4">
        <v>0</v>
      </c>
      <c r="AO8" s="4">
        <v>0</v>
      </c>
      <c r="AP8" s="4">
        <v>0</v>
      </c>
      <c r="AQ8" s="4">
        <v>1</v>
      </c>
      <c r="AR8" s="4">
        <v>1</v>
      </c>
      <c r="AS8" s="4">
        <v>1</v>
      </c>
      <c r="AT8" s="4">
        <v>1</v>
      </c>
      <c r="AU8" s="4">
        <v>0</v>
      </c>
      <c r="AV8" s="4">
        <v>0</v>
      </c>
      <c r="AW8" s="4">
        <v>0</v>
      </c>
      <c r="AX8" s="4">
        <v>0</v>
      </c>
      <c r="AY8" s="4">
        <v>0</v>
      </c>
      <c r="AZ8" s="4">
        <v>0</v>
      </c>
      <c r="BA8" s="4">
        <v>0</v>
      </c>
      <c r="BB8" s="4">
        <v>0</v>
      </c>
      <c r="BC8" s="4">
        <v>1</v>
      </c>
      <c r="BD8" s="4">
        <v>1</v>
      </c>
      <c r="BE8" s="4">
        <v>0</v>
      </c>
      <c r="BF8" s="4">
        <v>0</v>
      </c>
      <c r="BG8" s="4">
        <v>0</v>
      </c>
      <c r="BH8" s="4">
        <v>1</v>
      </c>
      <c r="BI8" s="4">
        <v>1</v>
      </c>
      <c r="BJ8" s="4">
        <v>0</v>
      </c>
      <c r="BK8" s="4">
        <v>0</v>
      </c>
      <c r="BL8" s="4">
        <v>0</v>
      </c>
      <c r="BM8" s="4">
        <v>0</v>
      </c>
      <c r="BN8" s="4">
        <v>0</v>
      </c>
      <c r="BO8" s="4">
        <v>0</v>
      </c>
    </row>
    <row r="9" spans="1:67" ht="15.95" customHeight="1">
      <c r="A9" s="2" t="s">
        <v>193</v>
      </c>
      <c r="B9" s="4">
        <v>1</v>
      </c>
      <c r="C9" s="4">
        <v>1</v>
      </c>
      <c r="D9" s="4">
        <v>5</v>
      </c>
      <c r="E9" s="4">
        <v>3</v>
      </c>
      <c r="F9" s="4">
        <v>5</v>
      </c>
      <c r="G9" s="4">
        <v>4</v>
      </c>
      <c r="H9" s="4">
        <v>2</v>
      </c>
      <c r="I9" s="4">
        <v>1</v>
      </c>
      <c r="J9" s="4">
        <v>3</v>
      </c>
      <c r="K9" s="4">
        <v>1</v>
      </c>
      <c r="L9" s="4">
        <v>2</v>
      </c>
      <c r="M9" s="4">
        <v>2</v>
      </c>
      <c r="N9" s="4">
        <v>2</v>
      </c>
      <c r="O9" s="4">
        <v>2</v>
      </c>
      <c r="P9" s="4">
        <v>2</v>
      </c>
      <c r="Q9" s="4">
        <v>2</v>
      </c>
      <c r="R9" s="4">
        <v>2</v>
      </c>
      <c r="S9" s="4">
        <v>5</v>
      </c>
      <c r="T9" s="4">
        <v>5</v>
      </c>
      <c r="U9" s="4">
        <v>5</v>
      </c>
      <c r="V9" s="4">
        <v>5</v>
      </c>
      <c r="W9" s="4">
        <v>5</v>
      </c>
      <c r="X9" s="4">
        <v>5</v>
      </c>
      <c r="Y9" s="4">
        <v>5</v>
      </c>
      <c r="Z9" s="4">
        <v>5</v>
      </c>
      <c r="AA9" s="4">
        <v>5</v>
      </c>
      <c r="AB9" s="4">
        <v>5</v>
      </c>
      <c r="AC9" s="4">
        <v>5</v>
      </c>
      <c r="AD9" s="4">
        <v>5</v>
      </c>
      <c r="AE9" s="4">
        <v>5</v>
      </c>
      <c r="AF9" s="4">
        <v>5</v>
      </c>
      <c r="AG9" s="4">
        <v>0</v>
      </c>
      <c r="AH9" s="4">
        <v>0</v>
      </c>
      <c r="AI9" s="4">
        <v>0</v>
      </c>
      <c r="AJ9" s="4">
        <v>0</v>
      </c>
      <c r="AK9" s="4">
        <v>0</v>
      </c>
      <c r="AL9" s="4">
        <v>0</v>
      </c>
      <c r="AM9" s="4">
        <v>0</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4">
        <v>0</v>
      </c>
      <c r="BF9" s="4">
        <v>0</v>
      </c>
      <c r="BG9" s="4">
        <v>0</v>
      </c>
      <c r="BH9" s="4">
        <v>0</v>
      </c>
      <c r="BI9" s="4">
        <v>0</v>
      </c>
      <c r="BJ9" s="4">
        <v>0</v>
      </c>
      <c r="BK9" s="4">
        <v>0</v>
      </c>
      <c r="BL9" s="4">
        <v>0</v>
      </c>
      <c r="BM9" s="4">
        <v>0</v>
      </c>
      <c r="BN9" s="4">
        <v>0</v>
      </c>
      <c r="BO9" s="4">
        <v>0</v>
      </c>
    </row>
    <row r="10" spans="1:67" ht="15.95" customHeight="1">
      <c r="A10" s="2" t="s">
        <v>194</v>
      </c>
      <c r="B10" s="4">
        <v>1</v>
      </c>
      <c r="C10" s="4">
        <v>1</v>
      </c>
      <c r="D10" s="4">
        <v>4</v>
      </c>
      <c r="E10" s="4">
        <v>3</v>
      </c>
      <c r="F10" s="4">
        <v>5</v>
      </c>
      <c r="G10" s="4">
        <v>3</v>
      </c>
      <c r="H10" s="4">
        <v>2</v>
      </c>
      <c r="I10" s="4">
        <v>1</v>
      </c>
      <c r="J10" s="4">
        <v>3</v>
      </c>
      <c r="K10" s="4">
        <v>1</v>
      </c>
      <c r="L10" s="4">
        <v>3</v>
      </c>
      <c r="M10" s="4">
        <v>1</v>
      </c>
      <c r="N10" s="4">
        <v>3</v>
      </c>
      <c r="O10" s="4">
        <v>1</v>
      </c>
      <c r="P10" s="4">
        <v>2</v>
      </c>
      <c r="Q10" s="4">
        <v>1</v>
      </c>
      <c r="R10" s="4">
        <v>1</v>
      </c>
      <c r="S10" s="4">
        <v>1</v>
      </c>
      <c r="T10" s="4">
        <v>1</v>
      </c>
      <c r="U10" s="4">
        <v>1</v>
      </c>
      <c r="V10" s="4">
        <v>1</v>
      </c>
      <c r="W10" s="4">
        <v>2</v>
      </c>
      <c r="X10" s="4">
        <v>1</v>
      </c>
      <c r="Y10" s="4">
        <v>1</v>
      </c>
      <c r="Z10" s="4">
        <v>1</v>
      </c>
      <c r="AA10" s="4">
        <v>1</v>
      </c>
      <c r="AB10" s="4">
        <v>1</v>
      </c>
      <c r="AC10" s="4">
        <v>1</v>
      </c>
      <c r="AD10" s="4">
        <v>1</v>
      </c>
      <c r="AE10" s="4">
        <v>1</v>
      </c>
      <c r="AF10" s="4">
        <v>1</v>
      </c>
      <c r="AG10" s="4">
        <v>1</v>
      </c>
      <c r="AH10" s="4">
        <v>0</v>
      </c>
      <c r="AI10" s="4">
        <v>0</v>
      </c>
      <c r="AJ10" s="4">
        <v>0</v>
      </c>
      <c r="AK10" s="4">
        <v>0</v>
      </c>
      <c r="AL10" s="4">
        <v>0</v>
      </c>
      <c r="AM10" s="4">
        <v>1</v>
      </c>
      <c r="AN10" s="4">
        <v>0</v>
      </c>
      <c r="AO10" s="4">
        <v>0</v>
      </c>
      <c r="AP10" s="4">
        <v>0</v>
      </c>
      <c r="AQ10" s="4">
        <v>1</v>
      </c>
      <c r="AR10" s="4">
        <v>1</v>
      </c>
      <c r="AS10" s="4">
        <v>0</v>
      </c>
      <c r="AT10" s="4">
        <v>0</v>
      </c>
      <c r="AU10" s="4">
        <v>0</v>
      </c>
      <c r="AV10" s="4">
        <v>0</v>
      </c>
      <c r="AW10" s="4">
        <v>0</v>
      </c>
      <c r="AX10" s="4">
        <v>0</v>
      </c>
      <c r="AY10" s="4">
        <v>0</v>
      </c>
      <c r="AZ10" s="4">
        <v>0</v>
      </c>
      <c r="BA10" s="4">
        <v>0</v>
      </c>
      <c r="BB10" s="4">
        <v>1</v>
      </c>
      <c r="BC10" s="4">
        <v>1</v>
      </c>
      <c r="BD10" s="4">
        <v>0</v>
      </c>
      <c r="BE10" s="4">
        <v>0</v>
      </c>
      <c r="BF10" s="4">
        <v>0</v>
      </c>
      <c r="BG10" s="4">
        <v>0</v>
      </c>
      <c r="BH10" s="4">
        <v>0</v>
      </c>
      <c r="BI10" s="4">
        <v>0</v>
      </c>
      <c r="BJ10" s="4">
        <v>0</v>
      </c>
      <c r="BK10" s="4">
        <v>0</v>
      </c>
      <c r="BL10" s="4">
        <v>0</v>
      </c>
      <c r="BM10" s="4">
        <v>0</v>
      </c>
      <c r="BN10" s="4">
        <v>0</v>
      </c>
      <c r="BO10" s="4">
        <v>0</v>
      </c>
    </row>
    <row r="11" spans="1:67" ht="15.95" customHeight="1">
      <c r="A11" s="2" t="s">
        <v>195</v>
      </c>
      <c r="B11" s="4">
        <v>1</v>
      </c>
      <c r="C11" s="4">
        <v>2</v>
      </c>
      <c r="D11" s="4">
        <v>4</v>
      </c>
      <c r="E11" s="4">
        <v>4</v>
      </c>
      <c r="F11" s="4">
        <v>5</v>
      </c>
      <c r="G11" s="4">
        <v>3</v>
      </c>
      <c r="H11" s="4">
        <v>1</v>
      </c>
      <c r="I11" s="4">
        <v>1</v>
      </c>
      <c r="J11" s="4">
        <v>2</v>
      </c>
      <c r="K11" s="4">
        <v>1</v>
      </c>
      <c r="L11" s="4">
        <v>4</v>
      </c>
      <c r="M11" s="4">
        <v>3</v>
      </c>
      <c r="N11" s="4">
        <v>4</v>
      </c>
      <c r="O11" s="4">
        <v>1</v>
      </c>
      <c r="P11" s="4">
        <v>4</v>
      </c>
      <c r="Q11" s="4">
        <v>1</v>
      </c>
      <c r="R11" s="4">
        <v>1</v>
      </c>
      <c r="S11" s="4">
        <v>2</v>
      </c>
      <c r="T11" s="4">
        <v>2</v>
      </c>
      <c r="U11" s="4">
        <v>2</v>
      </c>
      <c r="V11" s="4">
        <v>1</v>
      </c>
      <c r="W11" s="4">
        <v>2</v>
      </c>
      <c r="X11" s="4">
        <v>1</v>
      </c>
      <c r="Y11" s="4">
        <v>1</v>
      </c>
      <c r="Z11" s="4">
        <v>1</v>
      </c>
      <c r="AA11" s="4">
        <v>1</v>
      </c>
      <c r="AB11" s="4">
        <v>2</v>
      </c>
      <c r="AC11" s="4">
        <v>0</v>
      </c>
      <c r="AD11" s="4">
        <v>2</v>
      </c>
      <c r="AE11" s="4">
        <v>5</v>
      </c>
      <c r="AF11" s="4">
        <v>5</v>
      </c>
      <c r="AG11" s="4">
        <v>1</v>
      </c>
      <c r="AH11" s="4">
        <v>1</v>
      </c>
      <c r="AI11" s="4">
        <v>0</v>
      </c>
      <c r="AJ11" s="4">
        <v>0</v>
      </c>
      <c r="AK11" s="4">
        <v>0</v>
      </c>
      <c r="AL11" s="4">
        <v>0</v>
      </c>
      <c r="AM11" s="4">
        <v>0</v>
      </c>
      <c r="AN11" s="4">
        <v>0</v>
      </c>
      <c r="AO11" s="4">
        <v>0</v>
      </c>
      <c r="AP11" s="4">
        <v>0</v>
      </c>
      <c r="AQ11" s="4">
        <v>1</v>
      </c>
      <c r="AR11" s="4">
        <v>1</v>
      </c>
      <c r="AS11" s="4">
        <v>0</v>
      </c>
      <c r="AT11" s="4">
        <v>0</v>
      </c>
      <c r="AU11" s="4">
        <v>0</v>
      </c>
      <c r="AV11" s="4">
        <v>0</v>
      </c>
      <c r="AW11" s="4">
        <v>0</v>
      </c>
      <c r="AX11" s="4">
        <v>0</v>
      </c>
      <c r="AY11" s="4">
        <v>0</v>
      </c>
      <c r="AZ11" s="4">
        <v>0</v>
      </c>
      <c r="BA11" s="4">
        <v>0</v>
      </c>
      <c r="BB11" s="4">
        <v>1</v>
      </c>
      <c r="BC11" s="4">
        <v>0</v>
      </c>
      <c r="BD11" s="4">
        <v>0</v>
      </c>
      <c r="BE11" s="4">
        <v>0</v>
      </c>
      <c r="BF11" s="4">
        <v>0</v>
      </c>
      <c r="BG11" s="4">
        <v>0</v>
      </c>
      <c r="BH11" s="4">
        <v>0</v>
      </c>
      <c r="BI11" s="4">
        <v>0</v>
      </c>
      <c r="BJ11" s="4">
        <v>0</v>
      </c>
      <c r="BK11" s="4">
        <v>0</v>
      </c>
      <c r="BL11" s="4">
        <v>0</v>
      </c>
      <c r="BM11" s="4">
        <v>0</v>
      </c>
      <c r="BN11" s="4">
        <v>0</v>
      </c>
      <c r="BO11" s="4">
        <v>0</v>
      </c>
    </row>
    <row r="12" spans="1:67" ht="15.95" customHeight="1">
      <c r="A12" s="2" t="s">
        <v>196</v>
      </c>
      <c r="B12" s="4">
        <v>1</v>
      </c>
      <c r="C12" s="4">
        <v>2</v>
      </c>
      <c r="D12" s="4">
        <v>4</v>
      </c>
      <c r="E12" s="4">
        <v>3</v>
      </c>
      <c r="F12" s="4">
        <v>5</v>
      </c>
      <c r="G12" s="4">
        <v>5</v>
      </c>
      <c r="H12" s="4">
        <v>1</v>
      </c>
      <c r="I12" s="4">
        <v>1</v>
      </c>
      <c r="J12" s="4">
        <v>2</v>
      </c>
      <c r="K12" s="4">
        <v>1</v>
      </c>
      <c r="L12" s="4">
        <v>5</v>
      </c>
      <c r="M12" s="4">
        <v>4</v>
      </c>
      <c r="N12" s="4">
        <v>5</v>
      </c>
      <c r="O12" s="4">
        <v>3</v>
      </c>
      <c r="P12" s="4">
        <v>2</v>
      </c>
      <c r="Q12" s="4">
        <v>5</v>
      </c>
      <c r="R12" s="4">
        <v>1</v>
      </c>
      <c r="S12" s="4">
        <v>1</v>
      </c>
      <c r="T12" s="4">
        <v>2</v>
      </c>
      <c r="U12" s="4">
        <v>1</v>
      </c>
      <c r="V12" s="4">
        <v>1</v>
      </c>
      <c r="W12" s="4">
        <v>2</v>
      </c>
      <c r="X12" s="4">
        <v>1</v>
      </c>
      <c r="Y12" s="4">
        <v>1</v>
      </c>
      <c r="Z12" s="4">
        <v>3</v>
      </c>
      <c r="AA12" s="4">
        <v>1</v>
      </c>
      <c r="AB12" s="4">
        <v>3</v>
      </c>
      <c r="AC12" s="4">
        <v>2</v>
      </c>
      <c r="AD12" s="4">
        <v>2</v>
      </c>
      <c r="AE12" s="4">
        <v>3</v>
      </c>
      <c r="AF12" s="4">
        <v>5</v>
      </c>
      <c r="AG12" s="4">
        <v>0</v>
      </c>
      <c r="AH12" s="4">
        <v>0</v>
      </c>
      <c r="AI12" s="4">
        <v>1</v>
      </c>
      <c r="AJ12" s="4">
        <v>1</v>
      </c>
      <c r="AK12" s="4">
        <v>1</v>
      </c>
      <c r="AL12" s="4">
        <v>0</v>
      </c>
      <c r="AM12" s="4">
        <v>1</v>
      </c>
      <c r="AN12" s="4">
        <v>1</v>
      </c>
      <c r="AO12" s="4">
        <v>1</v>
      </c>
      <c r="AP12" s="4">
        <v>1</v>
      </c>
      <c r="AQ12" s="4">
        <v>0</v>
      </c>
      <c r="AR12" s="4">
        <v>0</v>
      </c>
      <c r="AS12" s="4">
        <v>1</v>
      </c>
      <c r="AT12" s="4">
        <v>1</v>
      </c>
      <c r="AU12" s="4">
        <v>1</v>
      </c>
      <c r="AV12" s="4">
        <v>0</v>
      </c>
      <c r="AW12" s="4">
        <v>0</v>
      </c>
      <c r="AX12" s="4">
        <v>1</v>
      </c>
      <c r="AY12" s="4">
        <v>1</v>
      </c>
      <c r="AZ12" s="4">
        <v>1</v>
      </c>
      <c r="BA12" s="4">
        <v>0</v>
      </c>
      <c r="BB12" s="4">
        <v>0</v>
      </c>
      <c r="BC12" s="4">
        <v>1</v>
      </c>
      <c r="BD12" s="4">
        <v>1</v>
      </c>
      <c r="BE12" s="4">
        <v>1</v>
      </c>
      <c r="BF12" s="4">
        <v>1</v>
      </c>
      <c r="BG12" s="4">
        <v>0</v>
      </c>
      <c r="BH12" s="4">
        <v>1</v>
      </c>
      <c r="BI12" s="4">
        <v>1</v>
      </c>
      <c r="BJ12" s="4">
        <v>1</v>
      </c>
      <c r="BK12" s="4">
        <v>0</v>
      </c>
      <c r="BL12" s="4">
        <v>0</v>
      </c>
      <c r="BM12" s="4">
        <v>1</v>
      </c>
      <c r="BN12" s="4">
        <v>1</v>
      </c>
      <c r="BO12" s="4">
        <v>1</v>
      </c>
    </row>
    <row r="13" spans="1:67" ht="15.95" customHeight="1">
      <c r="A13" s="2" t="s">
        <v>197</v>
      </c>
      <c r="B13" s="4">
        <v>1</v>
      </c>
      <c r="C13" s="4">
        <v>2</v>
      </c>
      <c r="D13" s="4">
        <v>5</v>
      </c>
      <c r="E13" s="4">
        <v>0</v>
      </c>
      <c r="F13" s="4">
        <v>5</v>
      </c>
      <c r="G13" s="4">
        <v>3</v>
      </c>
      <c r="H13" s="4">
        <v>1</v>
      </c>
      <c r="I13" s="4">
        <v>1</v>
      </c>
      <c r="J13" s="4">
        <v>4</v>
      </c>
      <c r="K13" s="4">
        <v>1</v>
      </c>
      <c r="L13" s="4">
        <v>3</v>
      </c>
      <c r="M13" s="4">
        <v>3</v>
      </c>
      <c r="N13" s="4">
        <v>4</v>
      </c>
      <c r="O13" s="4">
        <v>3</v>
      </c>
      <c r="P13" s="4">
        <v>5</v>
      </c>
      <c r="Q13" s="4">
        <v>3</v>
      </c>
      <c r="R13" s="4">
        <v>1</v>
      </c>
      <c r="S13" s="4">
        <v>5</v>
      </c>
      <c r="T13" s="4">
        <v>5</v>
      </c>
      <c r="U13" s="4">
        <v>5</v>
      </c>
      <c r="V13" s="4">
        <v>5</v>
      </c>
      <c r="W13" s="4">
        <v>1</v>
      </c>
      <c r="X13" s="4">
        <v>5</v>
      </c>
      <c r="Y13" s="4">
        <v>5</v>
      </c>
      <c r="Z13" s="4">
        <v>2</v>
      </c>
      <c r="AA13" s="4">
        <v>5</v>
      </c>
      <c r="AB13" s="4">
        <v>3</v>
      </c>
      <c r="AC13" s="4">
        <v>5</v>
      </c>
      <c r="AD13" s="4">
        <v>3</v>
      </c>
      <c r="AE13" s="4">
        <v>5</v>
      </c>
      <c r="AF13" s="4">
        <v>5</v>
      </c>
      <c r="AG13" s="4">
        <v>0</v>
      </c>
      <c r="AH13" s="4">
        <v>1</v>
      </c>
      <c r="AI13" s="4">
        <v>1</v>
      </c>
      <c r="AJ13" s="4">
        <v>0</v>
      </c>
      <c r="AK13" s="4">
        <v>0</v>
      </c>
      <c r="AL13" s="4">
        <v>0</v>
      </c>
      <c r="AM13" s="4">
        <v>1</v>
      </c>
      <c r="AN13" s="4">
        <v>0</v>
      </c>
      <c r="AO13" s="4">
        <v>0</v>
      </c>
      <c r="AP13" s="4">
        <v>0</v>
      </c>
      <c r="AQ13" s="4">
        <v>0</v>
      </c>
      <c r="AR13" s="4">
        <v>1</v>
      </c>
      <c r="AS13" s="4">
        <v>0</v>
      </c>
      <c r="AT13" s="4">
        <v>0</v>
      </c>
      <c r="AU13" s="4">
        <v>0</v>
      </c>
      <c r="AV13" s="4">
        <v>0</v>
      </c>
      <c r="AW13" s="4">
        <v>1</v>
      </c>
      <c r="AX13" s="4">
        <v>0</v>
      </c>
      <c r="AY13" s="4">
        <v>0</v>
      </c>
      <c r="AZ13" s="4">
        <v>0</v>
      </c>
      <c r="BA13" s="4">
        <v>1</v>
      </c>
      <c r="BB13" s="4">
        <v>1</v>
      </c>
      <c r="BC13" s="4">
        <v>0</v>
      </c>
      <c r="BD13" s="4">
        <v>0</v>
      </c>
      <c r="BE13" s="4">
        <v>0</v>
      </c>
      <c r="BF13" s="4">
        <v>0</v>
      </c>
      <c r="BG13" s="4">
        <v>1</v>
      </c>
      <c r="BH13" s="4">
        <v>0</v>
      </c>
      <c r="BI13" s="4">
        <v>0</v>
      </c>
      <c r="BJ13" s="4">
        <v>0</v>
      </c>
      <c r="BK13" s="4">
        <v>0</v>
      </c>
      <c r="BL13" s="4">
        <v>1</v>
      </c>
      <c r="BM13" s="4">
        <v>0</v>
      </c>
      <c r="BN13" s="4">
        <v>0</v>
      </c>
      <c r="BO13" s="4">
        <v>0</v>
      </c>
    </row>
    <row r="14" spans="1:67" ht="15.95" customHeight="1">
      <c r="A14" s="2" t="s">
        <v>198</v>
      </c>
      <c r="B14" s="4">
        <v>1</v>
      </c>
      <c r="C14" s="4">
        <v>2</v>
      </c>
      <c r="D14" s="4">
        <v>4</v>
      </c>
      <c r="E14" s="4">
        <v>2</v>
      </c>
      <c r="F14" s="4">
        <v>4</v>
      </c>
      <c r="G14" s="4">
        <v>4</v>
      </c>
      <c r="H14" s="4">
        <v>1</v>
      </c>
      <c r="I14" s="4">
        <v>1</v>
      </c>
      <c r="J14" s="4">
        <v>2</v>
      </c>
      <c r="K14" s="4">
        <v>1</v>
      </c>
      <c r="L14" s="4">
        <v>2</v>
      </c>
      <c r="M14" s="4">
        <v>1</v>
      </c>
      <c r="N14" s="4">
        <v>2</v>
      </c>
      <c r="O14" s="4">
        <v>3</v>
      </c>
      <c r="P14" s="4">
        <v>4</v>
      </c>
      <c r="Q14" s="4">
        <v>2</v>
      </c>
      <c r="R14" s="4">
        <v>1</v>
      </c>
      <c r="S14" s="4">
        <v>2</v>
      </c>
      <c r="T14" s="4">
        <v>2</v>
      </c>
      <c r="U14" s="4">
        <v>3</v>
      </c>
      <c r="V14" s="4">
        <v>1</v>
      </c>
      <c r="W14" s="4">
        <v>1</v>
      </c>
      <c r="X14" s="4">
        <v>1</v>
      </c>
      <c r="Y14" s="4">
        <v>1</v>
      </c>
      <c r="Z14" s="4">
        <v>1</v>
      </c>
      <c r="AA14" s="4">
        <v>1</v>
      </c>
      <c r="AB14" s="4">
        <v>1</v>
      </c>
      <c r="AC14" s="4">
        <v>2</v>
      </c>
      <c r="AD14" s="4">
        <v>3</v>
      </c>
      <c r="AE14" s="4">
        <v>2</v>
      </c>
      <c r="AF14" s="4">
        <v>1</v>
      </c>
      <c r="AG14" s="4">
        <v>0</v>
      </c>
      <c r="AH14" s="4">
        <v>0</v>
      </c>
      <c r="AI14" s="4">
        <v>0</v>
      </c>
      <c r="AJ14" s="4">
        <v>0</v>
      </c>
      <c r="AK14" s="4">
        <v>0</v>
      </c>
      <c r="AL14" s="4">
        <v>0</v>
      </c>
      <c r="AM14" s="4">
        <v>0</v>
      </c>
      <c r="AN14" s="4">
        <v>0</v>
      </c>
      <c r="AO14" s="4">
        <v>0</v>
      </c>
      <c r="AP14" s="4">
        <v>0</v>
      </c>
      <c r="AQ14" s="4">
        <v>0</v>
      </c>
      <c r="AR14" s="4">
        <v>0</v>
      </c>
      <c r="AS14" s="4">
        <v>0</v>
      </c>
      <c r="AT14" s="4">
        <v>0</v>
      </c>
      <c r="AU14" s="4">
        <v>0</v>
      </c>
      <c r="AV14" s="4">
        <v>0</v>
      </c>
      <c r="AW14" s="4">
        <v>1</v>
      </c>
      <c r="AX14" s="4">
        <v>0</v>
      </c>
      <c r="AY14" s="4">
        <v>0</v>
      </c>
      <c r="AZ14" s="4">
        <v>0</v>
      </c>
      <c r="BA14" s="4">
        <v>1</v>
      </c>
      <c r="BB14" s="4">
        <v>1</v>
      </c>
      <c r="BC14" s="4">
        <v>0</v>
      </c>
      <c r="BD14" s="4">
        <v>0</v>
      </c>
      <c r="BE14" s="4">
        <v>0</v>
      </c>
      <c r="BF14" s="4">
        <v>1</v>
      </c>
      <c r="BG14" s="4">
        <v>1</v>
      </c>
      <c r="BH14" s="4">
        <v>0</v>
      </c>
      <c r="BI14" s="4">
        <v>0</v>
      </c>
      <c r="BJ14" s="4">
        <v>0</v>
      </c>
      <c r="BK14" s="4">
        <v>0</v>
      </c>
      <c r="BL14" s="4">
        <v>0</v>
      </c>
      <c r="BM14" s="4">
        <v>0</v>
      </c>
      <c r="BN14" s="4">
        <v>0</v>
      </c>
      <c r="BO14" s="4">
        <v>0</v>
      </c>
    </row>
    <row r="15" spans="1:67" ht="15.95" customHeight="1">
      <c r="A15" s="2" t="s">
        <v>199</v>
      </c>
      <c r="B15" s="4">
        <v>1</v>
      </c>
      <c r="C15" s="4">
        <v>1</v>
      </c>
      <c r="D15" s="4">
        <v>4</v>
      </c>
      <c r="E15" s="4">
        <v>3</v>
      </c>
      <c r="F15" s="4">
        <v>5</v>
      </c>
      <c r="G15" s="4">
        <v>5</v>
      </c>
      <c r="H15" s="4">
        <v>2</v>
      </c>
      <c r="I15" s="4">
        <v>2</v>
      </c>
      <c r="J15" s="4">
        <v>2</v>
      </c>
      <c r="K15" s="4">
        <v>1</v>
      </c>
      <c r="L15" s="4">
        <v>4</v>
      </c>
      <c r="M15" s="4">
        <v>4</v>
      </c>
      <c r="N15" s="4">
        <v>4</v>
      </c>
      <c r="O15" s="4">
        <v>4</v>
      </c>
      <c r="P15" s="4">
        <v>4</v>
      </c>
      <c r="Q15" s="4">
        <v>3</v>
      </c>
      <c r="R15" s="4">
        <v>3</v>
      </c>
      <c r="S15" s="4">
        <v>5</v>
      </c>
      <c r="T15" s="4">
        <v>5</v>
      </c>
      <c r="U15" s="4">
        <v>5</v>
      </c>
      <c r="V15" s="4">
        <v>5</v>
      </c>
      <c r="W15" s="4">
        <v>4</v>
      </c>
      <c r="X15" s="4">
        <v>5</v>
      </c>
      <c r="Y15" s="4">
        <v>5</v>
      </c>
      <c r="Z15" s="4">
        <v>2</v>
      </c>
      <c r="AA15" s="4">
        <v>1</v>
      </c>
      <c r="AB15" s="4">
        <v>3</v>
      </c>
      <c r="AC15" s="4">
        <v>2</v>
      </c>
      <c r="AD15" s="4">
        <v>3</v>
      </c>
      <c r="AE15" s="4">
        <v>5</v>
      </c>
      <c r="AF15" s="4">
        <v>2</v>
      </c>
      <c r="AG15" s="4">
        <v>1</v>
      </c>
      <c r="AH15" s="4">
        <v>0</v>
      </c>
      <c r="AI15" s="4">
        <v>0</v>
      </c>
      <c r="AJ15" s="4">
        <v>0</v>
      </c>
      <c r="AK15" s="4">
        <v>0</v>
      </c>
      <c r="AL15" s="4">
        <v>1</v>
      </c>
      <c r="AM15" s="4">
        <v>0</v>
      </c>
      <c r="AN15" s="4">
        <v>0</v>
      </c>
      <c r="AO15" s="4">
        <v>0</v>
      </c>
      <c r="AP15" s="4">
        <v>0</v>
      </c>
      <c r="AQ15" s="4">
        <v>1</v>
      </c>
      <c r="AR15" s="4">
        <v>0</v>
      </c>
      <c r="AS15" s="4">
        <v>0</v>
      </c>
      <c r="AT15" s="4">
        <v>0</v>
      </c>
      <c r="AU15" s="4">
        <v>0</v>
      </c>
      <c r="AV15" s="4">
        <v>1</v>
      </c>
      <c r="AW15" s="4">
        <v>0</v>
      </c>
      <c r="AX15" s="4">
        <v>0</v>
      </c>
      <c r="AY15" s="4">
        <v>0</v>
      </c>
      <c r="AZ15" s="4">
        <v>0</v>
      </c>
      <c r="BA15" s="4">
        <v>1</v>
      </c>
      <c r="BB15" s="4">
        <v>0</v>
      </c>
      <c r="BC15" s="4">
        <v>0</v>
      </c>
      <c r="BD15" s="4">
        <v>0</v>
      </c>
      <c r="BE15" s="4">
        <v>0</v>
      </c>
      <c r="BF15" s="4">
        <v>1</v>
      </c>
      <c r="BG15" s="4">
        <v>0</v>
      </c>
      <c r="BH15" s="4">
        <v>0</v>
      </c>
      <c r="BI15" s="4">
        <v>0</v>
      </c>
      <c r="BJ15" s="4">
        <v>0</v>
      </c>
      <c r="BK15" s="4">
        <v>1</v>
      </c>
      <c r="BL15" s="4">
        <v>0</v>
      </c>
      <c r="BM15" s="4">
        <v>0</v>
      </c>
      <c r="BN15" s="4">
        <v>0</v>
      </c>
      <c r="BO15" s="4">
        <v>0</v>
      </c>
    </row>
    <row r="16" spans="1:67" ht="15.95" customHeight="1">
      <c r="A16" s="2" t="s">
        <v>200</v>
      </c>
      <c r="B16" s="4">
        <v>1</v>
      </c>
      <c r="C16" s="4">
        <v>2</v>
      </c>
      <c r="D16" s="4">
        <v>2</v>
      </c>
      <c r="E16" s="4">
        <v>1</v>
      </c>
      <c r="F16" s="4">
        <v>2</v>
      </c>
      <c r="G16" s="4">
        <v>2</v>
      </c>
      <c r="H16" s="4">
        <v>2</v>
      </c>
      <c r="I16" s="4">
        <v>1</v>
      </c>
      <c r="J16" s="4">
        <v>3</v>
      </c>
      <c r="K16" s="4">
        <v>1</v>
      </c>
      <c r="L16" s="4">
        <v>4</v>
      </c>
      <c r="M16" s="4">
        <v>4</v>
      </c>
      <c r="N16" s="4">
        <v>4</v>
      </c>
      <c r="O16" s="4">
        <v>1</v>
      </c>
      <c r="P16" s="4">
        <v>1</v>
      </c>
      <c r="Q16" s="4">
        <v>3</v>
      </c>
      <c r="R16" s="4">
        <v>1</v>
      </c>
      <c r="S16" s="4">
        <v>2</v>
      </c>
      <c r="T16" s="4">
        <v>1</v>
      </c>
      <c r="U16" s="4">
        <v>1</v>
      </c>
      <c r="V16" s="4">
        <v>1</v>
      </c>
      <c r="W16" s="4">
        <v>2</v>
      </c>
      <c r="X16" s="4">
        <v>1</v>
      </c>
      <c r="Y16" s="4">
        <v>1</v>
      </c>
      <c r="Z16" s="4">
        <v>3</v>
      </c>
      <c r="AA16" s="4">
        <v>2</v>
      </c>
      <c r="AB16" s="4">
        <v>3</v>
      </c>
      <c r="AC16" s="4">
        <v>1</v>
      </c>
      <c r="AD16" s="4">
        <v>1</v>
      </c>
      <c r="AE16" s="4">
        <v>3</v>
      </c>
      <c r="AF16" s="4">
        <v>2</v>
      </c>
      <c r="AG16" s="4">
        <v>1</v>
      </c>
      <c r="AH16" s="4">
        <v>0</v>
      </c>
      <c r="AI16" s="4">
        <v>0</v>
      </c>
      <c r="AJ16" s="4">
        <v>0</v>
      </c>
      <c r="AK16" s="4">
        <v>0</v>
      </c>
      <c r="AL16" s="4">
        <v>1</v>
      </c>
      <c r="AM16" s="4">
        <v>0</v>
      </c>
      <c r="AN16" s="4">
        <v>0</v>
      </c>
      <c r="AO16" s="4">
        <v>0</v>
      </c>
      <c r="AP16" s="4">
        <v>0</v>
      </c>
      <c r="AQ16" s="4">
        <v>1</v>
      </c>
      <c r="AR16" s="4">
        <v>0</v>
      </c>
      <c r="AS16" s="4">
        <v>0</v>
      </c>
      <c r="AT16" s="4">
        <v>0</v>
      </c>
      <c r="AU16" s="4">
        <v>0</v>
      </c>
      <c r="AV16" s="4">
        <v>1</v>
      </c>
      <c r="AW16" s="4">
        <v>0</v>
      </c>
      <c r="AX16" s="4">
        <v>0</v>
      </c>
      <c r="AY16" s="4">
        <v>0</v>
      </c>
      <c r="AZ16" s="4">
        <v>0</v>
      </c>
      <c r="BA16" s="4">
        <v>0</v>
      </c>
      <c r="BB16" s="4">
        <v>0</v>
      </c>
      <c r="BC16" s="4">
        <v>1</v>
      </c>
      <c r="BD16" s="4">
        <v>0</v>
      </c>
      <c r="BE16" s="4">
        <v>0</v>
      </c>
      <c r="BF16" s="4">
        <v>1</v>
      </c>
      <c r="BG16" s="4">
        <v>0</v>
      </c>
      <c r="BH16" s="4">
        <v>0</v>
      </c>
      <c r="BI16" s="4">
        <v>0</v>
      </c>
      <c r="BJ16" s="4">
        <v>0</v>
      </c>
      <c r="BK16" s="4">
        <v>1</v>
      </c>
      <c r="BL16" s="4">
        <v>0</v>
      </c>
      <c r="BM16" s="4">
        <v>0</v>
      </c>
      <c r="BN16" s="4">
        <v>0</v>
      </c>
      <c r="BO16" s="4">
        <v>0</v>
      </c>
    </row>
    <row r="17" spans="1:67" ht="15.95" customHeight="1">
      <c r="A17" s="2" t="s">
        <v>201</v>
      </c>
      <c r="B17" s="4">
        <v>1</v>
      </c>
      <c r="C17" s="4">
        <v>2</v>
      </c>
      <c r="D17" s="4">
        <v>3</v>
      </c>
      <c r="E17" s="4">
        <v>3</v>
      </c>
      <c r="F17" s="4">
        <v>5</v>
      </c>
      <c r="G17" s="4">
        <v>3</v>
      </c>
      <c r="H17" s="4">
        <v>2</v>
      </c>
      <c r="I17" s="4">
        <v>2</v>
      </c>
      <c r="J17" s="4">
        <v>3</v>
      </c>
      <c r="K17" s="4">
        <v>1</v>
      </c>
      <c r="L17" s="4">
        <v>3</v>
      </c>
      <c r="M17" s="4">
        <v>3</v>
      </c>
      <c r="N17" s="4">
        <v>4</v>
      </c>
      <c r="O17" s="4">
        <v>3</v>
      </c>
      <c r="P17" s="4">
        <v>4</v>
      </c>
      <c r="Q17" s="4">
        <v>3</v>
      </c>
      <c r="R17" s="4">
        <v>3</v>
      </c>
      <c r="S17" s="4">
        <v>1</v>
      </c>
      <c r="T17" s="4">
        <v>1</v>
      </c>
      <c r="U17" s="4">
        <v>2</v>
      </c>
      <c r="V17" s="4">
        <v>1</v>
      </c>
      <c r="W17" s="4">
        <v>2</v>
      </c>
      <c r="X17" s="4">
        <v>1</v>
      </c>
      <c r="Y17" s="4">
        <v>1</v>
      </c>
      <c r="Z17" s="4">
        <v>1</v>
      </c>
      <c r="AA17" s="4">
        <v>1</v>
      </c>
      <c r="AB17" s="4">
        <v>2</v>
      </c>
      <c r="AC17" s="4">
        <v>1</v>
      </c>
      <c r="AD17" s="4">
        <v>3</v>
      </c>
      <c r="AE17" s="4">
        <v>3</v>
      </c>
      <c r="AF17" s="4">
        <v>2</v>
      </c>
      <c r="AG17" s="4">
        <v>0</v>
      </c>
      <c r="AH17" s="4">
        <v>0</v>
      </c>
      <c r="AI17" s="4">
        <v>0</v>
      </c>
      <c r="AJ17" s="4">
        <v>0</v>
      </c>
      <c r="AK17" s="4">
        <v>1</v>
      </c>
      <c r="AL17" s="4">
        <v>0</v>
      </c>
      <c r="AM17" s="4">
        <v>0</v>
      </c>
      <c r="AN17" s="4">
        <v>0</v>
      </c>
      <c r="AO17" s="4">
        <v>1</v>
      </c>
      <c r="AP17" s="4">
        <v>0</v>
      </c>
      <c r="AQ17" s="4">
        <v>0</v>
      </c>
      <c r="AR17" s="4">
        <v>1</v>
      </c>
      <c r="AS17" s="4">
        <v>0</v>
      </c>
      <c r="AT17" s="4">
        <v>0</v>
      </c>
      <c r="AU17" s="4">
        <v>0</v>
      </c>
      <c r="AV17" s="4">
        <v>0</v>
      </c>
      <c r="AW17" s="4">
        <v>1</v>
      </c>
      <c r="AX17" s="4">
        <v>0</v>
      </c>
      <c r="AY17" s="4">
        <v>0</v>
      </c>
      <c r="AZ17" s="4">
        <v>0</v>
      </c>
      <c r="BA17" s="4">
        <v>1</v>
      </c>
      <c r="BB17" s="4">
        <v>0</v>
      </c>
      <c r="BC17" s="4">
        <v>0</v>
      </c>
      <c r="BD17" s="4">
        <v>0</v>
      </c>
      <c r="BE17" s="4">
        <v>0</v>
      </c>
      <c r="BF17" s="4">
        <v>0</v>
      </c>
      <c r="BG17" s="4">
        <v>1</v>
      </c>
      <c r="BH17" s="4">
        <v>0</v>
      </c>
      <c r="BI17" s="4">
        <v>0</v>
      </c>
      <c r="BJ17" s="4">
        <v>0</v>
      </c>
      <c r="BK17" s="4">
        <v>0</v>
      </c>
      <c r="BL17" s="4">
        <v>0</v>
      </c>
      <c r="BM17" s="4">
        <v>1</v>
      </c>
      <c r="BN17" s="4">
        <v>0</v>
      </c>
      <c r="BO17" s="4">
        <v>0</v>
      </c>
    </row>
    <row r="18" spans="1:67" ht="15.95" customHeight="1">
      <c r="A18" s="2" t="s">
        <v>202</v>
      </c>
      <c r="B18" s="4">
        <v>1</v>
      </c>
      <c r="C18" s="4">
        <v>0</v>
      </c>
      <c r="D18" s="4">
        <v>4</v>
      </c>
      <c r="E18" s="4">
        <v>3</v>
      </c>
      <c r="F18" s="4">
        <v>4</v>
      </c>
      <c r="G18" s="4">
        <v>2</v>
      </c>
      <c r="H18" s="4">
        <v>2</v>
      </c>
      <c r="I18" s="4">
        <v>2</v>
      </c>
      <c r="J18" s="4">
        <v>4</v>
      </c>
      <c r="K18" s="4">
        <v>1</v>
      </c>
      <c r="L18" s="4">
        <v>1</v>
      </c>
      <c r="M18" s="4">
        <v>1</v>
      </c>
      <c r="N18" s="4">
        <v>2</v>
      </c>
      <c r="O18" s="4">
        <v>1</v>
      </c>
      <c r="P18" s="4">
        <v>3</v>
      </c>
      <c r="Q18" s="4">
        <v>1</v>
      </c>
      <c r="R18" s="4">
        <v>1</v>
      </c>
      <c r="S18" s="4">
        <v>0</v>
      </c>
      <c r="T18" s="4">
        <v>0</v>
      </c>
      <c r="U18" s="4">
        <v>2</v>
      </c>
      <c r="V18" s="4">
        <v>0</v>
      </c>
      <c r="W18" s="4">
        <v>2</v>
      </c>
      <c r="X18" s="4">
        <v>0</v>
      </c>
      <c r="Y18" s="4">
        <v>1</v>
      </c>
      <c r="Z18" s="4">
        <v>0</v>
      </c>
      <c r="AA18" s="4">
        <v>0</v>
      </c>
      <c r="AB18" s="4">
        <v>1</v>
      </c>
      <c r="AC18" s="4">
        <v>0</v>
      </c>
      <c r="AD18" s="4">
        <v>1</v>
      </c>
      <c r="AE18" s="4">
        <v>0</v>
      </c>
      <c r="AF18" s="4">
        <v>1</v>
      </c>
      <c r="AG18" s="4">
        <v>0</v>
      </c>
      <c r="AH18" s="4">
        <v>0</v>
      </c>
      <c r="AI18" s="4">
        <v>0</v>
      </c>
      <c r="AJ18" s="4">
        <v>0</v>
      </c>
      <c r="AK18" s="4">
        <v>0</v>
      </c>
      <c r="AL18" s="4">
        <v>0</v>
      </c>
      <c r="AM18" s="4">
        <v>0</v>
      </c>
      <c r="AN18" s="4">
        <v>0</v>
      </c>
      <c r="AO18" s="4">
        <v>0</v>
      </c>
      <c r="AP18" s="4">
        <v>0</v>
      </c>
      <c r="AQ18" s="4">
        <v>0</v>
      </c>
      <c r="AR18" s="4">
        <v>0</v>
      </c>
      <c r="AS18" s="4">
        <v>0</v>
      </c>
      <c r="AT18" s="4">
        <v>0</v>
      </c>
      <c r="AU18" s="4">
        <v>1</v>
      </c>
      <c r="AV18" s="4">
        <v>0</v>
      </c>
      <c r="AW18" s="4">
        <v>0</v>
      </c>
      <c r="AX18" s="4">
        <v>0</v>
      </c>
      <c r="AY18" s="4">
        <v>0</v>
      </c>
      <c r="AZ18" s="4">
        <v>0</v>
      </c>
      <c r="BA18" s="4">
        <v>0</v>
      </c>
      <c r="BB18" s="4">
        <v>0</v>
      </c>
      <c r="BC18" s="4">
        <v>1</v>
      </c>
      <c r="BD18" s="4">
        <v>0</v>
      </c>
      <c r="BE18" s="4">
        <v>0</v>
      </c>
      <c r="BF18" s="4">
        <v>0</v>
      </c>
      <c r="BG18" s="4">
        <v>0</v>
      </c>
      <c r="BH18" s="4">
        <v>0</v>
      </c>
      <c r="BI18" s="4">
        <v>0</v>
      </c>
      <c r="BJ18" s="4">
        <v>0</v>
      </c>
      <c r="BK18" s="4">
        <v>0</v>
      </c>
      <c r="BL18" s="4">
        <v>0</v>
      </c>
      <c r="BM18" s="4">
        <v>0</v>
      </c>
      <c r="BN18" s="4">
        <v>0</v>
      </c>
      <c r="BO18" s="4">
        <v>0</v>
      </c>
    </row>
    <row r="19" spans="1:67" ht="15.95" customHeight="1">
      <c r="A19" s="2" t="s">
        <v>203</v>
      </c>
      <c r="B19" s="4">
        <v>1</v>
      </c>
      <c r="C19" s="4">
        <v>1</v>
      </c>
      <c r="D19" s="4">
        <v>4</v>
      </c>
      <c r="E19" s="4">
        <v>1</v>
      </c>
      <c r="F19" s="4">
        <v>3</v>
      </c>
      <c r="G19" s="4">
        <v>2</v>
      </c>
      <c r="H19" s="4">
        <v>2</v>
      </c>
      <c r="I19" s="4">
        <v>2</v>
      </c>
      <c r="J19" s="4">
        <v>3</v>
      </c>
      <c r="K19" s="4">
        <v>1</v>
      </c>
      <c r="L19" s="4">
        <v>2</v>
      </c>
      <c r="M19" s="4">
        <v>1</v>
      </c>
      <c r="N19" s="4">
        <v>2</v>
      </c>
      <c r="O19" s="4">
        <v>1</v>
      </c>
      <c r="P19" s="4">
        <v>1</v>
      </c>
      <c r="Q19" s="4">
        <v>1</v>
      </c>
      <c r="R19" s="4">
        <v>1</v>
      </c>
      <c r="S19" s="4">
        <v>2</v>
      </c>
      <c r="T19" s="4">
        <v>1</v>
      </c>
      <c r="U19" s="4">
        <v>2</v>
      </c>
      <c r="V19" s="4">
        <v>1</v>
      </c>
      <c r="W19" s="4">
        <v>1</v>
      </c>
      <c r="X19" s="4">
        <v>1</v>
      </c>
      <c r="Y19" s="4">
        <v>1</v>
      </c>
      <c r="Z19" s="4">
        <v>5</v>
      </c>
      <c r="AA19" s="4">
        <v>5</v>
      </c>
      <c r="AB19" s="4">
        <v>1</v>
      </c>
      <c r="AC19" s="4">
        <v>5</v>
      </c>
      <c r="AD19" s="4">
        <v>1</v>
      </c>
      <c r="AE19" s="4">
        <v>1</v>
      </c>
      <c r="AF19" s="4">
        <v>1</v>
      </c>
      <c r="AG19" s="4">
        <v>0</v>
      </c>
      <c r="AH19" s="4">
        <v>0</v>
      </c>
      <c r="AI19" s="4">
        <v>0</v>
      </c>
      <c r="AJ19" s="4">
        <v>0</v>
      </c>
      <c r="AK19" s="4">
        <v>1</v>
      </c>
      <c r="AL19" s="4">
        <v>0</v>
      </c>
      <c r="AM19" s="4">
        <v>0</v>
      </c>
      <c r="AN19" s="4">
        <v>0</v>
      </c>
      <c r="AO19" s="4">
        <v>0</v>
      </c>
      <c r="AP19" s="4">
        <v>1</v>
      </c>
      <c r="AQ19" s="4">
        <v>0</v>
      </c>
      <c r="AR19" s="4">
        <v>0</v>
      </c>
      <c r="AS19" s="4">
        <v>0</v>
      </c>
      <c r="AT19" s="4">
        <v>0</v>
      </c>
      <c r="AU19" s="4">
        <v>0</v>
      </c>
      <c r="AV19" s="4">
        <v>0</v>
      </c>
      <c r="AW19" s="4">
        <v>1</v>
      </c>
      <c r="AX19" s="4">
        <v>0</v>
      </c>
      <c r="AY19" s="4">
        <v>0</v>
      </c>
      <c r="AZ19" s="4">
        <v>0</v>
      </c>
      <c r="BA19" s="4">
        <v>0</v>
      </c>
      <c r="BB19" s="4">
        <v>1</v>
      </c>
      <c r="BC19" s="4">
        <v>0</v>
      </c>
      <c r="BD19" s="4">
        <v>0</v>
      </c>
      <c r="BE19" s="4">
        <v>0</v>
      </c>
      <c r="BF19" s="4">
        <v>0</v>
      </c>
      <c r="BG19" s="4">
        <v>0</v>
      </c>
      <c r="BH19" s="4">
        <v>0</v>
      </c>
      <c r="BI19" s="4">
        <v>0</v>
      </c>
      <c r="BJ19" s="4">
        <v>1</v>
      </c>
      <c r="BK19" s="4">
        <v>0</v>
      </c>
      <c r="BL19" s="4">
        <v>1</v>
      </c>
      <c r="BM19" s="4">
        <v>0</v>
      </c>
      <c r="BN19" s="4">
        <v>0</v>
      </c>
      <c r="BO19" s="4">
        <v>0</v>
      </c>
    </row>
    <row r="20" spans="1:67" ht="15.95" customHeight="1">
      <c r="A20" s="2" t="s">
        <v>204</v>
      </c>
      <c r="B20" s="4">
        <v>1</v>
      </c>
      <c r="C20" s="4">
        <v>1</v>
      </c>
      <c r="D20" s="4">
        <v>4</v>
      </c>
      <c r="E20" s="4">
        <v>3</v>
      </c>
      <c r="F20" s="4">
        <v>5</v>
      </c>
      <c r="G20" s="4">
        <v>2</v>
      </c>
      <c r="H20" s="4">
        <v>2</v>
      </c>
      <c r="I20" s="4">
        <v>1</v>
      </c>
      <c r="J20" s="4">
        <v>2</v>
      </c>
      <c r="K20" s="4">
        <v>1</v>
      </c>
      <c r="L20" s="4">
        <v>1</v>
      </c>
      <c r="M20" s="4">
        <v>1</v>
      </c>
      <c r="N20" s="4">
        <v>1</v>
      </c>
      <c r="O20" s="4">
        <v>1</v>
      </c>
      <c r="P20" s="4">
        <v>1</v>
      </c>
      <c r="Q20" s="4">
        <v>1</v>
      </c>
      <c r="R20" s="4">
        <v>1</v>
      </c>
      <c r="S20" s="4">
        <v>5</v>
      </c>
      <c r="T20" s="4">
        <v>5</v>
      </c>
      <c r="U20" s="4">
        <v>5</v>
      </c>
      <c r="V20" s="4">
        <v>5</v>
      </c>
      <c r="W20" s="4">
        <v>5</v>
      </c>
      <c r="X20" s="4">
        <v>5</v>
      </c>
      <c r="Y20" s="4">
        <v>5</v>
      </c>
      <c r="Z20" s="4">
        <v>1</v>
      </c>
      <c r="AA20" s="4">
        <v>1</v>
      </c>
      <c r="AB20" s="4">
        <v>1</v>
      </c>
      <c r="AC20" s="4">
        <v>1</v>
      </c>
      <c r="AD20" s="4">
        <v>1</v>
      </c>
      <c r="AE20" s="4">
        <v>1</v>
      </c>
      <c r="AF20" s="4">
        <v>1</v>
      </c>
      <c r="AG20" s="4">
        <v>0</v>
      </c>
      <c r="AH20" s="4">
        <v>0</v>
      </c>
      <c r="AI20" s="4">
        <v>0</v>
      </c>
      <c r="AJ20" s="4">
        <v>0</v>
      </c>
      <c r="AK20" s="4">
        <v>0</v>
      </c>
      <c r="AL20" s="4">
        <v>0</v>
      </c>
      <c r="AM20" s="4">
        <v>0</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4">
        <v>0</v>
      </c>
      <c r="BF20" s="4">
        <v>0</v>
      </c>
      <c r="BG20" s="4">
        <v>0</v>
      </c>
      <c r="BH20" s="4">
        <v>0</v>
      </c>
      <c r="BI20" s="4">
        <v>0</v>
      </c>
      <c r="BJ20" s="4">
        <v>0</v>
      </c>
      <c r="BK20" s="4">
        <v>0</v>
      </c>
      <c r="BL20" s="4">
        <v>0</v>
      </c>
      <c r="BM20" s="4">
        <v>0</v>
      </c>
      <c r="BN20" s="4">
        <v>0</v>
      </c>
      <c r="BO20" s="4">
        <v>0</v>
      </c>
    </row>
    <row r="21" spans="1:67" ht="15.95" customHeight="1">
      <c r="A21" s="2" t="s">
        <v>205</v>
      </c>
      <c r="B21" s="4">
        <v>1</v>
      </c>
      <c r="C21" s="4">
        <v>1</v>
      </c>
      <c r="D21" s="4">
        <v>5</v>
      </c>
      <c r="E21" s="4">
        <v>3</v>
      </c>
      <c r="F21" s="4">
        <v>4</v>
      </c>
      <c r="G21" s="4">
        <v>2</v>
      </c>
      <c r="H21" s="4">
        <v>1</v>
      </c>
      <c r="I21" s="4">
        <v>1</v>
      </c>
      <c r="J21" s="4">
        <v>5</v>
      </c>
      <c r="K21" s="4">
        <v>1</v>
      </c>
      <c r="L21" s="4">
        <v>3</v>
      </c>
      <c r="M21" s="4">
        <v>4</v>
      </c>
      <c r="N21" s="4">
        <v>3</v>
      </c>
      <c r="O21" s="4">
        <v>1</v>
      </c>
      <c r="P21" s="4">
        <v>1</v>
      </c>
      <c r="Q21" s="4">
        <v>1</v>
      </c>
      <c r="R21" s="4">
        <v>1</v>
      </c>
      <c r="S21" s="4">
        <v>2</v>
      </c>
      <c r="T21" s="4">
        <v>2</v>
      </c>
      <c r="U21" s="4">
        <v>2</v>
      </c>
      <c r="V21" s="4">
        <v>1</v>
      </c>
      <c r="W21" s="4">
        <v>5</v>
      </c>
      <c r="X21" s="4">
        <v>1</v>
      </c>
      <c r="Y21" s="4">
        <v>1</v>
      </c>
      <c r="Z21" s="4">
        <v>1</v>
      </c>
      <c r="AA21" s="4">
        <v>5</v>
      </c>
      <c r="AB21" s="4">
        <v>1</v>
      </c>
      <c r="AC21" s="4">
        <v>5</v>
      </c>
      <c r="AD21" s="4">
        <v>5</v>
      </c>
      <c r="AE21" s="4">
        <v>5</v>
      </c>
      <c r="AF21" s="4">
        <v>5</v>
      </c>
      <c r="AG21" s="4">
        <v>0</v>
      </c>
      <c r="AH21" s="4">
        <v>0</v>
      </c>
      <c r="AI21" s="4">
        <v>0</v>
      </c>
      <c r="AJ21" s="4">
        <v>0</v>
      </c>
      <c r="AK21" s="4">
        <v>1</v>
      </c>
      <c r="AL21" s="4">
        <v>0</v>
      </c>
      <c r="AM21" s="4">
        <v>0</v>
      </c>
      <c r="AN21" s="4">
        <v>0</v>
      </c>
      <c r="AO21" s="4">
        <v>0</v>
      </c>
      <c r="AP21" s="4">
        <v>1</v>
      </c>
      <c r="AQ21" s="4">
        <v>1</v>
      </c>
      <c r="AR21" s="4">
        <v>0</v>
      </c>
      <c r="AS21" s="4">
        <v>0</v>
      </c>
      <c r="AT21" s="4">
        <v>0</v>
      </c>
      <c r="AU21" s="4">
        <v>0</v>
      </c>
      <c r="AV21" s="4">
        <v>0</v>
      </c>
      <c r="AW21" s="4">
        <v>0</v>
      </c>
      <c r="AX21" s="4">
        <v>0</v>
      </c>
      <c r="AY21" s="4">
        <v>0</v>
      </c>
      <c r="AZ21" s="4">
        <v>1</v>
      </c>
      <c r="BA21" s="4">
        <v>1</v>
      </c>
      <c r="BB21" s="4">
        <v>0</v>
      </c>
      <c r="BC21" s="4">
        <v>0</v>
      </c>
      <c r="BD21" s="4">
        <v>0</v>
      </c>
      <c r="BE21" s="4">
        <v>0</v>
      </c>
      <c r="BF21" s="4">
        <v>0</v>
      </c>
      <c r="BG21" s="4">
        <v>0</v>
      </c>
      <c r="BH21" s="4">
        <v>0</v>
      </c>
      <c r="BI21" s="4">
        <v>0</v>
      </c>
      <c r="BJ21" s="4">
        <v>1</v>
      </c>
      <c r="BK21" s="4">
        <v>0</v>
      </c>
      <c r="BL21" s="4">
        <v>0</v>
      </c>
      <c r="BM21" s="4">
        <v>0</v>
      </c>
      <c r="BN21" s="4">
        <v>0</v>
      </c>
      <c r="BO21" s="4">
        <v>0</v>
      </c>
    </row>
    <row r="22" spans="1:67" ht="15.95" customHeight="1">
      <c r="A22" s="2" t="s">
        <v>206</v>
      </c>
      <c r="B22" s="4">
        <v>1</v>
      </c>
      <c r="C22" s="4">
        <v>2</v>
      </c>
      <c r="D22" s="4">
        <v>3</v>
      </c>
      <c r="E22" s="4">
        <v>1</v>
      </c>
      <c r="F22" s="4">
        <v>2</v>
      </c>
      <c r="G22" s="4">
        <v>2</v>
      </c>
      <c r="H22" s="4">
        <v>1</v>
      </c>
      <c r="I22" s="4">
        <v>1</v>
      </c>
      <c r="J22" s="4">
        <v>3</v>
      </c>
      <c r="K22" s="4">
        <v>1</v>
      </c>
      <c r="L22" s="4">
        <v>3</v>
      </c>
      <c r="M22" s="4">
        <v>1</v>
      </c>
      <c r="N22" s="4">
        <v>3</v>
      </c>
      <c r="O22" s="4">
        <v>1</v>
      </c>
      <c r="P22" s="4">
        <v>1</v>
      </c>
      <c r="Q22" s="4">
        <v>1</v>
      </c>
      <c r="R22" s="4">
        <v>1</v>
      </c>
      <c r="S22" s="4">
        <v>2</v>
      </c>
      <c r="T22" s="4">
        <v>1</v>
      </c>
      <c r="U22" s="4">
        <v>2</v>
      </c>
      <c r="V22" s="4">
        <v>1</v>
      </c>
      <c r="W22" s="4">
        <v>1</v>
      </c>
      <c r="X22" s="4">
        <v>1</v>
      </c>
      <c r="Y22" s="4">
        <v>1</v>
      </c>
      <c r="Z22" s="4">
        <v>1</v>
      </c>
      <c r="AA22" s="4">
        <v>1</v>
      </c>
      <c r="AB22" s="4">
        <v>1</v>
      </c>
      <c r="AC22" s="4">
        <v>1</v>
      </c>
      <c r="AD22" s="4">
        <v>1</v>
      </c>
      <c r="AE22" s="4">
        <v>1</v>
      </c>
      <c r="AF22" s="4">
        <v>1</v>
      </c>
      <c r="AG22" s="4">
        <v>1</v>
      </c>
      <c r="AH22" s="4">
        <v>0</v>
      </c>
      <c r="AI22" s="4">
        <v>0</v>
      </c>
      <c r="AJ22" s="4">
        <v>0</v>
      </c>
      <c r="AK22" s="4">
        <v>1</v>
      </c>
      <c r="AL22" s="4">
        <v>0</v>
      </c>
      <c r="AM22" s="4">
        <v>0</v>
      </c>
      <c r="AN22" s="4">
        <v>0</v>
      </c>
      <c r="AO22" s="4">
        <v>0</v>
      </c>
      <c r="AP22" s="4">
        <v>1</v>
      </c>
      <c r="AQ22" s="4">
        <v>1</v>
      </c>
      <c r="AR22" s="4">
        <v>0</v>
      </c>
      <c r="AS22" s="4">
        <v>0</v>
      </c>
      <c r="AT22" s="4">
        <v>0</v>
      </c>
      <c r="AU22" s="4">
        <v>1</v>
      </c>
      <c r="AV22" s="4">
        <v>0</v>
      </c>
      <c r="AW22" s="4">
        <v>0</v>
      </c>
      <c r="AX22" s="4">
        <v>0</v>
      </c>
      <c r="AY22" s="4">
        <v>0</v>
      </c>
      <c r="AZ22" s="4">
        <v>1</v>
      </c>
      <c r="BA22" s="4">
        <v>0</v>
      </c>
      <c r="BB22" s="4">
        <v>1</v>
      </c>
      <c r="BC22" s="4">
        <v>0</v>
      </c>
      <c r="BD22" s="4">
        <v>0</v>
      </c>
      <c r="BE22" s="4">
        <v>0</v>
      </c>
      <c r="BF22" s="4">
        <v>0</v>
      </c>
      <c r="BG22" s="4">
        <v>0</v>
      </c>
      <c r="BH22" s="4">
        <v>0</v>
      </c>
      <c r="BI22" s="4">
        <v>0</v>
      </c>
      <c r="BJ22" s="4">
        <v>1</v>
      </c>
      <c r="BK22" s="4">
        <v>0</v>
      </c>
      <c r="BL22" s="4">
        <v>0</v>
      </c>
      <c r="BM22" s="4">
        <v>0</v>
      </c>
      <c r="BN22" s="4">
        <v>0</v>
      </c>
      <c r="BO22" s="4">
        <v>1</v>
      </c>
    </row>
    <row r="23" spans="1:67" ht="15.95" customHeight="1">
      <c r="A23" s="2" t="s">
        <v>207</v>
      </c>
      <c r="B23" s="4">
        <v>1</v>
      </c>
      <c r="C23" s="4">
        <v>2</v>
      </c>
      <c r="D23" s="4">
        <v>2</v>
      </c>
      <c r="E23" s="4">
        <v>1</v>
      </c>
      <c r="F23" s="4">
        <v>5</v>
      </c>
      <c r="G23" s="4">
        <v>1</v>
      </c>
      <c r="H23" s="4">
        <v>1</v>
      </c>
      <c r="I23" s="4">
        <v>1</v>
      </c>
      <c r="J23" s="4">
        <v>2</v>
      </c>
      <c r="K23" s="4">
        <v>1</v>
      </c>
      <c r="L23" s="4">
        <v>5</v>
      </c>
      <c r="M23" s="4">
        <v>1</v>
      </c>
      <c r="N23" s="4">
        <v>4</v>
      </c>
      <c r="O23" s="4">
        <v>1</v>
      </c>
      <c r="P23" s="4">
        <v>2</v>
      </c>
      <c r="Q23" s="4">
        <v>1</v>
      </c>
      <c r="R23" s="4">
        <v>1</v>
      </c>
      <c r="S23" s="4">
        <v>3</v>
      </c>
      <c r="T23" s="4">
        <v>2</v>
      </c>
      <c r="U23" s="4">
        <v>3</v>
      </c>
      <c r="V23" s="4">
        <v>1</v>
      </c>
      <c r="W23" s="4">
        <v>2</v>
      </c>
      <c r="X23" s="4">
        <v>1</v>
      </c>
      <c r="Y23" s="4">
        <v>1</v>
      </c>
      <c r="Z23" s="4">
        <v>2</v>
      </c>
      <c r="AA23" s="4">
        <v>1</v>
      </c>
      <c r="AB23" s="4">
        <v>2</v>
      </c>
      <c r="AC23" s="4">
        <v>1</v>
      </c>
      <c r="AD23" s="4">
        <v>2</v>
      </c>
      <c r="AE23" s="4">
        <v>1</v>
      </c>
      <c r="AF23" s="4">
        <v>1</v>
      </c>
      <c r="AG23" s="4">
        <v>1</v>
      </c>
      <c r="AH23" s="4">
        <v>0</v>
      </c>
      <c r="AI23" s="4">
        <v>0</v>
      </c>
      <c r="AJ23" s="4">
        <v>0</v>
      </c>
      <c r="AK23" s="4">
        <v>1</v>
      </c>
      <c r="AL23" s="4">
        <v>1</v>
      </c>
      <c r="AM23" s="4">
        <v>0</v>
      </c>
      <c r="AN23" s="4">
        <v>0</v>
      </c>
      <c r="AO23" s="4">
        <v>0</v>
      </c>
      <c r="AP23" s="4">
        <v>0</v>
      </c>
      <c r="AQ23" s="4">
        <v>1</v>
      </c>
      <c r="AR23" s="4">
        <v>0</v>
      </c>
      <c r="AS23" s="4">
        <v>0</v>
      </c>
      <c r="AT23" s="4">
        <v>0</v>
      </c>
      <c r="AU23" s="4">
        <v>0</v>
      </c>
      <c r="AV23" s="4">
        <v>0</v>
      </c>
      <c r="AW23" s="4">
        <v>0</v>
      </c>
      <c r="AX23" s="4">
        <v>0</v>
      </c>
      <c r="AY23" s="4">
        <v>0</v>
      </c>
      <c r="AZ23" s="4">
        <v>1</v>
      </c>
      <c r="BA23" s="4">
        <v>1</v>
      </c>
      <c r="BB23" s="4">
        <v>0</v>
      </c>
      <c r="BC23" s="4">
        <v>0</v>
      </c>
      <c r="BD23" s="4">
        <v>0</v>
      </c>
      <c r="BE23" s="4">
        <v>0</v>
      </c>
      <c r="BF23" s="4">
        <v>0</v>
      </c>
      <c r="BG23" s="4">
        <v>0</v>
      </c>
      <c r="BH23" s="4">
        <v>0</v>
      </c>
      <c r="BI23" s="4">
        <v>0</v>
      </c>
      <c r="BJ23" s="4">
        <v>1</v>
      </c>
      <c r="BK23" s="4">
        <v>0</v>
      </c>
      <c r="BL23" s="4">
        <v>0</v>
      </c>
      <c r="BM23" s="4">
        <v>0</v>
      </c>
      <c r="BN23" s="4">
        <v>0</v>
      </c>
      <c r="BO23" s="4">
        <v>0</v>
      </c>
    </row>
    <row r="24" spans="1:67" ht="15.95" customHeight="1">
      <c r="A24" s="2" t="s">
        <v>208</v>
      </c>
      <c r="B24" s="4">
        <v>1</v>
      </c>
      <c r="C24" s="4">
        <v>2</v>
      </c>
      <c r="D24" s="4">
        <v>3</v>
      </c>
      <c r="E24" s="4">
        <v>1</v>
      </c>
      <c r="F24" s="4">
        <v>5</v>
      </c>
      <c r="G24" s="4">
        <v>2</v>
      </c>
      <c r="H24" s="4">
        <v>1</v>
      </c>
      <c r="I24" s="4">
        <v>1</v>
      </c>
      <c r="J24" s="4">
        <v>3</v>
      </c>
      <c r="K24" s="4">
        <v>1</v>
      </c>
      <c r="L24" s="4">
        <v>1</v>
      </c>
      <c r="M24" s="4">
        <v>1</v>
      </c>
      <c r="N24" s="4">
        <v>3</v>
      </c>
      <c r="O24" s="4">
        <v>1</v>
      </c>
      <c r="P24" s="4">
        <v>1</v>
      </c>
      <c r="Q24" s="4">
        <v>1</v>
      </c>
      <c r="R24" s="4">
        <v>1</v>
      </c>
      <c r="S24" s="4">
        <v>5</v>
      </c>
      <c r="T24" s="4">
        <v>3</v>
      </c>
      <c r="U24" s="4">
        <v>3</v>
      </c>
      <c r="V24" s="4">
        <v>5</v>
      </c>
      <c r="W24" s="4">
        <v>5</v>
      </c>
      <c r="X24" s="4">
        <v>5</v>
      </c>
      <c r="Y24" s="4">
        <v>1</v>
      </c>
      <c r="Z24" s="4">
        <v>5</v>
      </c>
      <c r="AA24" s="4">
        <v>5</v>
      </c>
      <c r="AB24" s="4">
        <v>5</v>
      </c>
      <c r="AC24" s="4">
        <v>5</v>
      </c>
      <c r="AD24" s="4">
        <v>5</v>
      </c>
      <c r="AE24" s="4">
        <v>5</v>
      </c>
      <c r="AF24" s="4">
        <v>5</v>
      </c>
      <c r="AG24" s="4">
        <v>0</v>
      </c>
      <c r="AH24" s="4">
        <v>0</v>
      </c>
      <c r="AI24" s="4">
        <v>0</v>
      </c>
      <c r="AJ24" s="4">
        <v>0</v>
      </c>
      <c r="AK24" s="4">
        <v>0</v>
      </c>
      <c r="AL24" s="4">
        <v>0</v>
      </c>
      <c r="AM24" s="4">
        <v>0</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4">
        <v>0</v>
      </c>
      <c r="BF24" s="4">
        <v>0</v>
      </c>
      <c r="BG24" s="4">
        <v>0</v>
      </c>
      <c r="BH24" s="4">
        <v>0</v>
      </c>
      <c r="BI24" s="4">
        <v>0</v>
      </c>
      <c r="BJ24" s="4">
        <v>0</v>
      </c>
      <c r="BK24" s="4">
        <v>0</v>
      </c>
      <c r="BL24" s="4">
        <v>0</v>
      </c>
      <c r="BM24" s="4">
        <v>0</v>
      </c>
      <c r="BN24" s="4">
        <v>0</v>
      </c>
      <c r="BO24" s="4">
        <v>0</v>
      </c>
    </row>
    <row r="25" spans="1:67" ht="15.95" customHeight="1">
      <c r="A25" s="2" t="s">
        <v>209</v>
      </c>
      <c r="B25" s="4">
        <v>1</v>
      </c>
      <c r="C25" s="4">
        <v>1</v>
      </c>
      <c r="D25" s="4">
        <v>3</v>
      </c>
      <c r="E25" s="4">
        <v>3</v>
      </c>
      <c r="F25" s="4">
        <v>3</v>
      </c>
      <c r="G25" s="4">
        <v>2</v>
      </c>
      <c r="H25" s="4">
        <v>1</v>
      </c>
      <c r="I25" s="4">
        <v>1</v>
      </c>
      <c r="J25" s="4">
        <v>1</v>
      </c>
      <c r="K25" s="4">
        <v>1</v>
      </c>
      <c r="L25" s="4">
        <v>1</v>
      </c>
      <c r="M25" s="4">
        <v>1</v>
      </c>
      <c r="N25" s="4">
        <v>1</v>
      </c>
      <c r="O25" s="4">
        <v>1</v>
      </c>
      <c r="P25" s="4">
        <v>1</v>
      </c>
      <c r="Q25" s="4">
        <v>1</v>
      </c>
      <c r="R25" s="4">
        <v>1</v>
      </c>
      <c r="S25" s="4">
        <v>4</v>
      </c>
      <c r="T25" s="4">
        <v>2</v>
      </c>
      <c r="U25" s="4">
        <v>4</v>
      </c>
      <c r="V25" s="4">
        <v>1</v>
      </c>
      <c r="W25" s="4">
        <v>2</v>
      </c>
      <c r="X25" s="4">
        <v>5</v>
      </c>
      <c r="Y25" s="4">
        <v>1</v>
      </c>
      <c r="Z25" s="4">
        <v>5</v>
      </c>
      <c r="AA25" s="4">
        <v>5</v>
      </c>
      <c r="AB25" s="4">
        <v>5</v>
      </c>
      <c r="AC25" s="4">
        <v>5</v>
      </c>
      <c r="AD25" s="4">
        <v>5</v>
      </c>
      <c r="AE25" s="4">
        <v>5</v>
      </c>
      <c r="AF25" s="4">
        <v>5</v>
      </c>
      <c r="AG25" s="4">
        <v>0</v>
      </c>
      <c r="AH25" s="4">
        <v>0</v>
      </c>
      <c r="AI25" s="4">
        <v>0</v>
      </c>
      <c r="AJ25" s="4">
        <v>0</v>
      </c>
      <c r="AK25" s="4">
        <v>0</v>
      </c>
      <c r="AL25" s="4">
        <v>0</v>
      </c>
      <c r="AM25" s="4">
        <v>0</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4">
        <v>0</v>
      </c>
      <c r="BF25" s="4">
        <v>0</v>
      </c>
      <c r="BG25" s="4">
        <v>0</v>
      </c>
      <c r="BH25" s="4">
        <v>0</v>
      </c>
      <c r="BI25" s="4">
        <v>0</v>
      </c>
      <c r="BJ25" s="4">
        <v>0</v>
      </c>
      <c r="BK25" s="4">
        <v>0</v>
      </c>
      <c r="BL25" s="4">
        <v>0</v>
      </c>
      <c r="BM25" s="4">
        <v>0</v>
      </c>
      <c r="BN25" s="4">
        <v>0</v>
      </c>
      <c r="BO25" s="4">
        <v>0</v>
      </c>
    </row>
    <row r="26" spans="1:67" ht="15.95" customHeight="1">
      <c r="A26" s="2" t="s">
        <v>210</v>
      </c>
      <c r="B26" s="4">
        <v>1</v>
      </c>
      <c r="C26" s="4">
        <v>2</v>
      </c>
      <c r="D26" s="4">
        <v>3</v>
      </c>
      <c r="E26" s="4">
        <v>1</v>
      </c>
      <c r="F26" s="4">
        <v>5</v>
      </c>
      <c r="G26" s="4">
        <v>2</v>
      </c>
      <c r="H26" s="4">
        <v>2</v>
      </c>
      <c r="I26" s="4">
        <v>1</v>
      </c>
      <c r="J26" s="4">
        <v>2</v>
      </c>
      <c r="K26" s="4">
        <v>1</v>
      </c>
      <c r="L26" s="4">
        <v>3</v>
      </c>
      <c r="M26" s="4">
        <v>2</v>
      </c>
      <c r="N26" s="4">
        <v>3</v>
      </c>
      <c r="O26" s="4">
        <v>1</v>
      </c>
      <c r="P26" s="4">
        <v>2</v>
      </c>
      <c r="Q26" s="4">
        <v>1</v>
      </c>
      <c r="R26" s="4">
        <v>1</v>
      </c>
      <c r="S26" s="4">
        <v>5</v>
      </c>
      <c r="T26" s="4">
        <v>5</v>
      </c>
      <c r="U26" s="4">
        <v>1</v>
      </c>
      <c r="V26" s="4">
        <v>5</v>
      </c>
      <c r="W26" s="4">
        <v>1</v>
      </c>
      <c r="X26" s="4">
        <v>5</v>
      </c>
      <c r="Y26" s="4">
        <v>1</v>
      </c>
      <c r="Z26" s="4">
        <v>1</v>
      </c>
      <c r="AA26" s="4">
        <v>5</v>
      </c>
      <c r="AB26" s="4">
        <v>2</v>
      </c>
      <c r="AC26" s="4">
        <v>5</v>
      </c>
      <c r="AD26" s="4">
        <v>1</v>
      </c>
      <c r="AE26" s="4">
        <v>5</v>
      </c>
      <c r="AF26" s="4">
        <v>5</v>
      </c>
      <c r="AG26" s="4">
        <v>1</v>
      </c>
      <c r="AH26" s="4">
        <v>0</v>
      </c>
      <c r="AI26" s="4">
        <v>0</v>
      </c>
      <c r="AJ26" s="4">
        <v>0</v>
      </c>
      <c r="AK26" s="4">
        <v>0</v>
      </c>
      <c r="AL26" s="4">
        <v>1</v>
      </c>
      <c r="AM26" s="4">
        <v>0</v>
      </c>
      <c r="AN26" s="4">
        <v>0</v>
      </c>
      <c r="AO26" s="4">
        <v>0</v>
      </c>
      <c r="AP26" s="4">
        <v>0</v>
      </c>
      <c r="AQ26" s="4">
        <v>1</v>
      </c>
      <c r="AR26" s="4">
        <v>0</v>
      </c>
      <c r="AS26" s="4">
        <v>0</v>
      </c>
      <c r="AT26" s="4">
        <v>0</v>
      </c>
      <c r="AU26" s="4">
        <v>0</v>
      </c>
      <c r="AV26" s="4">
        <v>0</v>
      </c>
      <c r="AW26" s="4">
        <v>0</v>
      </c>
      <c r="AX26" s="4">
        <v>0</v>
      </c>
      <c r="AY26" s="4">
        <v>0</v>
      </c>
      <c r="AZ26" s="4">
        <v>0</v>
      </c>
      <c r="BA26" s="4">
        <v>1</v>
      </c>
      <c r="BB26" s="4">
        <v>0</v>
      </c>
      <c r="BC26" s="4">
        <v>0</v>
      </c>
      <c r="BD26" s="4">
        <v>0</v>
      </c>
      <c r="BE26" s="4">
        <v>0</v>
      </c>
      <c r="BF26" s="4">
        <v>0</v>
      </c>
      <c r="BG26" s="4">
        <v>0</v>
      </c>
      <c r="BH26" s="4">
        <v>0</v>
      </c>
      <c r="BI26" s="4">
        <v>0</v>
      </c>
      <c r="BJ26" s="4">
        <v>0</v>
      </c>
      <c r="BK26" s="4">
        <v>0</v>
      </c>
      <c r="BL26" s="4">
        <v>0</v>
      </c>
      <c r="BM26" s="4">
        <v>0</v>
      </c>
      <c r="BN26" s="4">
        <v>0</v>
      </c>
      <c r="BO26" s="4">
        <v>0</v>
      </c>
    </row>
    <row r="27" spans="1:67" ht="15.95" customHeight="1">
      <c r="A27" s="2" t="s">
        <v>211</v>
      </c>
      <c r="B27" s="4">
        <v>1</v>
      </c>
      <c r="C27" s="4">
        <v>2</v>
      </c>
      <c r="D27" s="4">
        <v>3</v>
      </c>
      <c r="E27" s="4">
        <v>1</v>
      </c>
      <c r="F27" s="4">
        <v>3</v>
      </c>
      <c r="G27" s="4">
        <v>4</v>
      </c>
      <c r="H27" s="4">
        <v>2</v>
      </c>
      <c r="I27" s="4">
        <v>1</v>
      </c>
      <c r="J27" s="4">
        <v>2</v>
      </c>
      <c r="K27" s="4">
        <v>1</v>
      </c>
      <c r="L27" s="4">
        <v>2</v>
      </c>
      <c r="M27" s="4">
        <v>3</v>
      </c>
      <c r="N27" s="4">
        <v>2</v>
      </c>
      <c r="O27" s="4">
        <v>3</v>
      </c>
      <c r="P27" s="4">
        <v>3</v>
      </c>
      <c r="Q27" s="4">
        <v>2</v>
      </c>
      <c r="R27" s="4">
        <v>1</v>
      </c>
      <c r="S27" s="4">
        <v>2</v>
      </c>
      <c r="T27" s="4">
        <v>2</v>
      </c>
      <c r="U27" s="4">
        <v>2</v>
      </c>
      <c r="V27" s="4">
        <v>1</v>
      </c>
      <c r="W27" s="4">
        <v>2</v>
      </c>
      <c r="X27" s="4">
        <v>1</v>
      </c>
      <c r="Y27" s="4">
        <v>1</v>
      </c>
      <c r="Z27" s="4">
        <v>1</v>
      </c>
      <c r="AA27" s="4">
        <v>1</v>
      </c>
      <c r="AB27" s="4">
        <v>1</v>
      </c>
      <c r="AC27" s="4">
        <v>2</v>
      </c>
      <c r="AD27" s="4">
        <v>2</v>
      </c>
      <c r="AE27" s="4">
        <v>1</v>
      </c>
      <c r="AF27" s="4">
        <v>1</v>
      </c>
      <c r="AG27" s="4">
        <v>0</v>
      </c>
      <c r="AH27" s="4">
        <v>0</v>
      </c>
      <c r="AI27" s="4">
        <v>1</v>
      </c>
      <c r="AJ27" s="4">
        <v>1</v>
      </c>
      <c r="AK27" s="4">
        <v>1</v>
      </c>
      <c r="AL27" s="4">
        <v>0</v>
      </c>
      <c r="AM27" s="4">
        <v>0</v>
      </c>
      <c r="AN27" s="4">
        <v>1</v>
      </c>
      <c r="AO27" s="4">
        <v>1</v>
      </c>
      <c r="AP27" s="4">
        <v>0</v>
      </c>
      <c r="AQ27" s="4">
        <v>0</v>
      </c>
      <c r="AR27" s="4">
        <v>0</v>
      </c>
      <c r="AS27" s="4">
        <v>1</v>
      </c>
      <c r="AT27" s="4">
        <v>1</v>
      </c>
      <c r="AU27" s="4">
        <v>0</v>
      </c>
      <c r="AV27" s="4">
        <v>0</v>
      </c>
      <c r="AW27" s="4">
        <v>0</v>
      </c>
      <c r="AX27" s="4">
        <v>1</v>
      </c>
      <c r="AY27" s="4">
        <v>1</v>
      </c>
      <c r="AZ27" s="4">
        <v>1</v>
      </c>
      <c r="BA27" s="4">
        <v>0</v>
      </c>
      <c r="BB27" s="4">
        <v>0</v>
      </c>
      <c r="BC27" s="4">
        <v>1</v>
      </c>
      <c r="BD27" s="4">
        <v>1</v>
      </c>
      <c r="BE27" s="4">
        <v>0</v>
      </c>
      <c r="BF27" s="4">
        <v>0</v>
      </c>
      <c r="BG27" s="4">
        <v>0</v>
      </c>
      <c r="BH27" s="4">
        <v>1</v>
      </c>
      <c r="BI27" s="4">
        <v>1</v>
      </c>
      <c r="BJ27" s="4">
        <v>0</v>
      </c>
      <c r="BK27" s="4">
        <v>0</v>
      </c>
      <c r="BL27" s="4">
        <v>0</v>
      </c>
      <c r="BM27" s="4">
        <v>0</v>
      </c>
      <c r="BN27" s="4">
        <v>0</v>
      </c>
      <c r="BO27" s="4">
        <v>0</v>
      </c>
    </row>
    <row r="28" spans="1:67" ht="15.95" customHeight="1">
      <c r="A28" s="2" t="s">
        <v>212</v>
      </c>
      <c r="B28" s="4">
        <v>1</v>
      </c>
      <c r="C28" s="4">
        <v>1</v>
      </c>
      <c r="D28" s="4">
        <v>3</v>
      </c>
      <c r="E28" s="4">
        <v>3</v>
      </c>
      <c r="F28" s="4">
        <v>5</v>
      </c>
      <c r="G28" s="4">
        <v>3</v>
      </c>
      <c r="H28" s="4">
        <v>3</v>
      </c>
      <c r="I28" s="4">
        <v>1</v>
      </c>
      <c r="J28" s="4">
        <v>1</v>
      </c>
      <c r="K28" s="4">
        <v>1</v>
      </c>
      <c r="L28" s="4">
        <v>2</v>
      </c>
      <c r="M28" s="4">
        <v>1</v>
      </c>
      <c r="N28" s="4">
        <v>3</v>
      </c>
      <c r="O28" s="4">
        <v>1</v>
      </c>
      <c r="P28" s="4">
        <v>3</v>
      </c>
      <c r="Q28" s="4">
        <v>1</v>
      </c>
      <c r="R28" s="4">
        <v>1</v>
      </c>
      <c r="S28" s="4">
        <v>1</v>
      </c>
      <c r="T28" s="4">
        <v>1</v>
      </c>
      <c r="U28" s="4">
        <v>1</v>
      </c>
      <c r="V28" s="4">
        <v>1</v>
      </c>
      <c r="W28" s="4">
        <v>2</v>
      </c>
      <c r="X28" s="4">
        <v>1</v>
      </c>
      <c r="Y28" s="4">
        <v>1</v>
      </c>
      <c r="Z28" s="4">
        <v>1</v>
      </c>
      <c r="AA28" s="4">
        <v>1</v>
      </c>
      <c r="AB28" s="4">
        <v>5</v>
      </c>
      <c r="AC28" s="4">
        <v>1</v>
      </c>
      <c r="AD28" s="4">
        <v>3</v>
      </c>
      <c r="AE28" s="4">
        <v>1</v>
      </c>
      <c r="AF28" s="4">
        <v>1</v>
      </c>
      <c r="AG28" s="4">
        <v>1</v>
      </c>
      <c r="AH28" s="4">
        <v>0</v>
      </c>
      <c r="AI28" s="4">
        <v>0</v>
      </c>
      <c r="AJ28" s="4">
        <v>0</v>
      </c>
      <c r="AK28" s="4">
        <v>0</v>
      </c>
      <c r="AL28" s="4">
        <v>1</v>
      </c>
      <c r="AM28" s="4">
        <v>0</v>
      </c>
      <c r="AN28" s="4">
        <v>0</v>
      </c>
      <c r="AO28" s="4">
        <v>0</v>
      </c>
      <c r="AP28" s="4">
        <v>0</v>
      </c>
      <c r="AQ28" s="4">
        <v>1</v>
      </c>
      <c r="AR28" s="4">
        <v>0</v>
      </c>
      <c r="AS28" s="4">
        <v>0</v>
      </c>
      <c r="AT28" s="4">
        <v>0</v>
      </c>
      <c r="AU28" s="4">
        <v>0</v>
      </c>
      <c r="AV28" s="4">
        <v>0</v>
      </c>
      <c r="AW28" s="4">
        <v>0</v>
      </c>
      <c r="AX28" s="4">
        <v>0</v>
      </c>
      <c r="AY28" s="4">
        <v>1</v>
      </c>
      <c r="AZ28" s="4">
        <v>0</v>
      </c>
      <c r="BA28" s="4">
        <v>1</v>
      </c>
      <c r="BB28" s="4">
        <v>0</v>
      </c>
      <c r="BC28" s="4">
        <v>0</v>
      </c>
      <c r="BD28" s="4">
        <v>0</v>
      </c>
      <c r="BE28" s="4">
        <v>0</v>
      </c>
      <c r="BF28" s="4">
        <v>1</v>
      </c>
      <c r="BG28" s="4">
        <v>1</v>
      </c>
      <c r="BH28" s="4">
        <v>0</v>
      </c>
      <c r="BI28" s="4">
        <v>0</v>
      </c>
      <c r="BJ28" s="4">
        <v>0</v>
      </c>
      <c r="BK28" s="4">
        <v>1</v>
      </c>
      <c r="BL28" s="4">
        <v>1</v>
      </c>
      <c r="BM28" s="4">
        <v>0</v>
      </c>
      <c r="BN28" s="4">
        <v>0</v>
      </c>
      <c r="BO28" s="4">
        <v>0</v>
      </c>
    </row>
    <row r="29" spans="1:67" ht="15.95" customHeight="1">
      <c r="A29" s="2" t="s">
        <v>213</v>
      </c>
      <c r="B29" s="4">
        <v>1</v>
      </c>
      <c r="C29" s="4">
        <v>1</v>
      </c>
      <c r="D29" s="4">
        <v>3</v>
      </c>
      <c r="E29" s="4">
        <v>3</v>
      </c>
      <c r="F29" s="4">
        <v>5</v>
      </c>
      <c r="G29" s="4">
        <v>3</v>
      </c>
      <c r="H29" s="4">
        <v>2</v>
      </c>
      <c r="I29" s="4">
        <v>2</v>
      </c>
      <c r="J29" s="4">
        <v>2</v>
      </c>
      <c r="K29" s="4">
        <v>1</v>
      </c>
      <c r="L29" s="4">
        <v>4</v>
      </c>
      <c r="M29" s="4">
        <v>2</v>
      </c>
      <c r="N29" s="4">
        <v>4</v>
      </c>
      <c r="O29" s="4">
        <v>1</v>
      </c>
      <c r="P29" s="4">
        <v>4</v>
      </c>
      <c r="Q29" s="4">
        <v>1</v>
      </c>
      <c r="R29" s="4">
        <v>1</v>
      </c>
      <c r="S29" s="4">
        <v>2</v>
      </c>
      <c r="T29" s="4">
        <v>2</v>
      </c>
      <c r="U29" s="4">
        <v>4</v>
      </c>
      <c r="V29" s="4">
        <v>1</v>
      </c>
      <c r="W29" s="4">
        <v>2</v>
      </c>
      <c r="X29" s="4">
        <v>1</v>
      </c>
      <c r="Y29" s="4">
        <v>1</v>
      </c>
      <c r="Z29" s="4">
        <v>1</v>
      </c>
      <c r="AA29" s="4">
        <v>1</v>
      </c>
      <c r="AB29" s="4">
        <v>1</v>
      </c>
      <c r="AC29" s="4">
        <v>5</v>
      </c>
      <c r="AD29" s="4">
        <v>1</v>
      </c>
      <c r="AE29" s="4">
        <v>1</v>
      </c>
      <c r="AF29" s="4">
        <v>5</v>
      </c>
      <c r="AG29" s="4">
        <v>0</v>
      </c>
      <c r="AH29" s="4">
        <v>0</v>
      </c>
      <c r="AI29" s="4">
        <v>0</v>
      </c>
      <c r="AJ29" s="4">
        <v>0</v>
      </c>
      <c r="AK29" s="4">
        <v>0</v>
      </c>
      <c r="AL29" s="4">
        <v>0</v>
      </c>
      <c r="AM29" s="4">
        <v>0</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4">
        <v>0</v>
      </c>
      <c r="BF29" s="4">
        <v>0</v>
      </c>
      <c r="BG29" s="4">
        <v>0</v>
      </c>
      <c r="BH29" s="4">
        <v>0</v>
      </c>
      <c r="BI29" s="4">
        <v>0</v>
      </c>
      <c r="BJ29" s="4">
        <v>0</v>
      </c>
      <c r="BK29" s="4">
        <v>0</v>
      </c>
      <c r="BL29" s="4">
        <v>0</v>
      </c>
      <c r="BM29" s="4">
        <v>0</v>
      </c>
      <c r="BN29" s="4">
        <v>0</v>
      </c>
      <c r="BO29" s="4">
        <v>0</v>
      </c>
    </row>
    <row r="30" spans="1:67" ht="15.95" customHeight="1">
      <c r="A30" s="2" t="s">
        <v>214</v>
      </c>
      <c r="B30" s="4">
        <v>1</v>
      </c>
      <c r="C30" s="4">
        <v>1</v>
      </c>
      <c r="D30" s="4">
        <v>3</v>
      </c>
      <c r="E30" s="4">
        <v>3</v>
      </c>
      <c r="F30" s="4">
        <v>2</v>
      </c>
      <c r="G30" s="4">
        <v>2</v>
      </c>
      <c r="H30" s="4">
        <v>2</v>
      </c>
      <c r="I30" s="4">
        <v>1</v>
      </c>
      <c r="J30" s="4">
        <v>2</v>
      </c>
      <c r="K30" s="4">
        <v>1</v>
      </c>
      <c r="L30" s="4">
        <v>2</v>
      </c>
      <c r="M30" s="4">
        <v>2</v>
      </c>
      <c r="N30" s="4">
        <v>2</v>
      </c>
      <c r="O30" s="4">
        <v>2</v>
      </c>
      <c r="P30" s="4">
        <v>1</v>
      </c>
      <c r="Q30" s="4">
        <v>2</v>
      </c>
      <c r="R30" s="4">
        <v>1</v>
      </c>
      <c r="S30" s="4">
        <v>2</v>
      </c>
      <c r="T30" s="4">
        <v>2</v>
      </c>
      <c r="U30" s="4">
        <v>2</v>
      </c>
      <c r="V30" s="4">
        <v>5</v>
      </c>
      <c r="W30" s="4">
        <v>4</v>
      </c>
      <c r="X30" s="4">
        <v>5</v>
      </c>
      <c r="Y30" s="4">
        <v>5</v>
      </c>
      <c r="Z30" s="4">
        <v>1</v>
      </c>
      <c r="AA30" s="4">
        <v>1</v>
      </c>
      <c r="AB30" s="4">
        <v>1</v>
      </c>
      <c r="AC30" s="4">
        <v>1</v>
      </c>
      <c r="AD30" s="4">
        <v>1</v>
      </c>
      <c r="AE30" s="4">
        <v>1</v>
      </c>
      <c r="AF30" s="4">
        <v>1</v>
      </c>
      <c r="AG30" s="4">
        <v>1</v>
      </c>
      <c r="AH30" s="4">
        <v>0</v>
      </c>
      <c r="AI30" s="4">
        <v>0</v>
      </c>
      <c r="AJ30" s="4">
        <v>0</v>
      </c>
      <c r="AK30" s="4">
        <v>0</v>
      </c>
      <c r="AL30" s="4">
        <v>1</v>
      </c>
      <c r="AM30" s="4">
        <v>0</v>
      </c>
      <c r="AN30" s="4">
        <v>0</v>
      </c>
      <c r="AO30" s="4">
        <v>0</v>
      </c>
      <c r="AP30" s="4">
        <v>0</v>
      </c>
      <c r="AQ30" s="4">
        <v>1</v>
      </c>
      <c r="AR30" s="4">
        <v>0</v>
      </c>
      <c r="AS30" s="4">
        <v>0</v>
      </c>
      <c r="AT30" s="4">
        <v>0</v>
      </c>
      <c r="AU30" s="4">
        <v>0</v>
      </c>
      <c r="AV30" s="4">
        <v>1</v>
      </c>
      <c r="AW30" s="4">
        <v>0</v>
      </c>
      <c r="AX30" s="4">
        <v>0</v>
      </c>
      <c r="AY30" s="4">
        <v>0</v>
      </c>
      <c r="AZ30" s="4">
        <v>0</v>
      </c>
      <c r="BA30" s="4">
        <v>1</v>
      </c>
      <c r="BB30" s="4">
        <v>0</v>
      </c>
      <c r="BC30" s="4">
        <v>0</v>
      </c>
      <c r="BD30" s="4">
        <v>0</v>
      </c>
      <c r="BE30" s="4">
        <v>0</v>
      </c>
      <c r="BF30" s="4">
        <v>1</v>
      </c>
      <c r="BG30" s="4">
        <v>0</v>
      </c>
      <c r="BH30" s="4">
        <v>0</v>
      </c>
      <c r="BI30" s="4">
        <v>0</v>
      </c>
      <c r="BJ30" s="4">
        <v>0</v>
      </c>
      <c r="BK30" s="4">
        <v>1</v>
      </c>
      <c r="BL30" s="4">
        <v>0</v>
      </c>
      <c r="BM30" s="4">
        <v>0</v>
      </c>
      <c r="BN30" s="4">
        <v>0</v>
      </c>
      <c r="BO30" s="4">
        <v>0</v>
      </c>
    </row>
    <row r="31" spans="1:67" ht="15.95" customHeight="1">
      <c r="A31" s="2" t="s">
        <v>215</v>
      </c>
      <c r="B31" s="4">
        <v>1</v>
      </c>
      <c r="C31" s="4">
        <v>2</v>
      </c>
      <c r="D31" s="4">
        <v>3</v>
      </c>
      <c r="E31" s="4">
        <v>1</v>
      </c>
      <c r="F31" s="4">
        <v>5</v>
      </c>
      <c r="G31" s="4">
        <v>2</v>
      </c>
      <c r="H31" s="4">
        <v>2</v>
      </c>
      <c r="I31" s="4">
        <v>1</v>
      </c>
      <c r="J31" s="4">
        <v>1</v>
      </c>
      <c r="K31" s="4">
        <v>1</v>
      </c>
      <c r="L31" s="4">
        <v>2</v>
      </c>
      <c r="M31" s="4">
        <v>1</v>
      </c>
      <c r="N31" s="4">
        <v>2</v>
      </c>
      <c r="O31" s="4">
        <v>1</v>
      </c>
      <c r="P31" s="4">
        <v>1</v>
      </c>
      <c r="Q31" s="4">
        <v>1</v>
      </c>
      <c r="R31" s="4">
        <v>1</v>
      </c>
      <c r="S31" s="4">
        <v>2</v>
      </c>
      <c r="T31" s="4">
        <v>1</v>
      </c>
      <c r="U31" s="4">
        <v>2</v>
      </c>
      <c r="V31" s="4">
        <v>1</v>
      </c>
      <c r="W31" s="4">
        <v>1</v>
      </c>
      <c r="X31" s="4">
        <v>1</v>
      </c>
      <c r="Y31" s="4">
        <v>1</v>
      </c>
      <c r="Z31" s="4">
        <v>1</v>
      </c>
      <c r="AA31" s="4">
        <v>1</v>
      </c>
      <c r="AB31" s="4">
        <v>1</v>
      </c>
      <c r="AC31" s="4">
        <v>1</v>
      </c>
      <c r="AD31" s="4">
        <v>1</v>
      </c>
      <c r="AE31" s="4">
        <v>1</v>
      </c>
      <c r="AF31" s="4">
        <v>1</v>
      </c>
      <c r="AG31" s="4">
        <v>0</v>
      </c>
      <c r="AH31" s="4">
        <v>0</v>
      </c>
      <c r="AI31" s="4">
        <v>0</v>
      </c>
      <c r="AJ31" s="4">
        <v>0</v>
      </c>
      <c r="AK31" s="4">
        <v>0</v>
      </c>
      <c r="AL31" s="4">
        <v>0</v>
      </c>
      <c r="AM31" s="4">
        <v>0</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4">
        <v>0</v>
      </c>
      <c r="BF31" s="4">
        <v>0</v>
      </c>
      <c r="BG31" s="4">
        <v>0</v>
      </c>
      <c r="BH31" s="4">
        <v>0</v>
      </c>
      <c r="BI31" s="4">
        <v>0</v>
      </c>
      <c r="BJ31" s="4">
        <v>0</v>
      </c>
      <c r="BK31" s="4">
        <v>0</v>
      </c>
      <c r="BL31" s="4">
        <v>0</v>
      </c>
      <c r="BM31" s="4">
        <v>0</v>
      </c>
      <c r="BN31" s="4">
        <v>0</v>
      </c>
      <c r="BO31" s="4">
        <v>0</v>
      </c>
    </row>
    <row r="32" spans="1:67" ht="15.95" customHeight="1">
      <c r="A32" s="2" t="s">
        <v>216</v>
      </c>
      <c r="B32" s="4">
        <v>1</v>
      </c>
      <c r="C32" s="4">
        <v>1</v>
      </c>
      <c r="D32" s="4">
        <v>3</v>
      </c>
      <c r="E32" s="4">
        <v>1</v>
      </c>
      <c r="F32" s="4">
        <v>5</v>
      </c>
      <c r="G32" s="4">
        <v>4</v>
      </c>
      <c r="H32" s="4">
        <v>2</v>
      </c>
      <c r="I32" s="4">
        <v>2</v>
      </c>
      <c r="J32" s="4">
        <v>2</v>
      </c>
      <c r="K32" s="4">
        <v>1</v>
      </c>
      <c r="L32" s="4">
        <v>1</v>
      </c>
      <c r="M32" s="4">
        <v>1</v>
      </c>
      <c r="N32" s="4">
        <v>1</v>
      </c>
      <c r="O32" s="4">
        <v>1</v>
      </c>
      <c r="P32" s="4">
        <v>1</v>
      </c>
      <c r="Q32" s="4">
        <v>1</v>
      </c>
      <c r="R32" s="4">
        <v>1</v>
      </c>
      <c r="S32" s="4">
        <v>5</v>
      </c>
      <c r="T32" s="4">
        <v>5</v>
      </c>
      <c r="U32" s="4">
        <v>5</v>
      </c>
      <c r="V32" s="4">
        <v>5</v>
      </c>
      <c r="W32" s="4">
        <v>5</v>
      </c>
      <c r="X32" s="4">
        <v>5</v>
      </c>
      <c r="Y32" s="4">
        <v>5</v>
      </c>
      <c r="Z32" s="4">
        <v>1</v>
      </c>
      <c r="AA32" s="4">
        <v>1</v>
      </c>
      <c r="AB32" s="4">
        <v>1</v>
      </c>
      <c r="AC32" s="4">
        <v>1</v>
      </c>
      <c r="AD32" s="4">
        <v>1</v>
      </c>
      <c r="AE32" s="4">
        <v>1</v>
      </c>
      <c r="AF32" s="4">
        <v>1</v>
      </c>
      <c r="AG32" s="4">
        <v>0</v>
      </c>
      <c r="AH32" s="4">
        <v>0</v>
      </c>
      <c r="AI32" s="4">
        <v>0</v>
      </c>
      <c r="AJ32" s="4">
        <v>0</v>
      </c>
      <c r="AK32" s="4">
        <v>0</v>
      </c>
      <c r="AL32" s="4">
        <v>0</v>
      </c>
      <c r="AM32" s="4">
        <v>0</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4">
        <v>0</v>
      </c>
      <c r="BF32" s="4">
        <v>0</v>
      </c>
      <c r="BG32" s="4">
        <v>0</v>
      </c>
      <c r="BH32" s="4">
        <v>0</v>
      </c>
      <c r="BI32" s="4">
        <v>0</v>
      </c>
      <c r="BJ32" s="4">
        <v>0</v>
      </c>
      <c r="BK32" s="4">
        <v>0</v>
      </c>
      <c r="BL32" s="4">
        <v>0</v>
      </c>
      <c r="BM32" s="4">
        <v>0</v>
      </c>
      <c r="BN32" s="4">
        <v>0</v>
      </c>
      <c r="BO32" s="4">
        <v>0</v>
      </c>
    </row>
    <row r="33" spans="1:67" ht="15.95" customHeight="1">
      <c r="A33" s="2" t="s">
        <v>217</v>
      </c>
      <c r="B33" s="4">
        <v>1</v>
      </c>
      <c r="C33" s="4">
        <v>1</v>
      </c>
      <c r="D33" s="4">
        <v>3</v>
      </c>
      <c r="E33" s="4">
        <v>1</v>
      </c>
      <c r="F33" s="4">
        <v>5</v>
      </c>
      <c r="G33" s="4">
        <v>4</v>
      </c>
      <c r="H33" s="4">
        <v>2</v>
      </c>
      <c r="I33" s="4">
        <v>1</v>
      </c>
      <c r="J33" s="4">
        <v>2</v>
      </c>
      <c r="K33" s="4">
        <v>1</v>
      </c>
      <c r="L33" s="4">
        <v>3</v>
      </c>
      <c r="M33" s="4">
        <v>2</v>
      </c>
      <c r="N33" s="4">
        <v>3</v>
      </c>
      <c r="O33" s="4">
        <v>3</v>
      </c>
      <c r="P33" s="4">
        <v>4</v>
      </c>
      <c r="Q33" s="4">
        <v>2</v>
      </c>
      <c r="R33" s="4">
        <v>1</v>
      </c>
      <c r="S33" s="4">
        <v>5</v>
      </c>
      <c r="T33" s="4">
        <v>5</v>
      </c>
      <c r="U33" s="4">
        <v>5</v>
      </c>
      <c r="V33" s="4">
        <v>5</v>
      </c>
      <c r="W33" s="4">
        <v>5</v>
      </c>
      <c r="X33" s="4">
        <v>5</v>
      </c>
      <c r="Y33" s="4">
        <v>5</v>
      </c>
      <c r="Z33" s="4">
        <v>2</v>
      </c>
      <c r="AA33" s="4">
        <v>2</v>
      </c>
      <c r="AB33" s="4">
        <v>3</v>
      </c>
      <c r="AC33" s="4">
        <v>2</v>
      </c>
      <c r="AD33" s="4">
        <v>3</v>
      </c>
      <c r="AE33" s="4">
        <v>5</v>
      </c>
      <c r="AF33" s="4">
        <v>5</v>
      </c>
      <c r="AG33" s="4">
        <v>1</v>
      </c>
      <c r="AH33" s="4">
        <v>1</v>
      </c>
      <c r="AI33" s="4">
        <v>0</v>
      </c>
      <c r="AJ33" s="4">
        <v>0</v>
      </c>
      <c r="AK33" s="4">
        <v>0</v>
      </c>
      <c r="AL33" s="4">
        <v>1</v>
      </c>
      <c r="AM33" s="4">
        <v>1</v>
      </c>
      <c r="AN33" s="4">
        <v>0</v>
      </c>
      <c r="AO33" s="4">
        <v>0</v>
      </c>
      <c r="AP33" s="4">
        <v>0</v>
      </c>
      <c r="AQ33" s="4">
        <v>1</v>
      </c>
      <c r="AR33" s="4">
        <v>1</v>
      </c>
      <c r="AS33" s="4">
        <v>0</v>
      </c>
      <c r="AT33" s="4">
        <v>0</v>
      </c>
      <c r="AU33" s="4">
        <v>0</v>
      </c>
      <c r="AV33" s="4">
        <v>0</v>
      </c>
      <c r="AW33" s="4">
        <v>1</v>
      </c>
      <c r="AX33" s="4">
        <v>0</v>
      </c>
      <c r="AY33" s="4">
        <v>0</v>
      </c>
      <c r="AZ33" s="4">
        <v>0</v>
      </c>
      <c r="BA33" s="4">
        <v>1</v>
      </c>
      <c r="BB33" s="4">
        <v>1</v>
      </c>
      <c r="BC33" s="4">
        <v>0</v>
      </c>
      <c r="BD33" s="4">
        <v>0</v>
      </c>
      <c r="BE33" s="4">
        <v>0</v>
      </c>
      <c r="BF33" s="4">
        <v>1</v>
      </c>
      <c r="BG33" s="4">
        <v>0</v>
      </c>
      <c r="BH33" s="4">
        <v>0</v>
      </c>
      <c r="BI33" s="4">
        <v>0</v>
      </c>
      <c r="BJ33" s="4">
        <v>0</v>
      </c>
      <c r="BK33" s="4">
        <v>0</v>
      </c>
      <c r="BL33" s="4">
        <v>1</v>
      </c>
      <c r="BM33" s="4">
        <v>0</v>
      </c>
      <c r="BN33" s="4">
        <v>0</v>
      </c>
      <c r="BO33" s="4">
        <v>0</v>
      </c>
    </row>
    <row r="34" spans="1:67" ht="15.95" customHeight="1">
      <c r="A34" s="2" t="s">
        <v>218</v>
      </c>
      <c r="B34" s="4">
        <v>1</v>
      </c>
      <c r="C34" s="4">
        <v>2</v>
      </c>
      <c r="D34" s="4">
        <v>3</v>
      </c>
      <c r="E34" s="4">
        <v>1</v>
      </c>
      <c r="F34" s="4">
        <v>1</v>
      </c>
      <c r="G34" s="4">
        <v>2</v>
      </c>
      <c r="H34" s="4">
        <v>1</v>
      </c>
      <c r="I34" s="4">
        <v>1</v>
      </c>
      <c r="J34" s="4">
        <v>2</v>
      </c>
      <c r="K34" s="4">
        <v>1</v>
      </c>
      <c r="L34" s="4">
        <v>3</v>
      </c>
      <c r="M34" s="4">
        <v>2</v>
      </c>
      <c r="N34" s="4">
        <v>3</v>
      </c>
      <c r="O34" s="4">
        <v>1</v>
      </c>
      <c r="P34" s="4">
        <v>1</v>
      </c>
      <c r="Q34" s="4">
        <v>2</v>
      </c>
      <c r="R34" s="4">
        <v>1</v>
      </c>
      <c r="S34" s="4">
        <v>2</v>
      </c>
      <c r="T34" s="4">
        <v>2</v>
      </c>
      <c r="U34" s="4">
        <v>2</v>
      </c>
      <c r="V34" s="4">
        <v>1</v>
      </c>
      <c r="W34" s="4">
        <v>2</v>
      </c>
      <c r="X34" s="4">
        <v>1</v>
      </c>
      <c r="Y34" s="4">
        <v>5</v>
      </c>
      <c r="Z34" s="4">
        <v>2</v>
      </c>
      <c r="AA34" s="4">
        <v>2</v>
      </c>
      <c r="AB34" s="4">
        <v>1</v>
      </c>
      <c r="AC34" s="4">
        <v>5</v>
      </c>
      <c r="AD34" s="4">
        <v>1</v>
      </c>
      <c r="AE34" s="4">
        <v>2</v>
      </c>
      <c r="AF34" s="4">
        <v>5</v>
      </c>
      <c r="AG34" s="4">
        <v>0</v>
      </c>
      <c r="AH34" s="4">
        <v>0</v>
      </c>
      <c r="AI34" s="4">
        <v>0</v>
      </c>
      <c r="AJ34" s="4">
        <v>0</v>
      </c>
      <c r="AK34" s="4">
        <v>1</v>
      </c>
      <c r="AL34" s="4">
        <v>0</v>
      </c>
      <c r="AM34" s="4">
        <v>0</v>
      </c>
      <c r="AN34" s="4">
        <v>0</v>
      </c>
      <c r="AO34" s="4">
        <v>0</v>
      </c>
      <c r="AP34" s="4">
        <v>1</v>
      </c>
      <c r="AQ34" s="4">
        <v>0</v>
      </c>
      <c r="AR34" s="4">
        <v>0</v>
      </c>
      <c r="AS34" s="4">
        <v>0</v>
      </c>
      <c r="AT34" s="4">
        <v>0</v>
      </c>
      <c r="AU34" s="4">
        <v>1</v>
      </c>
      <c r="AV34" s="4">
        <v>0</v>
      </c>
      <c r="AW34" s="4">
        <v>0</v>
      </c>
      <c r="AX34" s="4">
        <v>0</v>
      </c>
      <c r="AY34" s="4">
        <v>0</v>
      </c>
      <c r="AZ34" s="4">
        <v>1</v>
      </c>
      <c r="BA34" s="4">
        <v>0</v>
      </c>
      <c r="BB34" s="4">
        <v>0</v>
      </c>
      <c r="BC34" s="4">
        <v>0</v>
      </c>
      <c r="BD34" s="4">
        <v>0</v>
      </c>
      <c r="BE34" s="4">
        <v>1</v>
      </c>
      <c r="BF34" s="4">
        <v>0</v>
      </c>
      <c r="BG34" s="4">
        <v>0</v>
      </c>
      <c r="BH34" s="4">
        <v>0</v>
      </c>
      <c r="BI34" s="4">
        <v>0</v>
      </c>
      <c r="BJ34" s="4">
        <v>1</v>
      </c>
      <c r="BK34" s="4">
        <v>0</v>
      </c>
      <c r="BL34" s="4">
        <v>0</v>
      </c>
      <c r="BM34" s="4">
        <v>0</v>
      </c>
      <c r="BN34" s="4">
        <v>0</v>
      </c>
      <c r="BO34" s="4">
        <v>0</v>
      </c>
    </row>
    <row r="35" spans="1:67" ht="15.95" customHeight="1">
      <c r="A35" s="2" t="s">
        <v>219</v>
      </c>
      <c r="B35" s="4">
        <v>1</v>
      </c>
      <c r="C35" s="4">
        <v>2</v>
      </c>
      <c r="D35" s="4">
        <v>3</v>
      </c>
      <c r="E35" s="4">
        <v>3</v>
      </c>
      <c r="F35" s="4">
        <v>5</v>
      </c>
      <c r="G35" s="4">
        <v>4</v>
      </c>
      <c r="H35" s="4">
        <v>1</v>
      </c>
      <c r="I35" s="4">
        <v>1</v>
      </c>
      <c r="J35" s="4">
        <v>3</v>
      </c>
      <c r="K35" s="4">
        <v>1</v>
      </c>
      <c r="L35" s="4">
        <v>3</v>
      </c>
      <c r="M35" s="4">
        <v>1</v>
      </c>
      <c r="N35" s="4">
        <v>2</v>
      </c>
      <c r="O35" s="4">
        <v>1</v>
      </c>
      <c r="P35" s="4">
        <v>1</v>
      </c>
      <c r="Q35" s="4">
        <v>1</v>
      </c>
      <c r="R35" s="4">
        <v>1</v>
      </c>
      <c r="S35" s="4">
        <v>5</v>
      </c>
      <c r="T35" s="4">
        <v>5</v>
      </c>
      <c r="U35" s="4">
        <v>5</v>
      </c>
      <c r="V35" s="4">
        <v>5</v>
      </c>
      <c r="W35" s="4">
        <v>5</v>
      </c>
      <c r="X35" s="4">
        <v>5</v>
      </c>
      <c r="Y35" s="4">
        <v>5</v>
      </c>
      <c r="Z35" s="4">
        <v>1</v>
      </c>
      <c r="AA35" s="4">
        <v>5</v>
      </c>
      <c r="AB35" s="4">
        <v>5</v>
      </c>
      <c r="AC35" s="4">
        <v>5</v>
      </c>
      <c r="AD35" s="4">
        <v>5</v>
      </c>
      <c r="AE35" s="4">
        <v>5</v>
      </c>
      <c r="AF35" s="4">
        <v>5</v>
      </c>
      <c r="AG35" s="4">
        <v>0</v>
      </c>
      <c r="AH35" s="4">
        <v>0</v>
      </c>
      <c r="AI35" s="4">
        <v>0</v>
      </c>
      <c r="AJ35" s="4">
        <v>0</v>
      </c>
      <c r="AK35" s="4">
        <v>0</v>
      </c>
      <c r="AL35" s="4">
        <v>0</v>
      </c>
      <c r="AM35" s="4">
        <v>0</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4">
        <v>0</v>
      </c>
      <c r="BF35" s="4">
        <v>0</v>
      </c>
      <c r="BG35" s="4">
        <v>0</v>
      </c>
      <c r="BH35" s="4">
        <v>0</v>
      </c>
      <c r="BI35" s="4">
        <v>0</v>
      </c>
      <c r="BJ35" s="4">
        <v>0</v>
      </c>
      <c r="BK35" s="4">
        <v>0</v>
      </c>
      <c r="BL35" s="4">
        <v>0</v>
      </c>
      <c r="BM35" s="4">
        <v>0</v>
      </c>
      <c r="BN35" s="4">
        <v>0</v>
      </c>
      <c r="BO35" s="4">
        <v>0</v>
      </c>
    </row>
    <row r="36" spans="1:67" ht="15.95" customHeight="1">
      <c r="A36" s="2" t="s">
        <v>220</v>
      </c>
      <c r="B36" s="4">
        <v>1</v>
      </c>
      <c r="C36" s="4">
        <v>2</v>
      </c>
      <c r="D36" s="4">
        <v>3</v>
      </c>
      <c r="E36" s="4">
        <v>3</v>
      </c>
      <c r="F36" s="4">
        <v>4</v>
      </c>
      <c r="G36" s="4">
        <v>3</v>
      </c>
      <c r="H36" s="4">
        <v>2</v>
      </c>
      <c r="I36" s="4">
        <v>2</v>
      </c>
      <c r="J36" s="4">
        <v>2</v>
      </c>
      <c r="K36" s="4">
        <v>1</v>
      </c>
      <c r="L36" s="4">
        <v>4</v>
      </c>
      <c r="M36" s="4">
        <v>3</v>
      </c>
      <c r="N36" s="4">
        <v>3</v>
      </c>
      <c r="O36" s="4">
        <v>2</v>
      </c>
      <c r="P36" s="4">
        <v>1</v>
      </c>
      <c r="Q36" s="4">
        <v>4</v>
      </c>
      <c r="R36" s="4">
        <v>2</v>
      </c>
      <c r="S36" s="4">
        <v>2</v>
      </c>
      <c r="T36" s="4">
        <v>2</v>
      </c>
      <c r="U36" s="4">
        <v>2</v>
      </c>
      <c r="V36" s="4">
        <v>1</v>
      </c>
      <c r="W36" s="4">
        <v>1</v>
      </c>
      <c r="X36" s="4">
        <v>1</v>
      </c>
      <c r="Y36" s="4">
        <v>1</v>
      </c>
      <c r="Z36" s="4">
        <v>1</v>
      </c>
      <c r="AA36" s="4">
        <v>1</v>
      </c>
      <c r="AB36" s="4">
        <v>1</v>
      </c>
      <c r="AC36" s="4">
        <v>1</v>
      </c>
      <c r="AD36" s="4">
        <v>1</v>
      </c>
      <c r="AE36" s="4">
        <v>2</v>
      </c>
      <c r="AF36" s="4">
        <v>1</v>
      </c>
      <c r="AG36" s="4">
        <v>0</v>
      </c>
      <c r="AH36" s="4">
        <v>1</v>
      </c>
      <c r="AI36" s="4">
        <v>1</v>
      </c>
      <c r="AJ36" s="4">
        <v>0</v>
      </c>
      <c r="AK36" s="4">
        <v>0</v>
      </c>
      <c r="AL36" s="4">
        <v>1</v>
      </c>
      <c r="AM36" s="4">
        <v>1</v>
      </c>
      <c r="AN36" s="4">
        <v>0</v>
      </c>
      <c r="AO36" s="4">
        <v>0</v>
      </c>
      <c r="AP36" s="4">
        <v>1</v>
      </c>
      <c r="AQ36" s="4">
        <v>0</v>
      </c>
      <c r="AR36" s="4">
        <v>1</v>
      </c>
      <c r="AS36" s="4">
        <v>0</v>
      </c>
      <c r="AT36" s="4">
        <v>0</v>
      </c>
      <c r="AU36" s="4">
        <v>0</v>
      </c>
      <c r="AV36" s="4">
        <v>0</v>
      </c>
      <c r="AW36" s="4">
        <v>0</v>
      </c>
      <c r="AX36" s="4">
        <v>0</v>
      </c>
      <c r="AY36" s="4">
        <v>0</v>
      </c>
      <c r="AZ36" s="4">
        <v>0</v>
      </c>
      <c r="BA36" s="4">
        <v>1</v>
      </c>
      <c r="BB36" s="4">
        <v>1</v>
      </c>
      <c r="BC36" s="4">
        <v>0</v>
      </c>
      <c r="BD36" s="4">
        <v>0</v>
      </c>
      <c r="BE36" s="4">
        <v>0</v>
      </c>
      <c r="BF36" s="4">
        <v>1</v>
      </c>
      <c r="BG36" s="4">
        <v>0</v>
      </c>
      <c r="BH36" s="4">
        <v>0</v>
      </c>
      <c r="BI36" s="4">
        <v>0</v>
      </c>
      <c r="BJ36" s="4">
        <v>0</v>
      </c>
      <c r="BK36" s="4">
        <v>1</v>
      </c>
      <c r="BL36" s="4">
        <v>1</v>
      </c>
      <c r="BM36" s="4">
        <v>1</v>
      </c>
      <c r="BN36" s="4">
        <v>1</v>
      </c>
      <c r="BO36" s="4">
        <v>0</v>
      </c>
    </row>
    <row r="37" spans="1:67" ht="15.95" customHeight="1">
      <c r="A37" s="2" t="s">
        <v>221</v>
      </c>
      <c r="B37" s="4">
        <v>1</v>
      </c>
      <c r="C37" s="4">
        <v>2</v>
      </c>
      <c r="D37" s="4">
        <v>3</v>
      </c>
      <c r="E37" s="4">
        <v>1</v>
      </c>
      <c r="F37" s="4">
        <v>5</v>
      </c>
      <c r="G37" s="4">
        <v>3</v>
      </c>
      <c r="H37" s="4">
        <v>2</v>
      </c>
      <c r="I37" s="4">
        <v>1</v>
      </c>
      <c r="J37" s="4">
        <v>2</v>
      </c>
      <c r="K37" s="4">
        <v>1</v>
      </c>
      <c r="L37" s="4">
        <v>3</v>
      </c>
      <c r="M37" s="4">
        <v>3</v>
      </c>
      <c r="N37" s="4">
        <v>4</v>
      </c>
      <c r="O37" s="4">
        <v>1</v>
      </c>
      <c r="P37" s="4">
        <v>2</v>
      </c>
      <c r="Q37" s="4">
        <v>2</v>
      </c>
      <c r="R37" s="4">
        <v>1</v>
      </c>
      <c r="S37" s="4">
        <v>2</v>
      </c>
      <c r="T37" s="4">
        <v>2</v>
      </c>
      <c r="U37" s="4">
        <v>2</v>
      </c>
      <c r="V37" s="4">
        <v>1</v>
      </c>
      <c r="W37" s="4">
        <v>2</v>
      </c>
      <c r="X37" s="4">
        <v>1</v>
      </c>
      <c r="Y37" s="4">
        <v>1</v>
      </c>
      <c r="Z37" s="4">
        <v>1</v>
      </c>
      <c r="AA37" s="4">
        <v>1</v>
      </c>
      <c r="AB37" s="4">
        <v>2</v>
      </c>
      <c r="AC37" s="4">
        <v>1</v>
      </c>
      <c r="AD37" s="4">
        <v>1</v>
      </c>
      <c r="AE37" s="4">
        <v>1</v>
      </c>
      <c r="AF37" s="4">
        <v>1</v>
      </c>
      <c r="AG37" s="4">
        <v>0</v>
      </c>
      <c r="AH37" s="4">
        <v>0</v>
      </c>
      <c r="AI37" s="4">
        <v>0</v>
      </c>
      <c r="AJ37" s="4">
        <v>0</v>
      </c>
      <c r="AK37" s="4">
        <v>0</v>
      </c>
      <c r="AL37" s="4">
        <v>0</v>
      </c>
      <c r="AM37" s="4">
        <v>0</v>
      </c>
      <c r="AN37" s="4">
        <v>0</v>
      </c>
      <c r="AO37" s="4">
        <v>0</v>
      </c>
      <c r="AP37" s="4">
        <v>0</v>
      </c>
      <c r="AQ37" s="4">
        <v>0</v>
      </c>
      <c r="AR37" s="4">
        <v>0</v>
      </c>
      <c r="AS37" s="4">
        <v>0</v>
      </c>
      <c r="AT37" s="4">
        <v>0</v>
      </c>
      <c r="AU37" s="4">
        <v>0</v>
      </c>
      <c r="AV37" s="4">
        <v>0</v>
      </c>
      <c r="AW37" s="4">
        <v>0</v>
      </c>
      <c r="AX37" s="4">
        <v>0</v>
      </c>
      <c r="AY37" s="4">
        <v>0</v>
      </c>
      <c r="AZ37" s="4">
        <v>0</v>
      </c>
      <c r="BA37" s="4">
        <v>1</v>
      </c>
      <c r="BB37" s="4">
        <v>0</v>
      </c>
      <c r="BC37" s="4">
        <v>0</v>
      </c>
      <c r="BD37" s="4">
        <v>0</v>
      </c>
      <c r="BE37" s="4">
        <v>0</v>
      </c>
      <c r="BF37" s="4">
        <v>1</v>
      </c>
      <c r="BG37" s="4">
        <v>0</v>
      </c>
      <c r="BH37" s="4">
        <v>0</v>
      </c>
      <c r="BI37" s="4">
        <v>0</v>
      </c>
      <c r="BJ37" s="4">
        <v>0</v>
      </c>
      <c r="BK37" s="4">
        <v>1</v>
      </c>
      <c r="BL37" s="4">
        <v>0</v>
      </c>
      <c r="BM37" s="4">
        <v>0</v>
      </c>
      <c r="BN37" s="4">
        <v>0</v>
      </c>
      <c r="BO37" s="4">
        <v>0</v>
      </c>
    </row>
    <row r="38" spans="1:67" ht="15.95" customHeight="1">
      <c r="A38" s="2" t="s">
        <v>222</v>
      </c>
      <c r="B38" s="4">
        <v>1</v>
      </c>
      <c r="C38" s="4">
        <v>1</v>
      </c>
      <c r="D38" s="4">
        <v>3</v>
      </c>
      <c r="E38" s="4">
        <v>3</v>
      </c>
      <c r="F38" s="4">
        <v>5</v>
      </c>
      <c r="G38" s="4">
        <v>4</v>
      </c>
      <c r="H38" s="4">
        <v>4</v>
      </c>
      <c r="I38" s="4">
        <v>4</v>
      </c>
      <c r="J38" s="4">
        <v>2</v>
      </c>
      <c r="K38" s="4">
        <v>1</v>
      </c>
      <c r="L38" s="4">
        <v>1</v>
      </c>
      <c r="M38" s="4">
        <v>1</v>
      </c>
      <c r="N38" s="4">
        <v>2</v>
      </c>
      <c r="O38" s="4">
        <v>1</v>
      </c>
      <c r="P38" s="4">
        <v>1</v>
      </c>
      <c r="Q38" s="4">
        <v>1</v>
      </c>
      <c r="R38" s="4">
        <v>1</v>
      </c>
      <c r="S38" s="4">
        <v>1</v>
      </c>
      <c r="T38" s="4">
        <v>1</v>
      </c>
      <c r="U38" s="4">
        <v>2</v>
      </c>
      <c r="V38" s="4">
        <v>1</v>
      </c>
      <c r="W38" s="4">
        <v>4</v>
      </c>
      <c r="X38" s="4">
        <v>1</v>
      </c>
      <c r="Y38" s="4">
        <v>1</v>
      </c>
      <c r="Z38" s="4">
        <v>5</v>
      </c>
      <c r="AA38" s="4">
        <v>5</v>
      </c>
      <c r="AB38" s="4">
        <v>1</v>
      </c>
      <c r="AC38" s="4">
        <v>5</v>
      </c>
      <c r="AD38" s="4">
        <v>5</v>
      </c>
      <c r="AE38" s="4">
        <v>1</v>
      </c>
      <c r="AF38" s="4">
        <v>5</v>
      </c>
      <c r="AG38" s="4">
        <v>0</v>
      </c>
      <c r="AH38" s="4">
        <v>0</v>
      </c>
      <c r="AI38" s="4">
        <v>0</v>
      </c>
      <c r="AJ38" s="4">
        <v>0</v>
      </c>
      <c r="AK38" s="4">
        <v>0</v>
      </c>
      <c r="AL38" s="4">
        <v>0</v>
      </c>
      <c r="AM38" s="4">
        <v>0</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4">
        <v>0</v>
      </c>
      <c r="BF38" s="4">
        <v>0</v>
      </c>
      <c r="BG38" s="4">
        <v>0</v>
      </c>
      <c r="BH38" s="4">
        <v>0</v>
      </c>
      <c r="BI38" s="4">
        <v>0</v>
      </c>
      <c r="BJ38" s="4">
        <v>0</v>
      </c>
      <c r="BK38" s="4">
        <v>0</v>
      </c>
      <c r="BL38" s="4">
        <v>0</v>
      </c>
      <c r="BM38" s="4">
        <v>0</v>
      </c>
      <c r="BN38" s="4">
        <v>0</v>
      </c>
      <c r="BO38" s="4">
        <v>0</v>
      </c>
    </row>
    <row r="39" spans="1:67" ht="15.95" customHeight="1">
      <c r="A39" s="2" t="s">
        <v>223</v>
      </c>
      <c r="B39" s="4">
        <v>1</v>
      </c>
      <c r="C39" s="4">
        <v>2</v>
      </c>
      <c r="D39" s="4">
        <v>4</v>
      </c>
      <c r="E39" s="4">
        <v>3</v>
      </c>
      <c r="F39" s="4">
        <v>2</v>
      </c>
      <c r="G39" s="4">
        <v>5</v>
      </c>
      <c r="H39" s="4">
        <v>2</v>
      </c>
      <c r="I39" s="4">
        <v>1</v>
      </c>
      <c r="J39" s="4">
        <v>2</v>
      </c>
      <c r="K39" s="4">
        <v>1</v>
      </c>
      <c r="L39" s="4">
        <v>3</v>
      </c>
      <c r="M39" s="4">
        <v>3</v>
      </c>
      <c r="N39" s="4">
        <v>4</v>
      </c>
      <c r="O39" s="4">
        <v>1</v>
      </c>
      <c r="P39" s="4">
        <v>2</v>
      </c>
      <c r="Q39" s="4">
        <v>4</v>
      </c>
      <c r="R39" s="4">
        <v>1</v>
      </c>
      <c r="S39" s="4">
        <v>5</v>
      </c>
      <c r="T39" s="4">
        <v>5</v>
      </c>
      <c r="U39" s="4">
        <v>5</v>
      </c>
      <c r="V39" s="4">
        <v>5</v>
      </c>
      <c r="W39" s="4">
        <v>5</v>
      </c>
      <c r="X39" s="4">
        <v>5</v>
      </c>
      <c r="Y39" s="4">
        <v>5</v>
      </c>
      <c r="Z39" s="4">
        <v>2</v>
      </c>
      <c r="AA39" s="4">
        <v>2</v>
      </c>
      <c r="AB39" s="4">
        <v>3</v>
      </c>
      <c r="AC39" s="4">
        <v>1</v>
      </c>
      <c r="AD39" s="4">
        <v>1</v>
      </c>
      <c r="AE39" s="4">
        <v>4</v>
      </c>
      <c r="AF39" s="4">
        <v>5</v>
      </c>
      <c r="AG39" s="4">
        <v>0</v>
      </c>
      <c r="AH39" s="4">
        <v>1</v>
      </c>
      <c r="AI39" s="4">
        <v>0</v>
      </c>
      <c r="AJ39" s="4">
        <v>0</v>
      </c>
      <c r="AK39" s="4">
        <v>0</v>
      </c>
      <c r="AL39" s="4">
        <v>0</v>
      </c>
      <c r="AM39" s="4">
        <v>1</v>
      </c>
      <c r="AN39" s="4">
        <v>0</v>
      </c>
      <c r="AO39" s="4">
        <v>0</v>
      </c>
      <c r="AP39" s="4">
        <v>0</v>
      </c>
      <c r="AQ39" s="4">
        <v>0</v>
      </c>
      <c r="AR39" s="4">
        <v>1</v>
      </c>
      <c r="AS39" s="4">
        <v>0</v>
      </c>
      <c r="AT39" s="4">
        <v>0</v>
      </c>
      <c r="AU39" s="4">
        <v>0</v>
      </c>
      <c r="AV39" s="4">
        <v>0</v>
      </c>
      <c r="AW39" s="4">
        <v>1</v>
      </c>
      <c r="AX39" s="4">
        <v>0</v>
      </c>
      <c r="AY39" s="4">
        <v>0</v>
      </c>
      <c r="AZ39" s="4">
        <v>0</v>
      </c>
      <c r="BA39" s="4">
        <v>0</v>
      </c>
      <c r="BB39" s="4">
        <v>1</v>
      </c>
      <c r="BC39" s="4">
        <v>0</v>
      </c>
      <c r="BD39" s="4">
        <v>0</v>
      </c>
      <c r="BE39" s="4">
        <v>0</v>
      </c>
      <c r="BF39" s="4">
        <v>0</v>
      </c>
      <c r="BG39" s="4">
        <v>1</v>
      </c>
      <c r="BH39" s="4">
        <v>0</v>
      </c>
      <c r="BI39" s="4">
        <v>0</v>
      </c>
      <c r="BJ39" s="4">
        <v>0</v>
      </c>
      <c r="BK39" s="4">
        <v>0</v>
      </c>
      <c r="BL39" s="4">
        <v>1</v>
      </c>
      <c r="BM39" s="4">
        <v>0</v>
      </c>
      <c r="BN39" s="4">
        <v>0</v>
      </c>
      <c r="BO39" s="4">
        <v>0</v>
      </c>
    </row>
    <row r="40" spans="1:67" ht="15.95" customHeight="1">
      <c r="A40" s="2" t="s">
        <v>224</v>
      </c>
      <c r="B40" s="4">
        <v>1</v>
      </c>
      <c r="C40" s="4">
        <v>2</v>
      </c>
      <c r="D40" s="4">
        <v>4</v>
      </c>
      <c r="E40" s="4">
        <v>3</v>
      </c>
      <c r="F40" s="4">
        <v>2</v>
      </c>
      <c r="G40" s="4">
        <v>2</v>
      </c>
      <c r="H40" s="4">
        <v>2</v>
      </c>
      <c r="I40" s="4">
        <v>2</v>
      </c>
      <c r="J40" s="4">
        <v>2</v>
      </c>
      <c r="K40" s="4">
        <v>1</v>
      </c>
      <c r="L40" s="4">
        <v>2</v>
      </c>
      <c r="M40" s="4">
        <v>3</v>
      </c>
      <c r="N40" s="4">
        <v>4</v>
      </c>
      <c r="O40" s="4">
        <v>1</v>
      </c>
      <c r="P40" s="4">
        <v>3</v>
      </c>
      <c r="Q40" s="4">
        <v>3</v>
      </c>
      <c r="R40" s="4">
        <v>1</v>
      </c>
      <c r="S40" s="4">
        <v>5</v>
      </c>
      <c r="T40" s="4">
        <v>5</v>
      </c>
      <c r="U40" s="4">
        <v>2</v>
      </c>
      <c r="V40" s="4">
        <v>1</v>
      </c>
      <c r="W40" s="4">
        <v>2</v>
      </c>
      <c r="X40" s="4">
        <v>1</v>
      </c>
      <c r="Y40" s="4">
        <v>5</v>
      </c>
      <c r="Z40" s="4">
        <v>1</v>
      </c>
      <c r="AA40" s="4">
        <v>1</v>
      </c>
      <c r="AB40" s="4">
        <v>1</v>
      </c>
      <c r="AC40" s="4">
        <v>1</v>
      </c>
      <c r="AD40" s="4">
        <v>1</v>
      </c>
      <c r="AE40" s="4">
        <v>1</v>
      </c>
      <c r="AF40" s="4">
        <v>1</v>
      </c>
      <c r="AG40" s="4">
        <v>1</v>
      </c>
      <c r="AH40" s="4">
        <v>0</v>
      </c>
      <c r="AI40" s="4">
        <v>1</v>
      </c>
      <c r="AJ40" s="4">
        <v>1</v>
      </c>
      <c r="AK40" s="4">
        <v>0</v>
      </c>
      <c r="AL40" s="4">
        <v>0</v>
      </c>
      <c r="AM40" s="4">
        <v>0</v>
      </c>
      <c r="AN40" s="4">
        <v>0</v>
      </c>
      <c r="AO40" s="4">
        <v>0</v>
      </c>
      <c r="AP40" s="4">
        <v>1</v>
      </c>
      <c r="AQ40" s="4">
        <v>1</v>
      </c>
      <c r="AR40" s="4">
        <v>0</v>
      </c>
      <c r="AS40" s="4">
        <v>0</v>
      </c>
      <c r="AT40" s="4">
        <v>0</v>
      </c>
      <c r="AU40" s="4">
        <v>1</v>
      </c>
      <c r="AV40" s="4">
        <v>0</v>
      </c>
      <c r="AW40" s="4">
        <v>0</v>
      </c>
      <c r="AX40" s="4">
        <v>0</v>
      </c>
      <c r="AY40" s="4">
        <v>0</v>
      </c>
      <c r="AZ40" s="4">
        <v>1</v>
      </c>
      <c r="BA40" s="4">
        <v>1</v>
      </c>
      <c r="BB40" s="4">
        <v>1</v>
      </c>
      <c r="BC40" s="4">
        <v>1</v>
      </c>
      <c r="BD40" s="4">
        <v>1</v>
      </c>
      <c r="BE40" s="4">
        <v>0</v>
      </c>
      <c r="BF40" s="4">
        <v>0</v>
      </c>
      <c r="BG40" s="4">
        <v>0</v>
      </c>
      <c r="BH40" s="4">
        <v>0</v>
      </c>
      <c r="BI40" s="4">
        <v>0</v>
      </c>
      <c r="BJ40" s="4">
        <v>1</v>
      </c>
      <c r="BK40" s="4">
        <v>0</v>
      </c>
      <c r="BL40" s="4">
        <v>0</v>
      </c>
      <c r="BM40" s="4">
        <v>0</v>
      </c>
      <c r="BN40" s="4">
        <v>0</v>
      </c>
      <c r="BO40" s="4">
        <v>1</v>
      </c>
    </row>
    <row r="41" spans="1:67" ht="15.95" customHeight="1">
      <c r="A41" s="2" t="s">
        <v>225</v>
      </c>
      <c r="B41" s="4">
        <v>1</v>
      </c>
      <c r="C41" s="4">
        <v>2</v>
      </c>
      <c r="D41" s="4">
        <v>4</v>
      </c>
      <c r="E41" s="4">
        <v>3</v>
      </c>
      <c r="F41" s="4">
        <v>4</v>
      </c>
      <c r="G41" s="4">
        <v>4</v>
      </c>
      <c r="H41" s="4">
        <v>1</v>
      </c>
      <c r="I41" s="4">
        <v>1</v>
      </c>
      <c r="J41" s="4">
        <v>2</v>
      </c>
      <c r="K41" s="4">
        <v>1</v>
      </c>
      <c r="L41" s="4">
        <v>1</v>
      </c>
      <c r="M41" s="4">
        <v>1</v>
      </c>
      <c r="N41" s="4">
        <v>1</v>
      </c>
      <c r="O41" s="4">
        <v>1</v>
      </c>
      <c r="P41" s="4">
        <v>1</v>
      </c>
      <c r="Q41" s="4">
        <v>1</v>
      </c>
      <c r="R41" s="4">
        <v>1</v>
      </c>
      <c r="S41" s="4">
        <v>1</v>
      </c>
      <c r="T41" s="4">
        <v>1</v>
      </c>
      <c r="U41" s="4">
        <v>1</v>
      </c>
      <c r="V41" s="4">
        <v>1</v>
      </c>
      <c r="W41" s="4">
        <v>3</v>
      </c>
      <c r="X41" s="4">
        <v>1</v>
      </c>
      <c r="Y41" s="4">
        <v>1</v>
      </c>
      <c r="Z41" s="4">
        <v>1</v>
      </c>
      <c r="AA41" s="4">
        <v>1</v>
      </c>
      <c r="AB41" s="4">
        <v>1</v>
      </c>
      <c r="AC41" s="4">
        <v>1</v>
      </c>
      <c r="AD41" s="4">
        <v>1</v>
      </c>
      <c r="AE41" s="4">
        <v>1</v>
      </c>
      <c r="AF41" s="4">
        <v>1</v>
      </c>
      <c r="AG41" s="4">
        <v>0</v>
      </c>
      <c r="AH41" s="4">
        <v>0</v>
      </c>
      <c r="AI41" s="4">
        <v>0</v>
      </c>
      <c r="AJ41" s="4">
        <v>0</v>
      </c>
      <c r="AK41" s="4">
        <v>0</v>
      </c>
      <c r="AL41" s="4">
        <v>0</v>
      </c>
      <c r="AM41" s="4">
        <v>0</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4">
        <v>0</v>
      </c>
      <c r="BF41" s="4">
        <v>0</v>
      </c>
      <c r="BG41" s="4">
        <v>0</v>
      </c>
      <c r="BH41" s="4">
        <v>0</v>
      </c>
      <c r="BI41" s="4">
        <v>0</v>
      </c>
      <c r="BJ41" s="4">
        <v>0</v>
      </c>
      <c r="BK41" s="4">
        <v>0</v>
      </c>
      <c r="BL41" s="4">
        <v>0</v>
      </c>
      <c r="BM41" s="4">
        <v>0</v>
      </c>
      <c r="BN41" s="4">
        <v>0</v>
      </c>
      <c r="BO41" s="4">
        <v>0</v>
      </c>
    </row>
    <row r="42" spans="1:67" ht="15.95" customHeight="1">
      <c r="A42" s="2" t="s">
        <v>226</v>
      </c>
      <c r="B42" s="4">
        <v>1</v>
      </c>
      <c r="C42" s="4">
        <v>2</v>
      </c>
      <c r="D42" s="4">
        <v>2</v>
      </c>
      <c r="E42" s="4">
        <v>1</v>
      </c>
      <c r="F42" s="4">
        <v>5</v>
      </c>
      <c r="G42" s="4">
        <v>4</v>
      </c>
      <c r="H42" s="4">
        <v>1</v>
      </c>
      <c r="I42" s="4">
        <v>1</v>
      </c>
      <c r="J42" s="4">
        <v>2</v>
      </c>
      <c r="K42" s="4">
        <v>1</v>
      </c>
      <c r="L42" s="4">
        <v>3</v>
      </c>
      <c r="M42" s="4">
        <v>3</v>
      </c>
      <c r="N42" s="4">
        <v>3</v>
      </c>
      <c r="O42" s="4">
        <v>1</v>
      </c>
      <c r="P42" s="4">
        <v>4</v>
      </c>
      <c r="Q42" s="4">
        <v>2</v>
      </c>
      <c r="R42" s="4">
        <v>1</v>
      </c>
      <c r="S42" s="4">
        <v>2</v>
      </c>
      <c r="T42" s="4">
        <v>2</v>
      </c>
      <c r="U42" s="4">
        <v>2</v>
      </c>
      <c r="V42" s="4">
        <v>1</v>
      </c>
      <c r="W42" s="4">
        <v>2</v>
      </c>
      <c r="X42" s="4">
        <v>1</v>
      </c>
      <c r="Y42" s="4">
        <v>1</v>
      </c>
      <c r="Z42" s="4">
        <v>1</v>
      </c>
      <c r="AA42" s="4">
        <v>1</v>
      </c>
      <c r="AB42" s="4">
        <v>2</v>
      </c>
      <c r="AC42" s="4">
        <v>1</v>
      </c>
      <c r="AD42" s="4">
        <v>1</v>
      </c>
      <c r="AE42" s="4">
        <v>1</v>
      </c>
      <c r="AF42" s="4">
        <v>1</v>
      </c>
      <c r="AG42" s="4">
        <v>0</v>
      </c>
      <c r="AH42" s="4">
        <v>1</v>
      </c>
      <c r="AI42" s="4">
        <v>0</v>
      </c>
      <c r="AJ42" s="4">
        <v>0</v>
      </c>
      <c r="AK42" s="4">
        <v>0</v>
      </c>
      <c r="AL42" s="4">
        <v>0</v>
      </c>
      <c r="AM42" s="4">
        <v>1</v>
      </c>
      <c r="AN42" s="4">
        <v>0</v>
      </c>
      <c r="AO42" s="4">
        <v>0</v>
      </c>
      <c r="AP42" s="4">
        <v>0</v>
      </c>
      <c r="AQ42" s="4">
        <v>1</v>
      </c>
      <c r="AR42" s="4">
        <v>1</v>
      </c>
      <c r="AS42" s="4">
        <v>0</v>
      </c>
      <c r="AT42" s="4">
        <v>0</v>
      </c>
      <c r="AU42" s="4">
        <v>0</v>
      </c>
      <c r="AV42" s="4">
        <v>0</v>
      </c>
      <c r="AW42" s="4">
        <v>1</v>
      </c>
      <c r="AX42" s="4">
        <v>0</v>
      </c>
      <c r="AY42" s="4">
        <v>0</v>
      </c>
      <c r="AZ42" s="4">
        <v>0</v>
      </c>
      <c r="BA42" s="4">
        <v>0</v>
      </c>
      <c r="BB42" s="4">
        <v>1</v>
      </c>
      <c r="BC42" s="4">
        <v>0</v>
      </c>
      <c r="BD42" s="4">
        <v>0</v>
      </c>
      <c r="BE42" s="4">
        <v>0</v>
      </c>
      <c r="BF42" s="4">
        <v>1</v>
      </c>
      <c r="BG42" s="4">
        <v>0</v>
      </c>
      <c r="BH42" s="4">
        <v>0</v>
      </c>
      <c r="BI42" s="4">
        <v>0</v>
      </c>
      <c r="BJ42" s="4">
        <v>0</v>
      </c>
      <c r="BK42" s="4">
        <v>0</v>
      </c>
      <c r="BL42" s="4">
        <v>1</v>
      </c>
      <c r="BM42" s="4">
        <v>0</v>
      </c>
      <c r="BN42" s="4">
        <v>0</v>
      </c>
      <c r="BO42" s="4">
        <v>0</v>
      </c>
    </row>
    <row r="43" spans="1:67" ht="15.95" customHeight="1">
      <c r="A43" s="2" t="s">
        <v>227</v>
      </c>
      <c r="B43" s="4">
        <v>1</v>
      </c>
      <c r="C43" s="4">
        <v>2</v>
      </c>
      <c r="D43" s="4">
        <v>3</v>
      </c>
      <c r="E43" s="4">
        <v>3</v>
      </c>
      <c r="F43" s="4">
        <v>5</v>
      </c>
      <c r="G43" s="4">
        <v>3</v>
      </c>
      <c r="H43" s="4">
        <v>4</v>
      </c>
      <c r="I43" s="4">
        <v>3</v>
      </c>
      <c r="J43" s="4">
        <v>2</v>
      </c>
      <c r="K43" s="4">
        <v>1</v>
      </c>
      <c r="L43" s="4">
        <v>5</v>
      </c>
      <c r="M43" s="4">
        <v>5</v>
      </c>
      <c r="N43" s="4">
        <v>4</v>
      </c>
      <c r="O43" s="4">
        <v>5</v>
      </c>
      <c r="P43" s="4">
        <v>5</v>
      </c>
      <c r="Q43" s="4">
        <v>5</v>
      </c>
      <c r="R43" s="4">
        <v>1</v>
      </c>
      <c r="S43" s="4">
        <v>1</v>
      </c>
      <c r="T43" s="4">
        <v>3</v>
      </c>
      <c r="U43" s="4">
        <v>2</v>
      </c>
      <c r="V43" s="4">
        <v>1</v>
      </c>
      <c r="W43" s="4">
        <v>1</v>
      </c>
      <c r="X43" s="4">
        <v>1</v>
      </c>
      <c r="Y43" s="4">
        <v>1</v>
      </c>
      <c r="Z43" s="4">
        <v>3</v>
      </c>
      <c r="AA43" s="4">
        <v>4</v>
      </c>
      <c r="AB43" s="4">
        <v>2</v>
      </c>
      <c r="AC43" s="4">
        <v>3</v>
      </c>
      <c r="AD43" s="4">
        <v>1</v>
      </c>
      <c r="AE43" s="4">
        <v>4</v>
      </c>
      <c r="AF43" s="4">
        <v>5</v>
      </c>
      <c r="AG43" s="4">
        <v>1</v>
      </c>
      <c r="AH43" s="4">
        <v>0</v>
      </c>
      <c r="AI43" s="4">
        <v>0</v>
      </c>
      <c r="AJ43" s="4">
        <v>0</v>
      </c>
      <c r="AK43" s="4">
        <v>0</v>
      </c>
      <c r="AL43" s="4">
        <v>0</v>
      </c>
      <c r="AM43" s="4">
        <v>0</v>
      </c>
      <c r="AN43" s="4">
        <v>0</v>
      </c>
      <c r="AO43" s="4">
        <v>0</v>
      </c>
      <c r="AP43" s="4">
        <v>1</v>
      </c>
      <c r="AQ43" s="4">
        <v>0</v>
      </c>
      <c r="AR43" s="4">
        <v>0</v>
      </c>
      <c r="AS43" s="4">
        <v>1</v>
      </c>
      <c r="AT43" s="4">
        <v>0</v>
      </c>
      <c r="AU43" s="4">
        <v>0</v>
      </c>
      <c r="AV43" s="4">
        <v>0</v>
      </c>
      <c r="AW43" s="4">
        <v>0</v>
      </c>
      <c r="AX43" s="4">
        <v>1</v>
      </c>
      <c r="AY43" s="4">
        <v>0</v>
      </c>
      <c r="AZ43" s="4">
        <v>0</v>
      </c>
      <c r="BA43" s="4">
        <v>0</v>
      </c>
      <c r="BB43" s="4">
        <v>0</v>
      </c>
      <c r="BC43" s="4">
        <v>0</v>
      </c>
      <c r="BD43" s="4">
        <v>0</v>
      </c>
      <c r="BE43" s="4">
        <v>1</v>
      </c>
      <c r="BF43" s="4">
        <v>1</v>
      </c>
      <c r="BG43" s="4">
        <v>0</v>
      </c>
      <c r="BH43" s="4">
        <v>0</v>
      </c>
      <c r="BI43" s="4">
        <v>0</v>
      </c>
      <c r="BJ43" s="4">
        <v>0</v>
      </c>
      <c r="BK43" s="4">
        <v>0</v>
      </c>
      <c r="BL43" s="4">
        <v>0</v>
      </c>
      <c r="BM43" s="4">
        <v>0</v>
      </c>
      <c r="BN43" s="4">
        <v>0</v>
      </c>
      <c r="BO43" s="4">
        <v>1</v>
      </c>
    </row>
    <row r="44" spans="1:67" ht="15.95" customHeight="1">
      <c r="A44" s="2" t="s">
        <v>228</v>
      </c>
      <c r="B44" s="4">
        <v>1</v>
      </c>
      <c r="C44" s="4">
        <v>1</v>
      </c>
      <c r="D44" s="4">
        <v>3</v>
      </c>
      <c r="E44" s="4">
        <v>3</v>
      </c>
      <c r="F44" s="4">
        <v>5</v>
      </c>
      <c r="G44" s="4">
        <v>2</v>
      </c>
      <c r="H44" s="4">
        <v>2</v>
      </c>
      <c r="I44" s="4">
        <v>2</v>
      </c>
      <c r="J44" s="4">
        <v>2</v>
      </c>
      <c r="K44" s="4">
        <v>1</v>
      </c>
      <c r="L44" s="4">
        <v>4</v>
      </c>
      <c r="M44" s="4">
        <v>2</v>
      </c>
      <c r="N44" s="4">
        <v>5</v>
      </c>
      <c r="O44" s="4">
        <v>1</v>
      </c>
      <c r="P44" s="4">
        <v>3</v>
      </c>
      <c r="Q44" s="4">
        <v>2</v>
      </c>
      <c r="R44" s="4">
        <v>2</v>
      </c>
      <c r="S44" s="4">
        <v>3</v>
      </c>
      <c r="T44" s="4">
        <v>5</v>
      </c>
      <c r="U44" s="4">
        <v>3</v>
      </c>
      <c r="V44" s="4">
        <v>5</v>
      </c>
      <c r="W44" s="4">
        <v>3</v>
      </c>
      <c r="X44" s="4">
        <v>1</v>
      </c>
      <c r="Y44" s="4">
        <v>1</v>
      </c>
      <c r="Z44" s="4">
        <v>2</v>
      </c>
      <c r="AA44" s="4">
        <v>5</v>
      </c>
      <c r="AB44" s="4">
        <v>2</v>
      </c>
      <c r="AC44" s="4">
        <v>5</v>
      </c>
      <c r="AD44" s="4">
        <v>1</v>
      </c>
      <c r="AE44" s="4">
        <v>5</v>
      </c>
      <c r="AF44" s="4">
        <v>5</v>
      </c>
      <c r="AG44" s="4">
        <v>1</v>
      </c>
      <c r="AH44" s="4">
        <v>0</v>
      </c>
      <c r="AI44" s="4">
        <v>0</v>
      </c>
      <c r="AJ44" s="4">
        <v>0</v>
      </c>
      <c r="AK44" s="4">
        <v>0</v>
      </c>
      <c r="AL44" s="4">
        <v>0</v>
      </c>
      <c r="AM44" s="4">
        <v>0</v>
      </c>
      <c r="AN44" s="4">
        <v>0</v>
      </c>
      <c r="AO44" s="4">
        <v>0</v>
      </c>
      <c r="AP44" s="4">
        <v>0</v>
      </c>
      <c r="AQ44" s="4">
        <v>1</v>
      </c>
      <c r="AR44" s="4">
        <v>1</v>
      </c>
      <c r="AS44" s="4">
        <v>0</v>
      </c>
      <c r="AT44" s="4">
        <v>0</v>
      </c>
      <c r="AU44" s="4">
        <v>0</v>
      </c>
      <c r="AV44" s="4">
        <v>0</v>
      </c>
      <c r="AW44" s="4">
        <v>0</v>
      </c>
      <c r="AX44" s="4">
        <v>0</v>
      </c>
      <c r="AY44" s="4">
        <v>0</v>
      </c>
      <c r="AZ44" s="4">
        <v>0</v>
      </c>
      <c r="BA44" s="4">
        <v>1</v>
      </c>
      <c r="BB44" s="4">
        <v>0</v>
      </c>
      <c r="BC44" s="4">
        <v>0</v>
      </c>
      <c r="BD44" s="4">
        <v>0</v>
      </c>
      <c r="BE44" s="4">
        <v>0</v>
      </c>
      <c r="BF44" s="4">
        <v>0</v>
      </c>
      <c r="BG44" s="4">
        <v>0</v>
      </c>
      <c r="BH44" s="4">
        <v>0</v>
      </c>
      <c r="BI44" s="4">
        <v>0</v>
      </c>
      <c r="BJ44" s="4">
        <v>0</v>
      </c>
      <c r="BK44" s="4">
        <v>0</v>
      </c>
      <c r="BL44" s="4">
        <v>0</v>
      </c>
      <c r="BM44" s="4">
        <v>0</v>
      </c>
      <c r="BN44" s="4">
        <v>0</v>
      </c>
      <c r="BO44" s="4">
        <v>0</v>
      </c>
    </row>
    <row r="45" spans="1:67" ht="15.95" customHeight="1">
      <c r="A45" s="2" t="s">
        <v>229</v>
      </c>
      <c r="B45" s="4">
        <v>1</v>
      </c>
      <c r="C45" s="4">
        <v>2</v>
      </c>
      <c r="D45" s="4">
        <v>6</v>
      </c>
      <c r="E45" s="4">
        <v>3</v>
      </c>
      <c r="F45" s="4">
        <v>5</v>
      </c>
      <c r="G45" s="4">
        <v>3</v>
      </c>
      <c r="H45" s="4">
        <v>1</v>
      </c>
      <c r="I45" s="4">
        <v>1</v>
      </c>
      <c r="J45" s="4">
        <v>1</v>
      </c>
      <c r="K45" s="4">
        <v>1</v>
      </c>
      <c r="L45" s="4">
        <v>2</v>
      </c>
      <c r="M45" s="4">
        <v>1</v>
      </c>
      <c r="N45" s="4">
        <v>1</v>
      </c>
      <c r="O45" s="4">
        <v>1</v>
      </c>
      <c r="P45" s="4">
        <v>2</v>
      </c>
      <c r="Q45" s="4">
        <v>2</v>
      </c>
      <c r="R45" s="4">
        <v>1</v>
      </c>
      <c r="S45" s="4">
        <v>5</v>
      </c>
      <c r="T45" s="4">
        <v>5</v>
      </c>
      <c r="U45" s="4">
        <v>5</v>
      </c>
      <c r="V45" s="4">
        <v>5</v>
      </c>
      <c r="W45" s="4">
        <v>5</v>
      </c>
      <c r="X45" s="4">
        <v>5</v>
      </c>
      <c r="Y45" s="4">
        <v>5</v>
      </c>
      <c r="Z45" s="4">
        <v>1</v>
      </c>
      <c r="AA45" s="4">
        <v>1</v>
      </c>
      <c r="AB45" s="4">
        <v>0</v>
      </c>
      <c r="AC45" s="4">
        <v>1</v>
      </c>
      <c r="AD45" s="4">
        <v>1</v>
      </c>
      <c r="AE45" s="4">
        <v>1</v>
      </c>
      <c r="AF45" s="4">
        <v>1</v>
      </c>
      <c r="AG45" s="4">
        <v>1</v>
      </c>
      <c r="AH45" s="4">
        <v>0</v>
      </c>
      <c r="AI45" s="4">
        <v>0</v>
      </c>
      <c r="AJ45" s="4">
        <v>0</v>
      </c>
      <c r="AK45" s="4">
        <v>0</v>
      </c>
      <c r="AL45" s="4">
        <v>1</v>
      </c>
      <c r="AM45" s="4">
        <v>0</v>
      </c>
      <c r="AN45" s="4">
        <v>0</v>
      </c>
      <c r="AO45" s="4">
        <v>0</v>
      </c>
      <c r="AP45" s="4">
        <v>0</v>
      </c>
      <c r="AQ45" s="4">
        <v>1</v>
      </c>
      <c r="AR45" s="4">
        <v>0</v>
      </c>
      <c r="AS45" s="4">
        <v>0</v>
      </c>
      <c r="AT45" s="4">
        <v>0</v>
      </c>
      <c r="AU45" s="4">
        <v>0</v>
      </c>
      <c r="AV45" s="4">
        <v>1</v>
      </c>
      <c r="AW45" s="4">
        <v>0</v>
      </c>
      <c r="AX45" s="4">
        <v>0</v>
      </c>
      <c r="AY45" s="4">
        <v>0</v>
      </c>
      <c r="AZ45" s="4">
        <v>0</v>
      </c>
      <c r="BA45" s="4">
        <v>1</v>
      </c>
      <c r="BB45" s="4">
        <v>0</v>
      </c>
      <c r="BC45" s="4">
        <v>0</v>
      </c>
      <c r="BD45" s="4">
        <v>0</v>
      </c>
      <c r="BE45" s="4">
        <v>0</v>
      </c>
      <c r="BF45" s="4">
        <v>1</v>
      </c>
      <c r="BG45" s="4">
        <v>0</v>
      </c>
      <c r="BH45" s="4">
        <v>0</v>
      </c>
      <c r="BI45" s="4">
        <v>0</v>
      </c>
      <c r="BJ45" s="4">
        <v>0</v>
      </c>
      <c r="BK45" s="4">
        <v>1</v>
      </c>
      <c r="BL45" s="4">
        <v>0</v>
      </c>
      <c r="BM45" s="4">
        <v>0</v>
      </c>
      <c r="BN45" s="4">
        <v>0</v>
      </c>
      <c r="BO45" s="4">
        <v>0</v>
      </c>
    </row>
    <row r="46" spans="1:67" ht="15.95" customHeight="1">
      <c r="A46" s="2" t="s">
        <v>230</v>
      </c>
      <c r="B46" s="4">
        <v>1</v>
      </c>
      <c r="C46" s="4">
        <v>2</v>
      </c>
      <c r="D46" s="4">
        <v>3</v>
      </c>
      <c r="E46" s="4">
        <v>1</v>
      </c>
      <c r="F46" s="4">
        <v>5</v>
      </c>
      <c r="G46" s="4">
        <v>2</v>
      </c>
      <c r="H46" s="4">
        <v>2</v>
      </c>
      <c r="I46" s="4">
        <v>2</v>
      </c>
      <c r="J46" s="4">
        <v>5</v>
      </c>
      <c r="K46" s="4">
        <v>1</v>
      </c>
      <c r="L46" s="4">
        <v>2</v>
      </c>
      <c r="M46" s="4">
        <v>1</v>
      </c>
      <c r="N46" s="4">
        <v>2</v>
      </c>
      <c r="O46" s="4">
        <v>1</v>
      </c>
      <c r="P46" s="4">
        <v>1</v>
      </c>
      <c r="Q46" s="4">
        <v>1</v>
      </c>
      <c r="R46" s="4">
        <v>1</v>
      </c>
      <c r="S46" s="4">
        <v>5</v>
      </c>
      <c r="T46" s="4">
        <v>5</v>
      </c>
      <c r="U46" s="4">
        <v>2</v>
      </c>
      <c r="V46" s="4">
        <v>5</v>
      </c>
      <c r="W46" s="4">
        <v>2</v>
      </c>
      <c r="X46" s="4">
        <v>5</v>
      </c>
      <c r="Y46" s="4">
        <v>1</v>
      </c>
      <c r="Z46" s="4">
        <v>1</v>
      </c>
      <c r="AA46" s="4">
        <v>1</v>
      </c>
      <c r="AB46" s="4">
        <v>1</v>
      </c>
      <c r="AC46" s="4">
        <v>1</v>
      </c>
      <c r="AD46" s="4">
        <v>1</v>
      </c>
      <c r="AE46" s="4">
        <v>1</v>
      </c>
      <c r="AF46" s="4">
        <v>1</v>
      </c>
      <c r="AG46" s="4">
        <v>0</v>
      </c>
      <c r="AH46" s="4">
        <v>0</v>
      </c>
      <c r="AI46" s="4">
        <v>0</v>
      </c>
      <c r="AJ46" s="4">
        <v>0</v>
      </c>
      <c r="AK46" s="4">
        <v>0</v>
      </c>
      <c r="AL46" s="4">
        <v>0</v>
      </c>
      <c r="AM46" s="4">
        <v>0</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4">
        <v>0</v>
      </c>
      <c r="BF46" s="4">
        <v>0</v>
      </c>
      <c r="BG46" s="4">
        <v>0</v>
      </c>
      <c r="BH46" s="4">
        <v>0</v>
      </c>
      <c r="BI46" s="4">
        <v>0</v>
      </c>
      <c r="BJ46" s="4">
        <v>0</v>
      </c>
      <c r="BK46" s="4">
        <v>0</v>
      </c>
      <c r="BL46" s="4">
        <v>0</v>
      </c>
      <c r="BM46" s="4">
        <v>0</v>
      </c>
      <c r="BN46" s="4">
        <v>0</v>
      </c>
      <c r="BO46" s="4">
        <v>0</v>
      </c>
    </row>
    <row r="47" spans="1:67" ht="15.95" customHeight="1">
      <c r="A47" s="2" t="s">
        <v>231</v>
      </c>
      <c r="B47" s="4">
        <v>1</v>
      </c>
      <c r="C47" s="4">
        <v>2</v>
      </c>
      <c r="D47" s="4">
        <v>4</v>
      </c>
      <c r="E47" s="4">
        <v>3</v>
      </c>
      <c r="F47" s="4">
        <v>2</v>
      </c>
      <c r="G47" s="4">
        <v>3</v>
      </c>
      <c r="H47" s="4">
        <v>0</v>
      </c>
      <c r="I47" s="4">
        <v>1</v>
      </c>
      <c r="J47" s="4">
        <v>4</v>
      </c>
      <c r="K47" s="4">
        <v>1</v>
      </c>
      <c r="L47" s="4">
        <v>1</v>
      </c>
      <c r="M47" s="4">
        <v>1</v>
      </c>
      <c r="N47" s="4">
        <v>1</v>
      </c>
      <c r="O47" s="4">
        <v>1</v>
      </c>
      <c r="P47" s="4">
        <v>1</v>
      </c>
      <c r="Q47" s="4">
        <v>1</v>
      </c>
      <c r="R47" s="4">
        <v>1</v>
      </c>
      <c r="S47" s="4">
        <v>1</v>
      </c>
      <c r="T47" s="4">
        <v>1</v>
      </c>
      <c r="U47" s="4">
        <v>1</v>
      </c>
      <c r="V47" s="4">
        <v>1</v>
      </c>
      <c r="W47" s="4">
        <v>1</v>
      </c>
      <c r="X47" s="4">
        <v>1</v>
      </c>
      <c r="Y47" s="4">
        <v>1</v>
      </c>
      <c r="Z47" s="4">
        <v>1</v>
      </c>
      <c r="AA47" s="4">
        <v>1</v>
      </c>
      <c r="AB47" s="4">
        <v>1</v>
      </c>
      <c r="AC47" s="4">
        <v>1</v>
      </c>
      <c r="AD47" s="4">
        <v>1</v>
      </c>
      <c r="AE47" s="4">
        <v>1</v>
      </c>
      <c r="AF47" s="4">
        <v>5</v>
      </c>
      <c r="AG47" s="4">
        <v>0</v>
      </c>
      <c r="AH47" s="4">
        <v>0</v>
      </c>
      <c r="AI47" s="4">
        <v>0</v>
      </c>
      <c r="AJ47" s="4">
        <v>0</v>
      </c>
      <c r="AK47" s="4">
        <v>0</v>
      </c>
      <c r="AL47" s="4">
        <v>0</v>
      </c>
      <c r="AM47" s="4">
        <v>0</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4">
        <v>0</v>
      </c>
      <c r="BF47" s="4">
        <v>0</v>
      </c>
      <c r="BG47" s="4">
        <v>0</v>
      </c>
      <c r="BH47" s="4">
        <v>0</v>
      </c>
      <c r="BI47" s="4">
        <v>0</v>
      </c>
      <c r="BJ47" s="4">
        <v>0</v>
      </c>
      <c r="BK47" s="4">
        <v>0</v>
      </c>
      <c r="BL47" s="4">
        <v>0</v>
      </c>
      <c r="BM47" s="4">
        <v>0</v>
      </c>
      <c r="BN47" s="4">
        <v>0</v>
      </c>
      <c r="BO47" s="4">
        <v>0</v>
      </c>
    </row>
    <row r="48" spans="1:67" ht="15.95" customHeight="1">
      <c r="A48" s="2" t="s">
        <v>232</v>
      </c>
      <c r="B48" s="4">
        <v>1</v>
      </c>
      <c r="C48" s="4">
        <v>2</v>
      </c>
      <c r="D48" s="4">
        <v>3</v>
      </c>
      <c r="E48" s="4">
        <v>1</v>
      </c>
      <c r="F48" s="4">
        <v>4</v>
      </c>
      <c r="G48" s="4">
        <v>2</v>
      </c>
      <c r="H48" s="4">
        <v>1</v>
      </c>
      <c r="I48" s="4">
        <v>1</v>
      </c>
      <c r="J48" s="4">
        <v>2</v>
      </c>
      <c r="K48" s="4">
        <v>1</v>
      </c>
      <c r="L48" s="4">
        <v>1</v>
      </c>
      <c r="M48" s="4">
        <v>1</v>
      </c>
      <c r="N48" s="4">
        <v>2</v>
      </c>
      <c r="O48" s="4">
        <v>1</v>
      </c>
      <c r="P48" s="4">
        <v>1</v>
      </c>
      <c r="Q48" s="4">
        <v>1</v>
      </c>
      <c r="R48" s="4">
        <v>1</v>
      </c>
      <c r="S48" s="4">
        <v>2</v>
      </c>
      <c r="T48" s="4">
        <v>1</v>
      </c>
      <c r="U48" s="4">
        <v>2</v>
      </c>
      <c r="V48" s="4">
        <v>1</v>
      </c>
      <c r="W48" s="4">
        <v>3</v>
      </c>
      <c r="X48" s="4">
        <v>2</v>
      </c>
      <c r="Y48" s="4">
        <v>1</v>
      </c>
      <c r="Z48" s="4">
        <v>1</v>
      </c>
      <c r="AA48" s="4">
        <v>1</v>
      </c>
      <c r="AB48" s="4">
        <v>1</v>
      </c>
      <c r="AC48" s="4">
        <v>1</v>
      </c>
      <c r="AD48" s="4">
        <v>1</v>
      </c>
      <c r="AE48" s="4">
        <v>1</v>
      </c>
      <c r="AF48" s="4">
        <v>1</v>
      </c>
      <c r="AG48" s="4">
        <v>0</v>
      </c>
      <c r="AH48" s="4">
        <v>0</v>
      </c>
      <c r="AI48" s="4">
        <v>0</v>
      </c>
      <c r="AJ48" s="4">
        <v>0</v>
      </c>
      <c r="AK48" s="4">
        <v>0</v>
      </c>
      <c r="AL48" s="4">
        <v>0</v>
      </c>
      <c r="AM48" s="4">
        <v>0</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4">
        <v>0</v>
      </c>
      <c r="BF48" s="4">
        <v>0</v>
      </c>
      <c r="BG48" s="4">
        <v>0</v>
      </c>
      <c r="BH48" s="4">
        <v>0</v>
      </c>
      <c r="BI48" s="4">
        <v>0</v>
      </c>
      <c r="BJ48" s="4">
        <v>0</v>
      </c>
      <c r="BK48" s="4">
        <v>0</v>
      </c>
      <c r="BL48" s="4">
        <v>0</v>
      </c>
      <c r="BM48" s="4">
        <v>0</v>
      </c>
      <c r="BN48" s="4">
        <v>0</v>
      </c>
      <c r="BO48" s="4">
        <v>0</v>
      </c>
    </row>
    <row r="49" spans="1:67" ht="15.95" customHeight="1">
      <c r="A49" s="2" t="s">
        <v>233</v>
      </c>
      <c r="B49" s="4">
        <v>1</v>
      </c>
      <c r="C49" s="4">
        <v>2</v>
      </c>
      <c r="D49" s="4">
        <v>5</v>
      </c>
      <c r="E49" s="4">
        <v>3</v>
      </c>
      <c r="F49" s="4">
        <v>5</v>
      </c>
      <c r="G49" s="4">
        <v>5</v>
      </c>
      <c r="H49" s="4">
        <v>1</v>
      </c>
      <c r="I49" s="4">
        <v>1</v>
      </c>
      <c r="J49" s="4">
        <v>2</v>
      </c>
      <c r="K49" s="4">
        <v>1</v>
      </c>
      <c r="L49" s="4">
        <v>2</v>
      </c>
      <c r="M49" s="4">
        <v>1</v>
      </c>
      <c r="N49" s="4">
        <v>3</v>
      </c>
      <c r="O49" s="4">
        <v>1</v>
      </c>
      <c r="P49" s="4">
        <v>2</v>
      </c>
      <c r="Q49" s="4">
        <v>1</v>
      </c>
      <c r="R49" s="4">
        <v>1</v>
      </c>
      <c r="S49" s="4">
        <v>1</v>
      </c>
      <c r="T49" s="4">
        <v>1</v>
      </c>
      <c r="U49" s="4">
        <v>1</v>
      </c>
      <c r="V49" s="4">
        <v>1</v>
      </c>
      <c r="W49" s="4">
        <v>1</v>
      </c>
      <c r="X49" s="4">
        <v>1</v>
      </c>
      <c r="Y49" s="4">
        <v>1</v>
      </c>
      <c r="Z49" s="4">
        <v>1</v>
      </c>
      <c r="AA49" s="4">
        <v>1</v>
      </c>
      <c r="AB49" s="4">
        <v>1</v>
      </c>
      <c r="AC49" s="4">
        <v>1</v>
      </c>
      <c r="AD49" s="4">
        <v>1</v>
      </c>
      <c r="AE49" s="4">
        <v>1</v>
      </c>
      <c r="AF49" s="4">
        <v>1</v>
      </c>
      <c r="AG49" s="4">
        <v>0</v>
      </c>
      <c r="AH49" s="4">
        <v>0</v>
      </c>
      <c r="AI49" s="4">
        <v>0</v>
      </c>
      <c r="AJ49" s="4">
        <v>0</v>
      </c>
      <c r="AK49" s="4">
        <v>1</v>
      </c>
      <c r="AL49" s="4">
        <v>0</v>
      </c>
      <c r="AM49" s="4">
        <v>0</v>
      </c>
      <c r="AN49" s="4">
        <v>0</v>
      </c>
      <c r="AO49" s="4">
        <v>0</v>
      </c>
      <c r="AP49" s="4">
        <v>1</v>
      </c>
      <c r="AQ49" s="4">
        <v>1</v>
      </c>
      <c r="AR49" s="4">
        <v>0</v>
      </c>
      <c r="AS49" s="4">
        <v>0</v>
      </c>
      <c r="AT49" s="4">
        <v>0</v>
      </c>
      <c r="AU49" s="4">
        <v>1</v>
      </c>
      <c r="AV49" s="4">
        <v>0</v>
      </c>
      <c r="AW49" s="4">
        <v>0</v>
      </c>
      <c r="AX49" s="4">
        <v>0</v>
      </c>
      <c r="AY49" s="4">
        <v>0</v>
      </c>
      <c r="AZ49" s="4">
        <v>0</v>
      </c>
      <c r="BA49" s="4">
        <v>1</v>
      </c>
      <c r="BB49" s="4">
        <v>0</v>
      </c>
      <c r="BC49" s="4">
        <v>0</v>
      </c>
      <c r="BD49" s="4">
        <v>0</v>
      </c>
      <c r="BE49" s="4">
        <v>0</v>
      </c>
      <c r="BF49" s="4">
        <v>0</v>
      </c>
      <c r="BG49" s="4">
        <v>0</v>
      </c>
      <c r="BH49" s="4">
        <v>0</v>
      </c>
      <c r="BI49" s="4">
        <v>0</v>
      </c>
      <c r="BJ49" s="4">
        <v>0</v>
      </c>
      <c r="BK49" s="4">
        <v>0</v>
      </c>
      <c r="BL49" s="4">
        <v>0</v>
      </c>
      <c r="BM49" s="4">
        <v>0</v>
      </c>
      <c r="BN49" s="4">
        <v>0</v>
      </c>
      <c r="BO49" s="4">
        <v>0</v>
      </c>
    </row>
    <row r="50" spans="1:67" ht="15.95" customHeight="1">
      <c r="A50" s="2" t="s">
        <v>234</v>
      </c>
      <c r="B50" s="4">
        <v>1</v>
      </c>
      <c r="C50" s="4">
        <v>2</v>
      </c>
      <c r="D50" s="4">
        <v>4</v>
      </c>
      <c r="E50" s="4">
        <v>3</v>
      </c>
      <c r="F50" s="4">
        <v>5</v>
      </c>
      <c r="G50" s="4">
        <v>5</v>
      </c>
      <c r="H50" s="4">
        <v>2</v>
      </c>
      <c r="I50" s="4">
        <v>2</v>
      </c>
      <c r="J50" s="4">
        <v>2</v>
      </c>
      <c r="K50" s="4">
        <v>1</v>
      </c>
      <c r="L50" s="4">
        <v>1</v>
      </c>
      <c r="M50" s="4">
        <v>1</v>
      </c>
      <c r="N50" s="4">
        <v>2</v>
      </c>
      <c r="O50" s="4">
        <v>1</v>
      </c>
      <c r="P50" s="4">
        <v>3</v>
      </c>
      <c r="Q50" s="4">
        <v>1</v>
      </c>
      <c r="R50" s="4">
        <v>1</v>
      </c>
      <c r="S50" s="4">
        <v>2</v>
      </c>
      <c r="T50" s="4">
        <v>2</v>
      </c>
      <c r="U50" s="4">
        <v>2</v>
      </c>
      <c r="V50" s="4">
        <v>1</v>
      </c>
      <c r="W50" s="4">
        <v>2</v>
      </c>
      <c r="X50" s="4">
        <v>1</v>
      </c>
      <c r="Y50" s="4">
        <v>1</v>
      </c>
      <c r="Z50" s="4">
        <v>1</v>
      </c>
      <c r="AA50" s="4">
        <v>1</v>
      </c>
      <c r="AB50" s="4">
        <v>1</v>
      </c>
      <c r="AC50" s="4">
        <v>1</v>
      </c>
      <c r="AD50" s="4">
        <v>1</v>
      </c>
      <c r="AE50" s="4">
        <v>1</v>
      </c>
      <c r="AF50" s="4">
        <v>1</v>
      </c>
      <c r="AG50" s="4">
        <v>0</v>
      </c>
      <c r="AH50" s="4">
        <v>0</v>
      </c>
      <c r="AI50" s="4">
        <v>0</v>
      </c>
      <c r="AJ50" s="4">
        <v>0</v>
      </c>
      <c r="AK50" s="4">
        <v>0</v>
      </c>
      <c r="AL50" s="4">
        <v>0</v>
      </c>
      <c r="AM50" s="4">
        <v>0</v>
      </c>
      <c r="AN50" s="4">
        <v>0</v>
      </c>
      <c r="AO50" s="4">
        <v>0</v>
      </c>
      <c r="AP50" s="4">
        <v>0</v>
      </c>
      <c r="AQ50" s="4">
        <v>0</v>
      </c>
      <c r="AR50" s="4">
        <v>0</v>
      </c>
      <c r="AS50" s="4">
        <v>0</v>
      </c>
      <c r="AT50" s="4">
        <v>1</v>
      </c>
      <c r="AU50" s="4">
        <v>0</v>
      </c>
      <c r="AV50" s="4">
        <v>0</v>
      </c>
      <c r="AW50" s="4">
        <v>0</v>
      </c>
      <c r="AX50" s="4">
        <v>0</v>
      </c>
      <c r="AY50" s="4">
        <v>0</v>
      </c>
      <c r="AZ50" s="4">
        <v>0</v>
      </c>
      <c r="BA50" s="4">
        <v>0</v>
      </c>
      <c r="BB50" s="4">
        <v>0</v>
      </c>
      <c r="BC50" s="4">
        <v>0</v>
      </c>
      <c r="BD50" s="4">
        <v>1</v>
      </c>
      <c r="BE50" s="4">
        <v>0</v>
      </c>
      <c r="BF50" s="4">
        <v>0</v>
      </c>
      <c r="BG50" s="4">
        <v>0</v>
      </c>
      <c r="BH50" s="4">
        <v>0</v>
      </c>
      <c r="BI50" s="4">
        <v>0</v>
      </c>
      <c r="BJ50" s="4">
        <v>0</v>
      </c>
      <c r="BK50" s="4">
        <v>0</v>
      </c>
      <c r="BL50" s="4">
        <v>0</v>
      </c>
      <c r="BM50" s="4">
        <v>0</v>
      </c>
      <c r="BN50" s="4">
        <v>0</v>
      </c>
      <c r="BO50" s="4">
        <v>0</v>
      </c>
    </row>
    <row r="51" spans="1:67" ht="15.95" customHeight="1">
      <c r="A51" s="2" t="s">
        <v>235</v>
      </c>
      <c r="B51" s="4">
        <v>1</v>
      </c>
      <c r="C51" s="4">
        <v>2</v>
      </c>
      <c r="D51" s="4">
        <v>3</v>
      </c>
      <c r="E51" s="4">
        <v>2</v>
      </c>
      <c r="F51" s="4">
        <v>5</v>
      </c>
      <c r="G51" s="4">
        <v>3</v>
      </c>
      <c r="H51" s="4">
        <v>4</v>
      </c>
      <c r="I51" s="4">
        <v>1</v>
      </c>
      <c r="J51" s="4">
        <v>2</v>
      </c>
      <c r="K51" s="4">
        <v>1</v>
      </c>
      <c r="L51" s="4">
        <v>1</v>
      </c>
      <c r="M51" s="4">
        <v>1</v>
      </c>
      <c r="N51" s="4">
        <v>1</v>
      </c>
      <c r="O51" s="4">
        <v>1</v>
      </c>
      <c r="P51" s="4">
        <v>1</v>
      </c>
      <c r="Q51" s="4">
        <v>1</v>
      </c>
      <c r="R51" s="4">
        <v>1</v>
      </c>
      <c r="S51" s="4">
        <v>5</v>
      </c>
      <c r="T51" s="4">
        <v>5</v>
      </c>
      <c r="U51" s="4">
        <v>5</v>
      </c>
      <c r="V51" s="4">
        <v>1</v>
      </c>
      <c r="W51" s="4">
        <v>3</v>
      </c>
      <c r="X51" s="4">
        <v>1</v>
      </c>
      <c r="Y51" s="4">
        <v>1</v>
      </c>
      <c r="Z51" s="4">
        <v>5</v>
      </c>
      <c r="AA51" s="4">
        <v>5</v>
      </c>
      <c r="AB51" s="4">
        <v>5</v>
      </c>
      <c r="AC51" s="4">
        <v>5</v>
      </c>
      <c r="AD51" s="4">
        <v>5</v>
      </c>
      <c r="AE51" s="4">
        <v>5</v>
      </c>
      <c r="AF51" s="4">
        <v>1</v>
      </c>
      <c r="AG51" s="4">
        <v>0</v>
      </c>
      <c r="AH51" s="4">
        <v>0</v>
      </c>
      <c r="AI51" s="4">
        <v>0</v>
      </c>
      <c r="AJ51" s="4">
        <v>0</v>
      </c>
      <c r="AK51" s="4">
        <v>0</v>
      </c>
      <c r="AL51" s="4">
        <v>0</v>
      </c>
      <c r="AM51" s="4">
        <v>0</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4">
        <v>0</v>
      </c>
      <c r="BF51" s="4">
        <v>0</v>
      </c>
      <c r="BG51" s="4">
        <v>0</v>
      </c>
      <c r="BH51" s="4">
        <v>0</v>
      </c>
      <c r="BI51" s="4">
        <v>0</v>
      </c>
      <c r="BJ51" s="4">
        <v>0</v>
      </c>
      <c r="BK51" s="4">
        <v>0</v>
      </c>
      <c r="BL51" s="4">
        <v>0</v>
      </c>
      <c r="BM51" s="4">
        <v>0</v>
      </c>
      <c r="BN51" s="4">
        <v>0</v>
      </c>
      <c r="BO51" s="4">
        <v>0</v>
      </c>
    </row>
    <row r="52" spans="1:67" ht="15.95" customHeight="1">
      <c r="A52" s="2" t="s">
        <v>236</v>
      </c>
      <c r="B52" s="4">
        <v>1</v>
      </c>
      <c r="C52" s="4">
        <v>2</v>
      </c>
      <c r="D52" s="4">
        <v>3</v>
      </c>
      <c r="E52" s="4">
        <v>1</v>
      </c>
      <c r="F52" s="4">
        <v>5</v>
      </c>
      <c r="G52" s="4">
        <v>2</v>
      </c>
      <c r="H52" s="4">
        <v>2</v>
      </c>
      <c r="I52" s="4">
        <v>2</v>
      </c>
      <c r="J52" s="4">
        <v>3</v>
      </c>
      <c r="K52" s="4">
        <v>1</v>
      </c>
      <c r="L52" s="4">
        <v>1</v>
      </c>
      <c r="M52" s="4">
        <v>1</v>
      </c>
      <c r="N52" s="4">
        <v>1</v>
      </c>
      <c r="O52" s="4">
        <v>1</v>
      </c>
      <c r="P52" s="4">
        <v>1</v>
      </c>
      <c r="Q52" s="4">
        <v>1</v>
      </c>
      <c r="R52" s="4">
        <v>1</v>
      </c>
      <c r="S52" s="4">
        <v>1</v>
      </c>
      <c r="T52" s="4">
        <v>1</v>
      </c>
      <c r="U52" s="4">
        <v>2</v>
      </c>
      <c r="V52" s="4">
        <v>1</v>
      </c>
      <c r="W52" s="4">
        <v>1</v>
      </c>
      <c r="X52" s="4">
        <v>1</v>
      </c>
      <c r="Y52" s="4">
        <v>1</v>
      </c>
      <c r="Z52" s="4">
        <v>5</v>
      </c>
      <c r="AA52" s="4">
        <v>1</v>
      </c>
      <c r="AB52" s="4">
        <v>1</v>
      </c>
      <c r="AC52" s="4">
        <v>1</v>
      </c>
      <c r="AD52" s="4">
        <v>1</v>
      </c>
      <c r="AE52" s="4">
        <v>1</v>
      </c>
      <c r="AF52" s="4">
        <v>1</v>
      </c>
      <c r="AG52" s="4">
        <v>0</v>
      </c>
      <c r="AH52" s="4">
        <v>0</v>
      </c>
      <c r="AI52" s="4">
        <v>0</v>
      </c>
      <c r="AJ52" s="4">
        <v>1</v>
      </c>
      <c r="AK52" s="4">
        <v>0</v>
      </c>
      <c r="AL52" s="4">
        <v>1</v>
      </c>
      <c r="AM52" s="4">
        <v>0</v>
      </c>
      <c r="AN52" s="4">
        <v>0</v>
      </c>
      <c r="AO52" s="4">
        <v>0</v>
      </c>
      <c r="AP52" s="4">
        <v>0</v>
      </c>
      <c r="AQ52" s="4">
        <v>1</v>
      </c>
      <c r="AR52" s="4">
        <v>0</v>
      </c>
      <c r="AS52" s="4">
        <v>0</v>
      </c>
      <c r="AT52" s="4">
        <v>0</v>
      </c>
      <c r="AU52" s="4">
        <v>0</v>
      </c>
      <c r="AV52" s="4">
        <v>0</v>
      </c>
      <c r="AW52" s="4">
        <v>0</v>
      </c>
      <c r="AX52" s="4">
        <v>0</v>
      </c>
      <c r="AY52" s="4">
        <v>1</v>
      </c>
      <c r="AZ52" s="4">
        <v>0</v>
      </c>
      <c r="BA52" s="4">
        <v>0</v>
      </c>
      <c r="BB52" s="4">
        <v>1</v>
      </c>
      <c r="BC52" s="4">
        <v>0</v>
      </c>
      <c r="BD52" s="4">
        <v>0</v>
      </c>
      <c r="BE52" s="4">
        <v>0</v>
      </c>
      <c r="BF52" s="4">
        <v>0</v>
      </c>
      <c r="BG52" s="4">
        <v>0</v>
      </c>
      <c r="BH52" s="4">
        <v>0</v>
      </c>
      <c r="BI52" s="4">
        <v>1</v>
      </c>
      <c r="BJ52" s="4">
        <v>0</v>
      </c>
      <c r="BK52" s="4">
        <v>0</v>
      </c>
      <c r="BL52" s="4">
        <v>0</v>
      </c>
      <c r="BM52" s="4">
        <v>0</v>
      </c>
      <c r="BN52" s="4">
        <v>1</v>
      </c>
      <c r="BO52" s="4">
        <v>0</v>
      </c>
    </row>
    <row r="53" spans="1:67" ht="15.95" customHeight="1">
      <c r="A53" s="2" t="s">
        <v>237</v>
      </c>
      <c r="B53" s="4">
        <v>1</v>
      </c>
      <c r="C53" s="4">
        <v>1</v>
      </c>
      <c r="D53" s="4">
        <v>3</v>
      </c>
      <c r="E53" s="4">
        <v>3</v>
      </c>
      <c r="F53" s="4">
        <v>5</v>
      </c>
      <c r="G53" s="4">
        <v>2</v>
      </c>
      <c r="H53" s="4">
        <v>2</v>
      </c>
      <c r="I53" s="4">
        <v>2</v>
      </c>
      <c r="J53" s="4">
        <v>2</v>
      </c>
      <c r="K53" s="4">
        <v>1</v>
      </c>
      <c r="L53" s="4">
        <v>3</v>
      </c>
      <c r="M53" s="4">
        <v>2</v>
      </c>
      <c r="N53" s="4">
        <v>3</v>
      </c>
      <c r="O53" s="4">
        <v>1</v>
      </c>
      <c r="P53" s="4">
        <v>3</v>
      </c>
      <c r="Q53" s="4">
        <v>1</v>
      </c>
      <c r="R53" s="4">
        <v>1</v>
      </c>
      <c r="S53" s="4">
        <v>2</v>
      </c>
      <c r="T53" s="4">
        <v>1</v>
      </c>
      <c r="U53" s="4">
        <v>2</v>
      </c>
      <c r="V53" s="4">
        <v>1</v>
      </c>
      <c r="W53" s="4">
        <v>2</v>
      </c>
      <c r="X53" s="4">
        <v>1</v>
      </c>
      <c r="Y53" s="4">
        <v>1</v>
      </c>
      <c r="Z53" s="4">
        <v>2</v>
      </c>
      <c r="AA53" s="4">
        <v>1</v>
      </c>
      <c r="AB53" s="4">
        <v>2</v>
      </c>
      <c r="AC53" s="4">
        <v>1</v>
      </c>
      <c r="AD53" s="4">
        <v>3</v>
      </c>
      <c r="AE53" s="4">
        <v>1</v>
      </c>
      <c r="AF53" s="4">
        <v>1</v>
      </c>
      <c r="AG53" s="4">
        <v>0</v>
      </c>
      <c r="AH53" s="4">
        <v>1</v>
      </c>
      <c r="AI53" s="4">
        <v>1</v>
      </c>
      <c r="AJ53" s="4">
        <v>1</v>
      </c>
      <c r="AK53" s="4">
        <v>1</v>
      </c>
      <c r="AL53" s="4">
        <v>0</v>
      </c>
      <c r="AM53" s="4">
        <v>0</v>
      </c>
      <c r="AN53" s="4">
        <v>0</v>
      </c>
      <c r="AO53" s="4">
        <v>0</v>
      </c>
      <c r="AP53" s="4">
        <v>0</v>
      </c>
      <c r="AQ53" s="4">
        <v>0</v>
      </c>
      <c r="AR53" s="4">
        <v>1</v>
      </c>
      <c r="AS53" s="4">
        <v>1</v>
      </c>
      <c r="AT53" s="4">
        <v>1</v>
      </c>
      <c r="AU53" s="4">
        <v>1</v>
      </c>
      <c r="AV53" s="4">
        <v>0</v>
      </c>
      <c r="AW53" s="4">
        <v>0</v>
      </c>
      <c r="AX53" s="4">
        <v>0</v>
      </c>
      <c r="AY53" s="4">
        <v>0</v>
      </c>
      <c r="AZ53" s="4">
        <v>0</v>
      </c>
      <c r="BA53" s="4">
        <v>0</v>
      </c>
      <c r="BB53" s="4">
        <v>1</v>
      </c>
      <c r="BC53" s="4">
        <v>1</v>
      </c>
      <c r="BD53" s="4">
        <v>1</v>
      </c>
      <c r="BE53" s="4">
        <v>1</v>
      </c>
      <c r="BF53" s="4">
        <v>0</v>
      </c>
      <c r="BG53" s="4">
        <v>0</v>
      </c>
      <c r="BH53" s="4">
        <v>1</v>
      </c>
      <c r="BI53" s="4">
        <v>1</v>
      </c>
      <c r="BJ53" s="4">
        <v>1</v>
      </c>
      <c r="BK53" s="4">
        <v>0</v>
      </c>
      <c r="BL53" s="4">
        <v>0</v>
      </c>
      <c r="BM53" s="4">
        <v>0</v>
      </c>
      <c r="BN53" s="4">
        <v>0</v>
      </c>
      <c r="BO53" s="4">
        <v>0</v>
      </c>
    </row>
    <row r="54" spans="1:67" ht="15.95" customHeight="1">
      <c r="A54" s="2" t="s">
        <v>238</v>
      </c>
      <c r="B54" s="4">
        <v>1</v>
      </c>
      <c r="C54" s="4">
        <v>2</v>
      </c>
      <c r="D54" s="4">
        <v>3</v>
      </c>
      <c r="E54" s="4">
        <v>3</v>
      </c>
      <c r="F54" s="4">
        <v>1</v>
      </c>
      <c r="G54" s="4">
        <v>2</v>
      </c>
      <c r="H54" s="4">
        <v>1</v>
      </c>
      <c r="I54" s="4">
        <v>1</v>
      </c>
      <c r="J54" s="4">
        <v>2</v>
      </c>
      <c r="K54" s="4">
        <v>1</v>
      </c>
      <c r="L54" s="4">
        <v>3</v>
      </c>
      <c r="M54" s="4">
        <v>2</v>
      </c>
      <c r="N54" s="4">
        <v>3</v>
      </c>
      <c r="O54" s="4">
        <v>1</v>
      </c>
      <c r="P54" s="4">
        <v>3</v>
      </c>
      <c r="Q54" s="4">
        <v>2</v>
      </c>
      <c r="R54" s="4">
        <v>1</v>
      </c>
      <c r="S54" s="4">
        <v>1</v>
      </c>
      <c r="T54" s="4">
        <v>1</v>
      </c>
      <c r="U54" s="4">
        <v>1</v>
      </c>
      <c r="V54" s="4">
        <v>1</v>
      </c>
      <c r="W54" s="4">
        <v>2</v>
      </c>
      <c r="X54" s="4">
        <v>1</v>
      </c>
      <c r="Y54" s="4">
        <v>1</v>
      </c>
      <c r="Z54" s="4">
        <v>2</v>
      </c>
      <c r="AA54" s="4">
        <v>2</v>
      </c>
      <c r="AB54" s="4">
        <v>2</v>
      </c>
      <c r="AC54" s="4">
        <v>1</v>
      </c>
      <c r="AD54" s="4">
        <v>2</v>
      </c>
      <c r="AE54" s="4">
        <v>1</v>
      </c>
      <c r="AF54" s="4">
        <v>5</v>
      </c>
      <c r="AG54" s="4">
        <v>0</v>
      </c>
      <c r="AH54" s="4">
        <v>1</v>
      </c>
      <c r="AI54" s="4">
        <v>0</v>
      </c>
      <c r="AJ54" s="4">
        <v>0</v>
      </c>
      <c r="AK54" s="4">
        <v>1</v>
      </c>
      <c r="AL54" s="4">
        <v>0</v>
      </c>
      <c r="AM54" s="4">
        <v>1</v>
      </c>
      <c r="AN54" s="4">
        <v>0</v>
      </c>
      <c r="AO54" s="4">
        <v>0</v>
      </c>
      <c r="AP54" s="4">
        <v>0</v>
      </c>
      <c r="AQ54" s="4">
        <v>0</v>
      </c>
      <c r="AR54" s="4">
        <v>1</v>
      </c>
      <c r="AS54" s="4">
        <v>0</v>
      </c>
      <c r="AT54" s="4">
        <v>0</v>
      </c>
      <c r="AU54" s="4">
        <v>1</v>
      </c>
      <c r="AV54" s="4">
        <v>0</v>
      </c>
      <c r="AW54" s="4">
        <v>0</v>
      </c>
      <c r="AX54" s="4">
        <v>0</v>
      </c>
      <c r="AY54" s="4">
        <v>0</v>
      </c>
      <c r="AZ54" s="4">
        <v>0</v>
      </c>
      <c r="BA54" s="4">
        <v>0</v>
      </c>
      <c r="BB54" s="4">
        <v>1</v>
      </c>
      <c r="BC54" s="4">
        <v>0</v>
      </c>
      <c r="BD54" s="4">
        <v>0</v>
      </c>
      <c r="BE54" s="4">
        <v>0</v>
      </c>
      <c r="BF54" s="4">
        <v>0</v>
      </c>
      <c r="BG54" s="4">
        <v>0</v>
      </c>
      <c r="BH54" s="4">
        <v>0</v>
      </c>
      <c r="BI54" s="4">
        <v>0</v>
      </c>
      <c r="BJ54" s="4">
        <v>1</v>
      </c>
      <c r="BK54" s="4">
        <v>0</v>
      </c>
      <c r="BL54" s="4">
        <v>0</v>
      </c>
      <c r="BM54" s="4">
        <v>0</v>
      </c>
      <c r="BN54" s="4">
        <v>0</v>
      </c>
      <c r="BO54" s="4">
        <v>0</v>
      </c>
    </row>
    <row r="55" spans="1:67" ht="15.95" customHeight="1">
      <c r="A55" s="2" t="s">
        <v>239</v>
      </c>
      <c r="B55" s="4">
        <v>1</v>
      </c>
      <c r="C55" s="4">
        <v>1</v>
      </c>
      <c r="D55" s="4">
        <v>3</v>
      </c>
      <c r="E55" s="4">
        <v>3</v>
      </c>
      <c r="F55" s="4">
        <v>3</v>
      </c>
      <c r="G55" s="4">
        <v>2</v>
      </c>
      <c r="H55" s="4">
        <v>2</v>
      </c>
      <c r="I55" s="4">
        <v>1</v>
      </c>
      <c r="J55" s="4">
        <v>2</v>
      </c>
      <c r="K55" s="4">
        <v>1</v>
      </c>
      <c r="L55" s="4">
        <v>3</v>
      </c>
      <c r="M55" s="4">
        <v>3</v>
      </c>
      <c r="N55" s="4">
        <v>3</v>
      </c>
      <c r="O55" s="4">
        <v>1</v>
      </c>
      <c r="P55" s="4">
        <v>1</v>
      </c>
      <c r="Q55" s="4">
        <v>1</v>
      </c>
      <c r="R55" s="4">
        <v>1</v>
      </c>
      <c r="S55" s="4">
        <v>2</v>
      </c>
      <c r="T55" s="4">
        <v>2</v>
      </c>
      <c r="U55" s="4">
        <v>2</v>
      </c>
      <c r="V55" s="4">
        <v>1</v>
      </c>
      <c r="W55" s="4">
        <v>2</v>
      </c>
      <c r="X55" s="4">
        <v>1</v>
      </c>
      <c r="Y55" s="4">
        <v>1</v>
      </c>
      <c r="Z55" s="4">
        <v>1</v>
      </c>
      <c r="AA55" s="4">
        <v>1</v>
      </c>
      <c r="AB55" s="4">
        <v>1</v>
      </c>
      <c r="AC55" s="4">
        <v>1</v>
      </c>
      <c r="AD55" s="4">
        <v>1</v>
      </c>
      <c r="AE55" s="4">
        <v>1</v>
      </c>
      <c r="AF55" s="4">
        <v>2</v>
      </c>
      <c r="AG55" s="4">
        <v>0</v>
      </c>
      <c r="AH55" s="4">
        <v>0</v>
      </c>
      <c r="AI55" s="4">
        <v>0</v>
      </c>
      <c r="AJ55" s="4">
        <v>0</v>
      </c>
      <c r="AK55" s="4">
        <v>1</v>
      </c>
      <c r="AL55" s="4">
        <v>0</v>
      </c>
      <c r="AM55" s="4">
        <v>0</v>
      </c>
      <c r="AN55" s="4">
        <v>0</v>
      </c>
      <c r="AO55" s="4">
        <v>0</v>
      </c>
      <c r="AP55" s="4">
        <v>1</v>
      </c>
      <c r="AQ55" s="4">
        <v>0</v>
      </c>
      <c r="AR55" s="4">
        <v>0</v>
      </c>
      <c r="AS55" s="4">
        <v>0</v>
      </c>
      <c r="AT55" s="4">
        <v>0</v>
      </c>
      <c r="AU55" s="4">
        <v>1</v>
      </c>
      <c r="AV55" s="4">
        <v>0</v>
      </c>
      <c r="AW55" s="4">
        <v>0</v>
      </c>
      <c r="AX55" s="4">
        <v>0</v>
      </c>
      <c r="AY55" s="4">
        <v>0</v>
      </c>
      <c r="AZ55" s="4">
        <v>0</v>
      </c>
      <c r="BA55" s="4">
        <v>0</v>
      </c>
      <c r="BB55" s="4">
        <v>1</v>
      </c>
      <c r="BC55" s="4">
        <v>0</v>
      </c>
      <c r="BD55" s="4">
        <v>0</v>
      </c>
      <c r="BE55" s="4">
        <v>0</v>
      </c>
      <c r="BF55" s="4">
        <v>0</v>
      </c>
      <c r="BG55" s="4">
        <v>0</v>
      </c>
      <c r="BH55" s="4">
        <v>0</v>
      </c>
      <c r="BI55" s="4">
        <v>0</v>
      </c>
      <c r="BJ55" s="4">
        <v>0</v>
      </c>
      <c r="BK55" s="4">
        <v>0</v>
      </c>
      <c r="BL55" s="4">
        <v>0</v>
      </c>
      <c r="BM55" s="4">
        <v>0</v>
      </c>
      <c r="BN55" s="4">
        <v>0</v>
      </c>
      <c r="BO55" s="4">
        <v>0</v>
      </c>
    </row>
    <row r="56" spans="1:67" ht="15.95" customHeight="1">
      <c r="A56" s="2" t="s">
        <v>240</v>
      </c>
      <c r="B56" s="4">
        <v>1</v>
      </c>
      <c r="C56" s="4">
        <v>2</v>
      </c>
      <c r="D56" s="4">
        <v>4</v>
      </c>
      <c r="E56" s="4">
        <v>2</v>
      </c>
      <c r="F56" s="4">
        <v>5</v>
      </c>
      <c r="G56" s="4">
        <v>2</v>
      </c>
      <c r="H56" s="4">
        <v>1</v>
      </c>
      <c r="I56" s="4">
        <v>1</v>
      </c>
      <c r="J56" s="4">
        <v>2</v>
      </c>
      <c r="K56" s="4">
        <v>1</v>
      </c>
      <c r="L56" s="4">
        <v>1</v>
      </c>
      <c r="M56" s="4">
        <v>1</v>
      </c>
      <c r="N56" s="4">
        <v>1</v>
      </c>
      <c r="O56" s="4">
        <v>1</v>
      </c>
      <c r="P56" s="4">
        <v>1</v>
      </c>
      <c r="Q56" s="4">
        <v>1</v>
      </c>
      <c r="R56" s="4">
        <v>1</v>
      </c>
      <c r="S56" s="4">
        <v>5</v>
      </c>
      <c r="T56" s="4">
        <v>5</v>
      </c>
      <c r="U56" s="4">
        <v>5</v>
      </c>
      <c r="V56" s="4">
        <v>5</v>
      </c>
      <c r="W56" s="4">
        <v>5</v>
      </c>
      <c r="X56" s="4">
        <v>5</v>
      </c>
      <c r="Y56" s="4">
        <v>1</v>
      </c>
      <c r="Z56" s="4">
        <v>5</v>
      </c>
      <c r="AA56" s="4">
        <v>5</v>
      </c>
      <c r="AB56" s="4">
        <v>1</v>
      </c>
      <c r="AC56" s="4">
        <v>5</v>
      </c>
      <c r="AD56" s="4">
        <v>5</v>
      </c>
      <c r="AE56" s="4">
        <v>5</v>
      </c>
      <c r="AF56" s="4">
        <v>5</v>
      </c>
      <c r="AG56" s="4">
        <v>0</v>
      </c>
      <c r="AH56" s="4">
        <v>0</v>
      </c>
      <c r="AI56" s="4">
        <v>0</v>
      </c>
      <c r="AJ56" s="4">
        <v>0</v>
      </c>
      <c r="AK56" s="4">
        <v>1</v>
      </c>
      <c r="AL56" s="4">
        <v>0</v>
      </c>
      <c r="AM56" s="4">
        <v>0</v>
      </c>
      <c r="AN56" s="4">
        <v>0</v>
      </c>
      <c r="AO56" s="4">
        <v>0</v>
      </c>
      <c r="AP56" s="4">
        <v>1</v>
      </c>
      <c r="AQ56" s="4">
        <v>0</v>
      </c>
      <c r="AR56" s="4">
        <v>0</v>
      </c>
      <c r="AS56" s="4">
        <v>0</v>
      </c>
      <c r="AT56" s="4">
        <v>0</v>
      </c>
      <c r="AU56" s="4">
        <v>1</v>
      </c>
      <c r="AV56" s="4">
        <v>0</v>
      </c>
      <c r="AW56" s="4">
        <v>0</v>
      </c>
      <c r="AX56" s="4">
        <v>0</v>
      </c>
      <c r="AY56" s="4">
        <v>0</v>
      </c>
      <c r="AZ56" s="4">
        <v>1</v>
      </c>
      <c r="BA56" s="4">
        <v>0</v>
      </c>
      <c r="BB56" s="4">
        <v>0</v>
      </c>
      <c r="BC56" s="4">
        <v>0</v>
      </c>
      <c r="BD56" s="4">
        <v>0</v>
      </c>
      <c r="BE56" s="4">
        <v>1</v>
      </c>
      <c r="BF56" s="4">
        <v>1</v>
      </c>
      <c r="BG56" s="4">
        <v>0</v>
      </c>
      <c r="BH56" s="4">
        <v>0</v>
      </c>
      <c r="BI56" s="4">
        <v>0</v>
      </c>
      <c r="BJ56" s="4">
        <v>0</v>
      </c>
      <c r="BK56" s="4">
        <v>0</v>
      </c>
      <c r="BL56" s="4">
        <v>0</v>
      </c>
      <c r="BM56" s="4">
        <v>0</v>
      </c>
      <c r="BN56" s="4">
        <v>0</v>
      </c>
      <c r="BO56" s="4">
        <v>1</v>
      </c>
    </row>
    <row r="57" spans="1:67" ht="15.95" customHeight="1">
      <c r="A57" s="2" t="s">
        <v>241</v>
      </c>
      <c r="B57" s="4">
        <v>1</v>
      </c>
      <c r="C57" s="4">
        <v>2</v>
      </c>
      <c r="D57" s="4">
        <v>4</v>
      </c>
      <c r="E57" s="4">
        <v>2</v>
      </c>
      <c r="F57" s="4">
        <v>5</v>
      </c>
      <c r="G57" s="4">
        <v>5</v>
      </c>
      <c r="H57" s="4">
        <v>1</v>
      </c>
      <c r="I57" s="4">
        <v>1</v>
      </c>
      <c r="J57" s="4">
        <v>2</v>
      </c>
      <c r="K57" s="4">
        <v>1</v>
      </c>
      <c r="L57" s="4">
        <v>3</v>
      </c>
      <c r="M57" s="4">
        <v>2</v>
      </c>
      <c r="N57" s="4">
        <v>3</v>
      </c>
      <c r="O57" s="4">
        <v>2</v>
      </c>
      <c r="P57" s="4">
        <v>2</v>
      </c>
      <c r="Q57" s="4">
        <v>3</v>
      </c>
      <c r="R57" s="4">
        <v>2</v>
      </c>
      <c r="S57" s="4">
        <v>5</v>
      </c>
      <c r="T57" s="4">
        <v>5</v>
      </c>
      <c r="U57" s="4">
        <v>5</v>
      </c>
      <c r="V57" s="4">
        <v>1</v>
      </c>
      <c r="W57" s="4">
        <v>5</v>
      </c>
      <c r="X57" s="4">
        <v>5</v>
      </c>
      <c r="Y57" s="4">
        <v>1</v>
      </c>
      <c r="Z57" s="4">
        <v>2</v>
      </c>
      <c r="AA57" s="4">
        <v>1</v>
      </c>
      <c r="AB57" s="4">
        <v>2</v>
      </c>
      <c r="AC57" s="4">
        <v>1</v>
      </c>
      <c r="AD57" s="4">
        <v>2</v>
      </c>
      <c r="AE57" s="4">
        <v>2</v>
      </c>
      <c r="AF57" s="4">
        <v>1</v>
      </c>
      <c r="AG57" s="4">
        <v>0</v>
      </c>
      <c r="AH57" s="4">
        <v>0</v>
      </c>
      <c r="AI57" s="4">
        <v>0</v>
      </c>
      <c r="AJ57" s="4">
        <v>0</v>
      </c>
      <c r="AK57" s="4">
        <v>0</v>
      </c>
      <c r="AL57" s="4">
        <v>0</v>
      </c>
      <c r="AM57" s="4">
        <v>0</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4">
        <v>0</v>
      </c>
      <c r="BF57" s="4">
        <v>0</v>
      </c>
      <c r="BG57" s="4">
        <v>0</v>
      </c>
      <c r="BH57" s="4">
        <v>0</v>
      </c>
      <c r="BI57" s="4">
        <v>0</v>
      </c>
      <c r="BJ57" s="4">
        <v>0</v>
      </c>
      <c r="BK57" s="4">
        <v>0</v>
      </c>
      <c r="BL57" s="4">
        <v>0</v>
      </c>
      <c r="BM57" s="4">
        <v>0</v>
      </c>
      <c r="BN57" s="4">
        <v>0</v>
      </c>
      <c r="BO57" s="4">
        <v>0</v>
      </c>
    </row>
    <row r="58" spans="1:67" ht="15.95" customHeight="1">
      <c r="A58" s="2" t="s">
        <v>242</v>
      </c>
      <c r="B58" s="4">
        <v>1</v>
      </c>
      <c r="C58" s="4">
        <v>2</v>
      </c>
      <c r="D58" s="4">
        <v>4</v>
      </c>
      <c r="E58" s="4">
        <v>3</v>
      </c>
      <c r="F58" s="4">
        <v>2</v>
      </c>
      <c r="G58" s="4">
        <v>2</v>
      </c>
      <c r="H58" s="4">
        <v>1</v>
      </c>
      <c r="I58" s="4">
        <v>1</v>
      </c>
      <c r="J58" s="4">
        <v>3</v>
      </c>
      <c r="K58" s="4">
        <v>1</v>
      </c>
      <c r="L58" s="4">
        <v>1</v>
      </c>
      <c r="M58" s="4">
        <v>1</v>
      </c>
      <c r="N58" s="4">
        <v>1</v>
      </c>
      <c r="O58" s="4">
        <v>1</v>
      </c>
      <c r="P58" s="4">
        <v>1</v>
      </c>
      <c r="Q58" s="4">
        <v>1</v>
      </c>
      <c r="R58" s="4">
        <v>1</v>
      </c>
      <c r="S58" s="4">
        <v>3</v>
      </c>
      <c r="T58" s="4">
        <v>2</v>
      </c>
      <c r="U58" s="4">
        <v>3</v>
      </c>
      <c r="V58" s="4">
        <v>1</v>
      </c>
      <c r="W58" s="4">
        <v>2</v>
      </c>
      <c r="X58" s="4">
        <v>2</v>
      </c>
      <c r="Y58" s="4">
        <v>1</v>
      </c>
      <c r="Z58" s="4">
        <v>1</v>
      </c>
      <c r="AA58" s="4">
        <v>1</v>
      </c>
      <c r="AB58" s="4">
        <v>1</v>
      </c>
      <c r="AC58" s="4">
        <v>1</v>
      </c>
      <c r="AD58" s="4">
        <v>1</v>
      </c>
      <c r="AE58" s="4">
        <v>1</v>
      </c>
      <c r="AF58" s="4">
        <v>1</v>
      </c>
      <c r="AG58" s="4">
        <v>0</v>
      </c>
      <c r="AH58" s="4">
        <v>0</v>
      </c>
      <c r="AI58" s="4">
        <v>0</v>
      </c>
      <c r="AJ58" s="4">
        <v>0</v>
      </c>
      <c r="AK58" s="4">
        <v>0</v>
      </c>
      <c r="AL58" s="4">
        <v>0</v>
      </c>
      <c r="AM58" s="4">
        <v>0</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4">
        <v>0</v>
      </c>
      <c r="BF58" s="4">
        <v>0</v>
      </c>
      <c r="BG58" s="4">
        <v>0</v>
      </c>
      <c r="BH58" s="4">
        <v>0</v>
      </c>
      <c r="BI58" s="4">
        <v>0</v>
      </c>
      <c r="BJ58" s="4">
        <v>0</v>
      </c>
      <c r="BK58" s="4">
        <v>0</v>
      </c>
      <c r="BL58" s="4">
        <v>0</v>
      </c>
      <c r="BM58" s="4">
        <v>0</v>
      </c>
      <c r="BN58" s="4">
        <v>0</v>
      </c>
      <c r="BO58" s="4">
        <v>0</v>
      </c>
    </row>
    <row r="59" spans="1:67" ht="15.95" customHeight="1">
      <c r="A59" s="2" t="s">
        <v>243</v>
      </c>
      <c r="B59" s="4">
        <v>1</v>
      </c>
      <c r="C59" s="4">
        <v>2</v>
      </c>
      <c r="D59" s="4">
        <v>3</v>
      </c>
      <c r="E59" s="4">
        <v>3</v>
      </c>
      <c r="F59" s="4">
        <v>4</v>
      </c>
      <c r="G59" s="4">
        <v>2</v>
      </c>
      <c r="H59" s="4">
        <v>2</v>
      </c>
      <c r="I59" s="4">
        <v>2</v>
      </c>
      <c r="J59" s="4">
        <v>2</v>
      </c>
      <c r="K59" s="4">
        <v>1</v>
      </c>
      <c r="L59" s="4">
        <v>2</v>
      </c>
      <c r="M59" s="4">
        <v>2</v>
      </c>
      <c r="N59" s="4">
        <v>2</v>
      </c>
      <c r="O59" s="4">
        <v>1</v>
      </c>
      <c r="P59" s="4">
        <v>1</v>
      </c>
      <c r="Q59" s="4">
        <v>1</v>
      </c>
      <c r="R59" s="4">
        <v>1</v>
      </c>
      <c r="S59" s="4">
        <v>2</v>
      </c>
      <c r="T59" s="4">
        <v>2</v>
      </c>
      <c r="U59" s="4">
        <v>2</v>
      </c>
      <c r="V59" s="4">
        <v>1</v>
      </c>
      <c r="W59" s="4">
        <v>2</v>
      </c>
      <c r="X59" s="4">
        <v>2</v>
      </c>
      <c r="Y59" s="4">
        <v>1</v>
      </c>
      <c r="Z59" s="4">
        <v>1</v>
      </c>
      <c r="AA59" s="4">
        <v>1</v>
      </c>
      <c r="AB59" s="4">
        <v>1</v>
      </c>
      <c r="AC59" s="4">
        <v>1</v>
      </c>
      <c r="AD59" s="4">
        <v>1</v>
      </c>
      <c r="AE59" s="4">
        <v>1</v>
      </c>
      <c r="AF59" s="4">
        <v>1</v>
      </c>
      <c r="AG59" s="4">
        <v>1</v>
      </c>
      <c r="AH59" s="4">
        <v>0</v>
      </c>
      <c r="AI59" s="4">
        <v>0</v>
      </c>
      <c r="AJ59" s="4">
        <v>0</v>
      </c>
      <c r="AK59" s="4">
        <v>0</v>
      </c>
      <c r="AL59" s="4">
        <v>0</v>
      </c>
      <c r="AM59" s="4">
        <v>0</v>
      </c>
      <c r="AN59" s="4">
        <v>0</v>
      </c>
      <c r="AO59" s="4">
        <v>0</v>
      </c>
      <c r="AP59" s="4">
        <v>1</v>
      </c>
      <c r="AQ59" s="4">
        <v>1</v>
      </c>
      <c r="AR59" s="4">
        <v>0</v>
      </c>
      <c r="AS59" s="4">
        <v>0</v>
      </c>
      <c r="AT59" s="4">
        <v>0</v>
      </c>
      <c r="AU59" s="4">
        <v>0</v>
      </c>
      <c r="AV59" s="4">
        <v>1</v>
      </c>
      <c r="AW59" s="4">
        <v>0</v>
      </c>
      <c r="AX59" s="4">
        <v>0</v>
      </c>
      <c r="AY59" s="4">
        <v>0</v>
      </c>
      <c r="AZ59" s="4">
        <v>0</v>
      </c>
      <c r="BA59" s="4">
        <v>1</v>
      </c>
      <c r="BB59" s="4">
        <v>0</v>
      </c>
      <c r="BC59" s="4">
        <v>0</v>
      </c>
      <c r="BD59" s="4">
        <v>0</v>
      </c>
      <c r="BE59" s="4">
        <v>0</v>
      </c>
      <c r="BF59" s="4">
        <v>0</v>
      </c>
      <c r="BG59" s="4">
        <v>0</v>
      </c>
      <c r="BH59" s="4">
        <v>0</v>
      </c>
      <c r="BI59" s="4">
        <v>0</v>
      </c>
      <c r="BJ59" s="4">
        <v>1</v>
      </c>
      <c r="BK59" s="4">
        <v>1</v>
      </c>
      <c r="BL59" s="4">
        <v>0</v>
      </c>
      <c r="BM59" s="4">
        <v>0</v>
      </c>
      <c r="BN59" s="4">
        <v>0</v>
      </c>
      <c r="BO59" s="4">
        <v>1</v>
      </c>
    </row>
    <row r="60" spans="1:67" ht="15.95" customHeight="1">
      <c r="A60" s="2" t="s">
        <v>244</v>
      </c>
      <c r="B60" s="4">
        <v>1</v>
      </c>
      <c r="C60" s="4">
        <v>2</v>
      </c>
      <c r="D60" s="4">
        <v>4</v>
      </c>
      <c r="E60" s="4">
        <v>3</v>
      </c>
      <c r="F60" s="4">
        <v>5</v>
      </c>
      <c r="G60" s="4">
        <v>2</v>
      </c>
      <c r="H60" s="4">
        <v>2</v>
      </c>
      <c r="I60" s="4">
        <v>2</v>
      </c>
      <c r="J60" s="4">
        <v>4</v>
      </c>
      <c r="K60" s="4">
        <v>1</v>
      </c>
      <c r="L60" s="4">
        <v>2</v>
      </c>
      <c r="M60" s="4">
        <v>2</v>
      </c>
      <c r="N60" s="4">
        <v>3</v>
      </c>
      <c r="O60" s="4">
        <v>1</v>
      </c>
      <c r="P60" s="4">
        <v>2</v>
      </c>
      <c r="Q60" s="4">
        <v>1</v>
      </c>
      <c r="R60" s="4">
        <v>1</v>
      </c>
      <c r="S60" s="4">
        <v>5</v>
      </c>
      <c r="T60" s="4">
        <v>2</v>
      </c>
      <c r="U60" s="4">
        <v>1</v>
      </c>
      <c r="V60" s="4">
        <v>1</v>
      </c>
      <c r="W60" s="4">
        <v>5</v>
      </c>
      <c r="X60" s="4">
        <v>5</v>
      </c>
      <c r="Y60" s="4">
        <v>1</v>
      </c>
      <c r="Z60" s="4">
        <v>1</v>
      </c>
      <c r="AA60" s="4">
        <v>1</v>
      </c>
      <c r="AB60" s="4">
        <v>1</v>
      </c>
      <c r="AC60" s="4">
        <v>1</v>
      </c>
      <c r="AD60" s="4">
        <v>1</v>
      </c>
      <c r="AE60" s="4">
        <v>1</v>
      </c>
      <c r="AF60" s="4">
        <v>1</v>
      </c>
      <c r="AG60" s="4">
        <v>0</v>
      </c>
      <c r="AH60" s="4">
        <v>0</v>
      </c>
      <c r="AI60" s="4">
        <v>0</v>
      </c>
      <c r="AJ60" s="4">
        <v>1</v>
      </c>
      <c r="AK60" s="4">
        <v>0</v>
      </c>
      <c r="AL60" s="4">
        <v>0</v>
      </c>
      <c r="AM60" s="4">
        <v>0</v>
      </c>
      <c r="AN60" s="4">
        <v>0</v>
      </c>
      <c r="AO60" s="4">
        <v>0</v>
      </c>
      <c r="AP60" s="4">
        <v>1</v>
      </c>
      <c r="AQ60" s="4">
        <v>0</v>
      </c>
      <c r="AR60" s="4">
        <v>0</v>
      </c>
      <c r="AS60" s="4">
        <v>0</v>
      </c>
      <c r="AT60" s="4">
        <v>1</v>
      </c>
      <c r="AU60" s="4">
        <v>0</v>
      </c>
      <c r="AV60" s="4">
        <v>0</v>
      </c>
      <c r="AW60" s="4">
        <v>0</v>
      </c>
      <c r="AX60" s="4">
        <v>1</v>
      </c>
      <c r="AY60" s="4">
        <v>0</v>
      </c>
      <c r="AZ60" s="4">
        <v>0</v>
      </c>
      <c r="BA60" s="4">
        <v>0</v>
      </c>
      <c r="BB60" s="4">
        <v>0</v>
      </c>
      <c r="BC60" s="4">
        <v>0</v>
      </c>
      <c r="BD60" s="4">
        <v>0</v>
      </c>
      <c r="BE60" s="4">
        <v>1</v>
      </c>
      <c r="BF60" s="4">
        <v>0</v>
      </c>
      <c r="BG60" s="4">
        <v>0</v>
      </c>
      <c r="BH60" s="4">
        <v>0</v>
      </c>
      <c r="BI60" s="4">
        <v>0</v>
      </c>
      <c r="BJ60" s="4">
        <v>1</v>
      </c>
      <c r="BK60" s="4">
        <v>0</v>
      </c>
      <c r="BL60" s="4">
        <v>0</v>
      </c>
      <c r="BM60" s="4">
        <v>0</v>
      </c>
      <c r="BN60" s="4">
        <v>1</v>
      </c>
      <c r="BO60" s="4">
        <v>0</v>
      </c>
    </row>
    <row r="61" spans="1:67" ht="15.95" customHeight="1">
      <c r="A61" s="2" t="s">
        <v>245</v>
      </c>
      <c r="B61" s="4">
        <v>1</v>
      </c>
      <c r="C61" s="4">
        <v>2</v>
      </c>
      <c r="D61" s="4">
        <v>4</v>
      </c>
      <c r="E61" s="4">
        <v>4</v>
      </c>
      <c r="F61" s="4">
        <v>5</v>
      </c>
      <c r="G61" s="4">
        <v>4</v>
      </c>
      <c r="H61" s="4">
        <v>1</v>
      </c>
      <c r="I61" s="4">
        <v>1</v>
      </c>
      <c r="J61" s="4">
        <v>2</v>
      </c>
      <c r="K61" s="4">
        <v>1</v>
      </c>
      <c r="L61" s="4">
        <v>2</v>
      </c>
      <c r="M61" s="4">
        <v>2</v>
      </c>
      <c r="N61" s="4">
        <v>2</v>
      </c>
      <c r="O61" s="4">
        <v>2</v>
      </c>
      <c r="P61" s="4">
        <v>1</v>
      </c>
      <c r="Q61" s="4">
        <v>2</v>
      </c>
      <c r="R61" s="4">
        <v>2</v>
      </c>
      <c r="S61" s="4">
        <v>2</v>
      </c>
      <c r="T61" s="4">
        <v>2</v>
      </c>
      <c r="U61" s="4">
        <v>2</v>
      </c>
      <c r="V61" s="4">
        <v>2</v>
      </c>
      <c r="W61" s="4">
        <v>1</v>
      </c>
      <c r="X61" s="4">
        <v>2</v>
      </c>
      <c r="Y61" s="4">
        <v>2</v>
      </c>
      <c r="Z61" s="4">
        <v>1</v>
      </c>
      <c r="AA61" s="4">
        <v>1</v>
      </c>
      <c r="AB61" s="4">
        <v>1</v>
      </c>
      <c r="AC61" s="4">
        <v>1</v>
      </c>
      <c r="AD61" s="4">
        <v>1</v>
      </c>
      <c r="AE61" s="4">
        <v>1</v>
      </c>
      <c r="AF61" s="4">
        <v>1</v>
      </c>
      <c r="AG61" s="4">
        <v>0</v>
      </c>
      <c r="AH61" s="4">
        <v>0</v>
      </c>
      <c r="AI61" s="4">
        <v>0</v>
      </c>
      <c r="AJ61" s="4">
        <v>0</v>
      </c>
      <c r="AK61" s="4">
        <v>0</v>
      </c>
      <c r="AL61" s="4">
        <v>0</v>
      </c>
      <c r="AM61" s="4">
        <v>0</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4">
        <v>0</v>
      </c>
      <c r="BF61" s="4">
        <v>0</v>
      </c>
      <c r="BG61" s="4">
        <v>0</v>
      </c>
      <c r="BH61" s="4">
        <v>0</v>
      </c>
      <c r="BI61" s="4">
        <v>0</v>
      </c>
      <c r="BJ61" s="4">
        <v>0</v>
      </c>
      <c r="BK61" s="4">
        <v>0</v>
      </c>
      <c r="BL61" s="4">
        <v>0</v>
      </c>
      <c r="BM61" s="4">
        <v>0</v>
      </c>
      <c r="BN61" s="4">
        <v>0</v>
      </c>
      <c r="BO61" s="4">
        <v>0</v>
      </c>
    </row>
    <row r="62" spans="1:67" ht="15.95" customHeight="1">
      <c r="A62" s="2" t="s">
        <v>246</v>
      </c>
      <c r="B62" s="4">
        <v>1</v>
      </c>
      <c r="C62" s="4">
        <v>1</v>
      </c>
      <c r="D62" s="4">
        <v>3</v>
      </c>
      <c r="E62" s="4">
        <v>3</v>
      </c>
      <c r="F62" s="4">
        <v>3</v>
      </c>
      <c r="G62" s="4">
        <v>2</v>
      </c>
      <c r="H62" s="4">
        <v>2</v>
      </c>
      <c r="I62" s="4">
        <v>1</v>
      </c>
      <c r="J62" s="4">
        <v>2</v>
      </c>
      <c r="K62" s="4">
        <v>1</v>
      </c>
      <c r="L62" s="4">
        <v>3</v>
      </c>
      <c r="M62" s="4">
        <v>1</v>
      </c>
      <c r="N62" s="4">
        <v>1</v>
      </c>
      <c r="O62" s="4">
        <v>1</v>
      </c>
      <c r="P62" s="4">
        <v>2</v>
      </c>
      <c r="Q62" s="4">
        <v>1</v>
      </c>
      <c r="R62" s="4">
        <v>1</v>
      </c>
      <c r="S62" s="4">
        <v>4</v>
      </c>
      <c r="T62" s="4">
        <v>3</v>
      </c>
      <c r="U62" s="4">
        <v>1</v>
      </c>
      <c r="V62" s="4">
        <v>1</v>
      </c>
      <c r="W62" s="4">
        <v>1</v>
      </c>
      <c r="X62" s="4">
        <v>1</v>
      </c>
      <c r="Y62" s="4">
        <v>1</v>
      </c>
      <c r="Z62" s="4">
        <v>1</v>
      </c>
      <c r="AA62" s="4">
        <v>1</v>
      </c>
      <c r="AB62" s="4">
        <v>1</v>
      </c>
      <c r="AC62" s="4">
        <v>1</v>
      </c>
      <c r="AD62" s="4">
        <v>1</v>
      </c>
      <c r="AE62" s="4">
        <v>1</v>
      </c>
      <c r="AF62" s="4">
        <v>1</v>
      </c>
      <c r="AG62" s="4">
        <v>0</v>
      </c>
      <c r="AH62" s="4">
        <v>0</v>
      </c>
      <c r="AI62" s="4">
        <v>0</v>
      </c>
      <c r="AJ62" s="4">
        <v>0</v>
      </c>
      <c r="AK62" s="4">
        <v>0</v>
      </c>
      <c r="AL62" s="4">
        <v>0</v>
      </c>
      <c r="AM62" s="4">
        <v>0</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4">
        <v>0</v>
      </c>
      <c r="BF62" s="4">
        <v>0</v>
      </c>
      <c r="BG62" s="4">
        <v>0</v>
      </c>
      <c r="BH62" s="4">
        <v>0</v>
      </c>
      <c r="BI62" s="4">
        <v>0</v>
      </c>
      <c r="BJ62" s="4">
        <v>0</v>
      </c>
      <c r="BK62" s="4">
        <v>0</v>
      </c>
      <c r="BL62" s="4">
        <v>0</v>
      </c>
      <c r="BM62" s="4">
        <v>0</v>
      </c>
      <c r="BN62" s="4">
        <v>0</v>
      </c>
      <c r="BO62" s="4">
        <v>0</v>
      </c>
    </row>
    <row r="63" spans="1:67" ht="15.95" customHeight="1">
      <c r="A63" s="2" t="s">
        <v>247</v>
      </c>
      <c r="B63" s="4">
        <v>1</v>
      </c>
      <c r="C63" s="4">
        <v>2</v>
      </c>
      <c r="D63" s="4">
        <v>4</v>
      </c>
      <c r="E63" s="4">
        <v>2</v>
      </c>
      <c r="F63" s="4">
        <v>2</v>
      </c>
      <c r="G63" s="4">
        <v>2</v>
      </c>
      <c r="H63" s="4">
        <v>1</v>
      </c>
      <c r="I63" s="4">
        <v>1</v>
      </c>
      <c r="J63" s="4">
        <v>2</v>
      </c>
      <c r="K63" s="4">
        <v>1</v>
      </c>
      <c r="L63" s="4">
        <v>1</v>
      </c>
      <c r="M63" s="4">
        <v>1</v>
      </c>
      <c r="N63" s="4">
        <v>1</v>
      </c>
      <c r="O63" s="4">
        <v>1</v>
      </c>
      <c r="P63" s="4">
        <v>1</v>
      </c>
      <c r="Q63" s="4">
        <v>1</v>
      </c>
      <c r="R63" s="4">
        <v>1</v>
      </c>
      <c r="S63" s="4">
        <v>0</v>
      </c>
      <c r="T63" s="4">
        <v>0</v>
      </c>
      <c r="U63" s="4">
        <v>0</v>
      </c>
      <c r="V63" s="4">
        <v>0</v>
      </c>
      <c r="W63" s="4">
        <v>0</v>
      </c>
      <c r="X63" s="4">
        <v>0</v>
      </c>
      <c r="Y63" s="4">
        <v>0</v>
      </c>
      <c r="Z63" s="4">
        <v>0</v>
      </c>
      <c r="AA63" s="4">
        <v>0</v>
      </c>
      <c r="AB63" s="4">
        <v>0</v>
      </c>
      <c r="AC63" s="4">
        <v>0</v>
      </c>
      <c r="AD63" s="4">
        <v>0</v>
      </c>
      <c r="AE63" s="4">
        <v>0</v>
      </c>
      <c r="AF63" s="4">
        <v>0</v>
      </c>
      <c r="AG63" s="4">
        <v>0</v>
      </c>
      <c r="AH63" s="4">
        <v>0</v>
      </c>
      <c r="AI63" s="4">
        <v>0</v>
      </c>
      <c r="AJ63" s="4">
        <v>0</v>
      </c>
      <c r="AK63" s="4">
        <v>0</v>
      </c>
      <c r="AL63" s="4">
        <v>0</v>
      </c>
      <c r="AM63" s="4">
        <v>0</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4">
        <v>0</v>
      </c>
      <c r="BF63" s="4">
        <v>0</v>
      </c>
      <c r="BG63" s="4">
        <v>0</v>
      </c>
      <c r="BH63" s="4">
        <v>0</v>
      </c>
      <c r="BI63" s="4">
        <v>0</v>
      </c>
      <c r="BJ63" s="4">
        <v>0</v>
      </c>
      <c r="BK63" s="4">
        <v>0</v>
      </c>
      <c r="BL63" s="4">
        <v>0</v>
      </c>
      <c r="BM63" s="4">
        <v>0</v>
      </c>
      <c r="BN63" s="4">
        <v>0</v>
      </c>
      <c r="BO63" s="4">
        <v>0</v>
      </c>
    </row>
    <row r="64" spans="1:67" ht="15.95" customHeight="1">
      <c r="A64" s="2" t="s">
        <v>248</v>
      </c>
      <c r="B64" s="4">
        <v>1</v>
      </c>
      <c r="C64" s="4">
        <v>2</v>
      </c>
      <c r="D64" s="4">
        <v>3</v>
      </c>
      <c r="E64" s="4">
        <v>2</v>
      </c>
      <c r="F64" s="4">
        <v>4</v>
      </c>
      <c r="G64" s="4">
        <v>4</v>
      </c>
      <c r="H64" s="4">
        <v>2</v>
      </c>
      <c r="I64" s="4">
        <v>1</v>
      </c>
      <c r="J64" s="4">
        <v>2</v>
      </c>
      <c r="K64" s="4">
        <v>1</v>
      </c>
      <c r="L64" s="4">
        <v>2</v>
      </c>
      <c r="M64" s="4">
        <v>3</v>
      </c>
      <c r="N64" s="4">
        <v>3</v>
      </c>
      <c r="O64" s="4">
        <v>1</v>
      </c>
      <c r="P64" s="4">
        <v>2</v>
      </c>
      <c r="Q64" s="4">
        <v>3</v>
      </c>
      <c r="R64" s="4">
        <v>1</v>
      </c>
      <c r="S64" s="4">
        <v>5</v>
      </c>
      <c r="T64" s="4">
        <v>5</v>
      </c>
      <c r="U64" s="4">
        <v>2</v>
      </c>
      <c r="V64" s="4">
        <v>1</v>
      </c>
      <c r="W64" s="4">
        <v>2</v>
      </c>
      <c r="X64" s="4">
        <v>1</v>
      </c>
      <c r="Y64" s="4">
        <v>1</v>
      </c>
      <c r="Z64" s="4">
        <v>1</v>
      </c>
      <c r="AA64" s="4">
        <v>1</v>
      </c>
      <c r="AB64" s="4">
        <v>1</v>
      </c>
      <c r="AC64" s="4">
        <v>1</v>
      </c>
      <c r="AD64" s="4">
        <v>1</v>
      </c>
      <c r="AE64" s="4">
        <v>1</v>
      </c>
      <c r="AF64" s="4">
        <v>1</v>
      </c>
      <c r="AG64" s="4">
        <v>0</v>
      </c>
      <c r="AH64" s="4">
        <v>0</v>
      </c>
      <c r="AI64" s="4">
        <v>0</v>
      </c>
      <c r="AJ64" s="4">
        <v>0</v>
      </c>
      <c r="AK64" s="4">
        <v>0</v>
      </c>
      <c r="AL64" s="4">
        <v>1</v>
      </c>
      <c r="AM64" s="4">
        <v>0</v>
      </c>
      <c r="AN64" s="4">
        <v>0</v>
      </c>
      <c r="AO64" s="4">
        <v>0</v>
      </c>
      <c r="AP64" s="4">
        <v>0</v>
      </c>
      <c r="AQ64" s="4">
        <v>1</v>
      </c>
      <c r="AR64" s="4">
        <v>0</v>
      </c>
      <c r="AS64" s="4">
        <v>0</v>
      </c>
      <c r="AT64" s="4">
        <v>0</v>
      </c>
      <c r="AU64" s="4">
        <v>0</v>
      </c>
      <c r="AV64" s="4">
        <v>0</v>
      </c>
      <c r="AW64" s="4">
        <v>0</v>
      </c>
      <c r="AX64" s="4">
        <v>0</v>
      </c>
      <c r="AY64" s="4">
        <v>0</v>
      </c>
      <c r="AZ64" s="4">
        <v>0</v>
      </c>
      <c r="BA64" s="4">
        <v>0</v>
      </c>
      <c r="BB64" s="4">
        <v>0</v>
      </c>
      <c r="BC64" s="4">
        <v>0</v>
      </c>
      <c r="BD64" s="4">
        <v>0</v>
      </c>
      <c r="BE64" s="4">
        <v>0</v>
      </c>
      <c r="BF64" s="4">
        <v>1</v>
      </c>
      <c r="BG64" s="4">
        <v>0</v>
      </c>
      <c r="BH64" s="4">
        <v>0</v>
      </c>
      <c r="BI64" s="4">
        <v>0</v>
      </c>
      <c r="BJ64" s="4">
        <v>0</v>
      </c>
      <c r="BK64" s="4">
        <v>0</v>
      </c>
      <c r="BL64" s="4">
        <v>0</v>
      </c>
      <c r="BM64" s="4">
        <v>0</v>
      </c>
      <c r="BN64" s="4">
        <v>0</v>
      </c>
      <c r="BO64" s="4">
        <v>0</v>
      </c>
    </row>
    <row r="65" spans="1:67" ht="15.95" customHeight="1">
      <c r="A65" s="2" t="s">
        <v>249</v>
      </c>
      <c r="B65" s="4">
        <v>1</v>
      </c>
      <c r="C65" s="4">
        <v>2</v>
      </c>
      <c r="D65" s="4">
        <v>4</v>
      </c>
      <c r="E65" s="4">
        <v>3</v>
      </c>
      <c r="F65" s="4">
        <v>5</v>
      </c>
      <c r="G65" s="4">
        <v>2</v>
      </c>
      <c r="H65" s="4">
        <v>2</v>
      </c>
      <c r="I65" s="4">
        <v>1</v>
      </c>
      <c r="J65" s="4">
        <v>3</v>
      </c>
      <c r="K65" s="4">
        <v>1</v>
      </c>
      <c r="L65" s="4">
        <v>4</v>
      </c>
      <c r="M65" s="4">
        <v>2</v>
      </c>
      <c r="N65" s="4">
        <v>4</v>
      </c>
      <c r="O65" s="4">
        <v>1</v>
      </c>
      <c r="P65" s="4">
        <v>2</v>
      </c>
      <c r="Q65" s="4">
        <v>1</v>
      </c>
      <c r="R65" s="4">
        <v>1</v>
      </c>
      <c r="S65" s="4">
        <v>2</v>
      </c>
      <c r="T65" s="4">
        <v>5</v>
      </c>
      <c r="U65" s="4">
        <v>2</v>
      </c>
      <c r="V65" s="4">
        <v>5</v>
      </c>
      <c r="W65" s="4">
        <v>2</v>
      </c>
      <c r="X65" s="4">
        <v>5</v>
      </c>
      <c r="Y65" s="4">
        <v>5</v>
      </c>
      <c r="Z65" s="4">
        <v>3</v>
      </c>
      <c r="AA65" s="4">
        <v>5</v>
      </c>
      <c r="AB65" s="4">
        <v>3</v>
      </c>
      <c r="AC65" s="4">
        <v>5</v>
      </c>
      <c r="AD65" s="4">
        <v>5</v>
      </c>
      <c r="AE65" s="4">
        <v>5</v>
      </c>
      <c r="AF65" s="4">
        <v>5</v>
      </c>
      <c r="AG65" s="4">
        <v>1</v>
      </c>
      <c r="AH65" s="4">
        <v>1</v>
      </c>
      <c r="AI65" s="4">
        <v>0</v>
      </c>
      <c r="AJ65" s="4">
        <v>0</v>
      </c>
      <c r="AK65" s="4">
        <v>0</v>
      </c>
      <c r="AL65" s="4">
        <v>0</v>
      </c>
      <c r="AM65" s="4">
        <v>1</v>
      </c>
      <c r="AN65" s="4">
        <v>0</v>
      </c>
      <c r="AO65" s="4">
        <v>0</v>
      </c>
      <c r="AP65" s="4">
        <v>0</v>
      </c>
      <c r="AQ65" s="4">
        <v>1</v>
      </c>
      <c r="AR65" s="4">
        <v>1</v>
      </c>
      <c r="AS65" s="4">
        <v>1</v>
      </c>
      <c r="AT65" s="4">
        <v>0</v>
      </c>
      <c r="AU65" s="4">
        <v>0</v>
      </c>
      <c r="AV65" s="4">
        <v>0</v>
      </c>
      <c r="AW65" s="4">
        <v>1</v>
      </c>
      <c r="AX65" s="4">
        <v>0</v>
      </c>
      <c r="AY65" s="4">
        <v>0</v>
      </c>
      <c r="AZ65" s="4">
        <v>0</v>
      </c>
      <c r="BA65" s="4">
        <v>0</v>
      </c>
      <c r="BB65" s="4">
        <v>1</v>
      </c>
      <c r="BC65" s="4">
        <v>0</v>
      </c>
      <c r="BD65" s="4">
        <v>0</v>
      </c>
      <c r="BE65" s="4">
        <v>0</v>
      </c>
      <c r="BF65" s="4">
        <v>0</v>
      </c>
      <c r="BG65" s="4">
        <v>0</v>
      </c>
      <c r="BH65" s="4">
        <v>0</v>
      </c>
      <c r="BI65" s="4">
        <v>0</v>
      </c>
      <c r="BJ65" s="4">
        <v>0</v>
      </c>
      <c r="BK65" s="4">
        <v>0</v>
      </c>
      <c r="BL65" s="4">
        <v>1</v>
      </c>
      <c r="BM65" s="4">
        <v>0</v>
      </c>
      <c r="BN65" s="4">
        <v>0</v>
      </c>
      <c r="BO65" s="4">
        <v>0</v>
      </c>
    </row>
    <row r="66" spans="1:67" ht="15.95" customHeight="1">
      <c r="A66" s="2" t="s">
        <v>250</v>
      </c>
      <c r="B66" s="4">
        <v>1</v>
      </c>
      <c r="C66" s="4">
        <v>2</v>
      </c>
      <c r="D66" s="4">
        <v>4</v>
      </c>
      <c r="E66" s="4">
        <v>3</v>
      </c>
      <c r="F66" s="4">
        <v>5</v>
      </c>
      <c r="G66" s="4">
        <v>2</v>
      </c>
      <c r="H66" s="4">
        <v>2</v>
      </c>
      <c r="I66" s="4">
        <v>2</v>
      </c>
      <c r="J66" s="4">
        <v>4</v>
      </c>
      <c r="K66" s="4">
        <v>1</v>
      </c>
      <c r="L66" s="4">
        <v>2</v>
      </c>
      <c r="M66" s="4">
        <v>1</v>
      </c>
      <c r="N66" s="4">
        <v>3</v>
      </c>
      <c r="O66" s="4">
        <v>1</v>
      </c>
      <c r="P66" s="4">
        <v>2</v>
      </c>
      <c r="Q66" s="4">
        <v>3</v>
      </c>
      <c r="R66" s="4">
        <v>1</v>
      </c>
      <c r="S66" s="4">
        <v>5</v>
      </c>
      <c r="T66" s="4">
        <v>1</v>
      </c>
      <c r="U66" s="4">
        <v>2</v>
      </c>
      <c r="V66" s="4">
        <v>1</v>
      </c>
      <c r="W66" s="4">
        <v>1</v>
      </c>
      <c r="X66" s="4">
        <v>1</v>
      </c>
      <c r="Y66" s="4">
        <v>1</v>
      </c>
      <c r="Z66" s="4">
        <v>5</v>
      </c>
      <c r="AA66" s="4">
        <v>1</v>
      </c>
      <c r="AB66" s="4">
        <v>1</v>
      </c>
      <c r="AC66" s="4">
        <v>1</v>
      </c>
      <c r="AD66" s="4">
        <v>1</v>
      </c>
      <c r="AE66" s="4">
        <v>2</v>
      </c>
      <c r="AF66" s="4">
        <v>1</v>
      </c>
      <c r="AG66" s="4">
        <v>0</v>
      </c>
      <c r="AH66" s="4">
        <v>0</v>
      </c>
      <c r="AI66" s="4">
        <v>0</v>
      </c>
      <c r="AJ66" s="4">
        <v>1</v>
      </c>
      <c r="AK66" s="4">
        <v>0</v>
      </c>
      <c r="AL66" s="4">
        <v>0</v>
      </c>
      <c r="AM66" s="4">
        <v>0</v>
      </c>
      <c r="AN66" s="4">
        <v>0</v>
      </c>
      <c r="AO66" s="4">
        <v>0</v>
      </c>
      <c r="AP66" s="4">
        <v>1</v>
      </c>
      <c r="AQ66" s="4">
        <v>0</v>
      </c>
      <c r="AR66" s="4">
        <v>0</v>
      </c>
      <c r="AS66" s="4">
        <v>1</v>
      </c>
      <c r="AT66" s="4">
        <v>1</v>
      </c>
      <c r="AU66" s="4">
        <v>0</v>
      </c>
      <c r="AV66" s="4">
        <v>1</v>
      </c>
      <c r="AW66" s="4">
        <v>0</v>
      </c>
      <c r="AX66" s="4">
        <v>0</v>
      </c>
      <c r="AY66" s="4">
        <v>0</v>
      </c>
      <c r="AZ66" s="4">
        <v>0</v>
      </c>
      <c r="BA66" s="4">
        <v>0</v>
      </c>
      <c r="BB66" s="4">
        <v>0</v>
      </c>
      <c r="BC66" s="4">
        <v>0</v>
      </c>
      <c r="BD66" s="4">
        <v>1</v>
      </c>
      <c r="BE66" s="4">
        <v>0</v>
      </c>
      <c r="BF66" s="4">
        <v>1</v>
      </c>
      <c r="BG66" s="4">
        <v>0</v>
      </c>
      <c r="BH66" s="4">
        <v>0</v>
      </c>
      <c r="BI66" s="4">
        <v>0</v>
      </c>
      <c r="BJ66" s="4">
        <v>0</v>
      </c>
      <c r="BK66" s="4">
        <v>0</v>
      </c>
      <c r="BL66" s="4">
        <v>1</v>
      </c>
      <c r="BM66" s="4">
        <v>0</v>
      </c>
      <c r="BN66" s="4">
        <v>0</v>
      </c>
      <c r="BO66" s="4">
        <v>0</v>
      </c>
    </row>
    <row r="67" spans="1:67" ht="15.95" customHeight="1">
      <c r="A67" s="2" t="s">
        <v>251</v>
      </c>
      <c r="B67" s="4">
        <v>1</v>
      </c>
      <c r="C67" s="4">
        <v>1</v>
      </c>
      <c r="D67" s="4">
        <v>3</v>
      </c>
      <c r="E67" s="4">
        <v>3</v>
      </c>
      <c r="F67" s="4">
        <v>5</v>
      </c>
      <c r="G67" s="4">
        <v>4</v>
      </c>
      <c r="H67" s="4">
        <v>2</v>
      </c>
      <c r="I67" s="4">
        <v>1</v>
      </c>
      <c r="J67" s="4">
        <v>3</v>
      </c>
      <c r="K67" s="4">
        <v>1</v>
      </c>
      <c r="L67" s="4">
        <v>3</v>
      </c>
      <c r="M67" s="4">
        <v>2</v>
      </c>
      <c r="N67" s="4">
        <v>2</v>
      </c>
      <c r="O67" s="4">
        <v>1</v>
      </c>
      <c r="P67" s="4">
        <v>1</v>
      </c>
      <c r="Q67" s="4">
        <v>1</v>
      </c>
      <c r="R67" s="4">
        <v>1</v>
      </c>
      <c r="S67" s="4">
        <v>2</v>
      </c>
      <c r="T67" s="4">
        <v>1</v>
      </c>
      <c r="U67" s="4">
        <v>2</v>
      </c>
      <c r="V67" s="4">
        <v>1</v>
      </c>
      <c r="W67" s="4">
        <v>2</v>
      </c>
      <c r="X67" s="4">
        <v>1</v>
      </c>
      <c r="Y67" s="4">
        <v>1</v>
      </c>
      <c r="Z67" s="4">
        <v>1</v>
      </c>
      <c r="AA67" s="4">
        <v>1</v>
      </c>
      <c r="AB67" s="4">
        <v>1</v>
      </c>
      <c r="AC67" s="4">
        <v>4</v>
      </c>
      <c r="AD67" s="4">
        <v>1</v>
      </c>
      <c r="AE67" s="4">
        <v>1</v>
      </c>
      <c r="AF67" s="4">
        <v>1</v>
      </c>
      <c r="AG67" s="4">
        <v>1</v>
      </c>
      <c r="AH67" s="4">
        <v>1</v>
      </c>
      <c r="AI67" s="4">
        <v>0</v>
      </c>
      <c r="AJ67" s="4">
        <v>0</v>
      </c>
      <c r="AK67" s="4">
        <v>1</v>
      </c>
      <c r="AL67" s="4">
        <v>0</v>
      </c>
      <c r="AM67" s="4">
        <v>1</v>
      </c>
      <c r="AN67" s="4">
        <v>0</v>
      </c>
      <c r="AO67" s="4">
        <v>0</v>
      </c>
      <c r="AP67" s="4">
        <v>0</v>
      </c>
      <c r="AQ67" s="4">
        <v>1</v>
      </c>
      <c r="AR67" s="4">
        <v>1</v>
      </c>
      <c r="AS67" s="4">
        <v>0</v>
      </c>
      <c r="AT67" s="4">
        <v>0</v>
      </c>
      <c r="AU67" s="4">
        <v>1</v>
      </c>
      <c r="AV67" s="4">
        <v>0</v>
      </c>
      <c r="AW67" s="4">
        <v>1</v>
      </c>
      <c r="AX67" s="4">
        <v>0</v>
      </c>
      <c r="AY67" s="4">
        <v>0</v>
      </c>
      <c r="AZ67" s="4">
        <v>0</v>
      </c>
      <c r="BA67" s="4">
        <v>0</v>
      </c>
      <c r="BB67" s="4">
        <v>0</v>
      </c>
      <c r="BC67" s="4">
        <v>0</v>
      </c>
      <c r="BD67" s="4">
        <v>0</v>
      </c>
      <c r="BE67" s="4">
        <v>0</v>
      </c>
      <c r="BF67" s="4">
        <v>0</v>
      </c>
      <c r="BG67" s="4">
        <v>0</v>
      </c>
      <c r="BH67" s="4">
        <v>0</v>
      </c>
      <c r="BI67" s="4">
        <v>0</v>
      </c>
      <c r="BJ67" s="4">
        <v>0</v>
      </c>
      <c r="BK67" s="4">
        <v>0</v>
      </c>
      <c r="BL67" s="4">
        <v>0</v>
      </c>
      <c r="BM67" s="4">
        <v>0</v>
      </c>
      <c r="BN67" s="4">
        <v>0</v>
      </c>
      <c r="BO67" s="4">
        <v>0</v>
      </c>
    </row>
    <row r="68" spans="1:67" ht="15.95" customHeight="1">
      <c r="A68" s="2" t="s">
        <v>252</v>
      </c>
      <c r="B68" s="4">
        <v>1</v>
      </c>
      <c r="C68" s="4">
        <v>2</v>
      </c>
      <c r="D68" s="4">
        <v>4</v>
      </c>
      <c r="E68" s="4">
        <v>2</v>
      </c>
      <c r="F68" s="4">
        <v>1</v>
      </c>
      <c r="G68" s="4">
        <v>1</v>
      </c>
      <c r="H68" s="4">
        <v>1</v>
      </c>
      <c r="I68" s="4">
        <v>1</v>
      </c>
      <c r="J68" s="4">
        <v>5</v>
      </c>
      <c r="K68" s="4">
        <v>1</v>
      </c>
      <c r="L68" s="4">
        <v>1</v>
      </c>
      <c r="M68" s="4">
        <v>1</v>
      </c>
      <c r="N68" s="4">
        <v>1</v>
      </c>
      <c r="O68" s="4">
        <v>1</v>
      </c>
      <c r="P68" s="4">
        <v>1</v>
      </c>
      <c r="Q68" s="4">
        <v>1</v>
      </c>
      <c r="R68" s="4">
        <v>1</v>
      </c>
      <c r="S68" s="4">
        <v>1</v>
      </c>
      <c r="T68" s="4">
        <v>1</v>
      </c>
      <c r="U68" s="4">
        <v>5</v>
      </c>
      <c r="V68" s="4">
        <v>1</v>
      </c>
      <c r="W68" s="4">
        <v>5</v>
      </c>
      <c r="X68" s="4">
        <v>1</v>
      </c>
      <c r="Y68" s="4">
        <v>1</v>
      </c>
      <c r="Z68" s="4">
        <v>1</v>
      </c>
      <c r="AA68" s="4">
        <v>1</v>
      </c>
      <c r="AB68" s="4">
        <v>1</v>
      </c>
      <c r="AC68" s="4">
        <v>1</v>
      </c>
      <c r="AD68" s="4">
        <v>1</v>
      </c>
      <c r="AE68" s="4">
        <v>1</v>
      </c>
      <c r="AF68" s="4">
        <v>1</v>
      </c>
      <c r="AG68" s="4">
        <v>0</v>
      </c>
      <c r="AH68" s="4">
        <v>0</v>
      </c>
      <c r="AI68" s="4">
        <v>0</v>
      </c>
      <c r="AJ68" s="4">
        <v>0</v>
      </c>
      <c r="AK68" s="4">
        <v>1</v>
      </c>
      <c r="AL68" s="4">
        <v>0</v>
      </c>
      <c r="AM68" s="4">
        <v>0</v>
      </c>
      <c r="AN68" s="4">
        <v>0</v>
      </c>
      <c r="AO68" s="4">
        <v>0</v>
      </c>
      <c r="AP68" s="4">
        <v>1</v>
      </c>
      <c r="AQ68" s="4">
        <v>0</v>
      </c>
      <c r="AR68" s="4">
        <v>0</v>
      </c>
      <c r="AS68" s="4">
        <v>0</v>
      </c>
      <c r="AT68" s="4">
        <v>0</v>
      </c>
      <c r="AU68" s="4">
        <v>1</v>
      </c>
      <c r="AV68" s="4">
        <v>0</v>
      </c>
      <c r="AW68" s="4">
        <v>0</v>
      </c>
      <c r="AX68" s="4">
        <v>0</v>
      </c>
      <c r="AY68" s="4">
        <v>0</v>
      </c>
      <c r="AZ68" s="4">
        <v>1</v>
      </c>
      <c r="BA68" s="4">
        <v>0</v>
      </c>
      <c r="BB68" s="4">
        <v>0</v>
      </c>
      <c r="BC68" s="4">
        <v>0</v>
      </c>
      <c r="BD68" s="4">
        <v>0</v>
      </c>
      <c r="BE68" s="4">
        <v>1</v>
      </c>
      <c r="BF68" s="4">
        <v>0</v>
      </c>
      <c r="BG68" s="4">
        <v>0</v>
      </c>
      <c r="BH68" s="4">
        <v>0</v>
      </c>
      <c r="BI68" s="4">
        <v>0</v>
      </c>
      <c r="BJ68" s="4">
        <v>1</v>
      </c>
      <c r="BK68" s="4">
        <v>0</v>
      </c>
      <c r="BL68" s="4">
        <v>0</v>
      </c>
      <c r="BM68" s="4">
        <v>0</v>
      </c>
      <c r="BN68" s="4">
        <v>0</v>
      </c>
      <c r="BO68" s="4">
        <v>1</v>
      </c>
    </row>
    <row r="69" spans="1:67" ht="15.95" customHeight="1">
      <c r="A69" s="2" t="s">
        <v>253</v>
      </c>
      <c r="B69" s="4">
        <v>1</v>
      </c>
      <c r="C69" s="4">
        <v>2</v>
      </c>
      <c r="D69" s="4">
        <v>4</v>
      </c>
      <c r="E69" s="4">
        <v>2</v>
      </c>
      <c r="F69" s="4">
        <v>4</v>
      </c>
      <c r="G69" s="4">
        <v>2</v>
      </c>
      <c r="H69" s="4">
        <v>1</v>
      </c>
      <c r="I69" s="4">
        <v>1</v>
      </c>
      <c r="J69" s="4">
        <v>2</v>
      </c>
      <c r="K69" s="4">
        <v>1</v>
      </c>
      <c r="L69" s="4">
        <v>3</v>
      </c>
      <c r="M69" s="4">
        <v>3</v>
      </c>
      <c r="N69" s="4">
        <v>1</v>
      </c>
      <c r="O69" s="4">
        <v>1</v>
      </c>
      <c r="P69" s="4">
        <v>1</v>
      </c>
      <c r="Q69" s="4">
        <v>1</v>
      </c>
      <c r="R69" s="4">
        <v>1</v>
      </c>
      <c r="S69" s="4">
        <v>5</v>
      </c>
      <c r="T69" s="4">
        <v>1</v>
      </c>
      <c r="U69" s="4">
        <v>5</v>
      </c>
      <c r="V69" s="4">
        <v>1</v>
      </c>
      <c r="W69" s="4">
        <v>5</v>
      </c>
      <c r="X69" s="4">
        <v>1</v>
      </c>
      <c r="Y69" s="4">
        <v>1</v>
      </c>
      <c r="Z69" s="4">
        <v>1</v>
      </c>
      <c r="AA69" s="4">
        <v>1</v>
      </c>
      <c r="AB69" s="4">
        <v>1</v>
      </c>
      <c r="AC69" s="4">
        <v>1</v>
      </c>
      <c r="AD69" s="4">
        <v>1</v>
      </c>
      <c r="AE69" s="4">
        <v>1</v>
      </c>
      <c r="AF69" s="4">
        <v>1</v>
      </c>
      <c r="AG69" s="4">
        <v>1</v>
      </c>
      <c r="AH69" s="4">
        <v>1</v>
      </c>
      <c r="AI69" s="4">
        <v>0</v>
      </c>
      <c r="AJ69" s="4">
        <v>0</v>
      </c>
      <c r="AK69" s="4">
        <v>1</v>
      </c>
      <c r="AL69" s="4">
        <v>1</v>
      </c>
      <c r="AM69" s="4">
        <v>1</v>
      </c>
      <c r="AN69" s="4">
        <v>0</v>
      </c>
      <c r="AO69" s="4">
        <v>0</v>
      </c>
      <c r="AP69" s="4">
        <v>1</v>
      </c>
      <c r="AQ69" s="4">
        <v>1</v>
      </c>
      <c r="AR69" s="4">
        <v>1</v>
      </c>
      <c r="AS69" s="4">
        <v>0</v>
      </c>
      <c r="AT69" s="4">
        <v>0</v>
      </c>
      <c r="AU69" s="4">
        <v>1</v>
      </c>
      <c r="AV69" s="4">
        <v>0</v>
      </c>
      <c r="AW69" s="4">
        <v>0</v>
      </c>
      <c r="AX69" s="4">
        <v>0</v>
      </c>
      <c r="AY69" s="4">
        <v>0</v>
      </c>
      <c r="AZ69" s="4">
        <v>1</v>
      </c>
      <c r="BA69" s="4">
        <v>1</v>
      </c>
      <c r="BB69" s="4">
        <v>0</v>
      </c>
      <c r="BC69" s="4">
        <v>0</v>
      </c>
      <c r="BD69" s="4">
        <v>0</v>
      </c>
      <c r="BE69" s="4">
        <v>0</v>
      </c>
      <c r="BF69" s="4">
        <v>1</v>
      </c>
      <c r="BG69" s="4">
        <v>0</v>
      </c>
      <c r="BH69" s="4">
        <v>0</v>
      </c>
      <c r="BI69" s="4">
        <v>0</v>
      </c>
      <c r="BJ69" s="4">
        <v>0</v>
      </c>
      <c r="BK69" s="4">
        <v>1</v>
      </c>
      <c r="BL69" s="4">
        <v>0</v>
      </c>
      <c r="BM69" s="4">
        <v>0</v>
      </c>
      <c r="BN69" s="4">
        <v>0</v>
      </c>
      <c r="BO69" s="4">
        <v>0</v>
      </c>
    </row>
    <row r="70" spans="1:67" ht="15.95" customHeight="1">
      <c r="A70" s="2" t="s">
        <v>254</v>
      </c>
      <c r="B70" s="4">
        <v>1</v>
      </c>
      <c r="C70" s="4">
        <v>2</v>
      </c>
      <c r="D70" s="4">
        <v>3</v>
      </c>
      <c r="E70" s="4">
        <v>3</v>
      </c>
      <c r="F70" s="4">
        <v>4</v>
      </c>
      <c r="G70" s="4">
        <v>3</v>
      </c>
      <c r="H70" s="4">
        <v>2</v>
      </c>
      <c r="I70" s="4">
        <v>1</v>
      </c>
      <c r="J70" s="4">
        <v>2</v>
      </c>
      <c r="K70" s="4">
        <v>1</v>
      </c>
      <c r="L70" s="4">
        <v>1</v>
      </c>
      <c r="M70" s="4">
        <v>1</v>
      </c>
      <c r="N70" s="4">
        <v>1</v>
      </c>
      <c r="O70" s="4">
        <v>1</v>
      </c>
      <c r="P70" s="4">
        <v>3</v>
      </c>
      <c r="Q70" s="4">
        <v>3</v>
      </c>
      <c r="R70" s="4">
        <v>1</v>
      </c>
      <c r="S70" s="4">
        <v>5</v>
      </c>
      <c r="T70" s="4">
        <v>5</v>
      </c>
      <c r="U70" s="4">
        <v>5</v>
      </c>
      <c r="V70" s="4">
        <v>5</v>
      </c>
      <c r="W70" s="4">
        <v>1</v>
      </c>
      <c r="X70" s="4">
        <v>1</v>
      </c>
      <c r="Y70" s="4">
        <v>5</v>
      </c>
      <c r="Z70" s="4">
        <v>5</v>
      </c>
      <c r="AA70" s="4">
        <v>5</v>
      </c>
      <c r="AB70" s="4">
        <v>5</v>
      </c>
      <c r="AC70" s="4">
        <v>5</v>
      </c>
      <c r="AD70" s="4">
        <v>1</v>
      </c>
      <c r="AE70" s="4">
        <v>2</v>
      </c>
      <c r="AF70" s="4">
        <v>5</v>
      </c>
      <c r="AG70" s="4">
        <v>0</v>
      </c>
      <c r="AH70" s="4">
        <v>1</v>
      </c>
      <c r="AI70" s="4">
        <v>0</v>
      </c>
      <c r="AJ70" s="4">
        <v>0</v>
      </c>
      <c r="AK70" s="4">
        <v>0</v>
      </c>
      <c r="AL70" s="4">
        <v>0</v>
      </c>
      <c r="AM70" s="4">
        <v>1</v>
      </c>
      <c r="AN70" s="4">
        <v>0</v>
      </c>
      <c r="AO70" s="4">
        <v>0</v>
      </c>
      <c r="AP70" s="4">
        <v>0</v>
      </c>
      <c r="AQ70" s="4">
        <v>0</v>
      </c>
      <c r="AR70" s="4">
        <v>1</v>
      </c>
      <c r="AS70" s="4">
        <v>0</v>
      </c>
      <c r="AT70" s="4">
        <v>0</v>
      </c>
      <c r="AU70" s="4">
        <v>0</v>
      </c>
      <c r="AV70" s="4">
        <v>0</v>
      </c>
      <c r="AW70" s="4">
        <v>1</v>
      </c>
      <c r="AX70" s="4">
        <v>0</v>
      </c>
      <c r="AY70" s="4">
        <v>0</v>
      </c>
      <c r="AZ70" s="4">
        <v>0</v>
      </c>
      <c r="BA70" s="4">
        <v>0</v>
      </c>
      <c r="BB70" s="4">
        <v>1</v>
      </c>
      <c r="BC70" s="4">
        <v>0</v>
      </c>
      <c r="BD70" s="4">
        <v>0</v>
      </c>
      <c r="BE70" s="4">
        <v>0</v>
      </c>
      <c r="BF70" s="4">
        <v>1</v>
      </c>
      <c r="BG70" s="4">
        <v>0</v>
      </c>
      <c r="BH70" s="4">
        <v>0</v>
      </c>
      <c r="BI70" s="4">
        <v>0</v>
      </c>
      <c r="BJ70" s="4">
        <v>0</v>
      </c>
      <c r="BK70" s="4">
        <v>0</v>
      </c>
      <c r="BL70" s="4">
        <v>0</v>
      </c>
      <c r="BM70" s="4">
        <v>0</v>
      </c>
      <c r="BN70" s="4">
        <v>0</v>
      </c>
      <c r="BO70" s="4">
        <v>0</v>
      </c>
    </row>
    <row r="71" spans="1:67" ht="15.95" customHeight="1">
      <c r="A71" s="2" t="s">
        <v>255</v>
      </c>
      <c r="B71" s="4">
        <v>1</v>
      </c>
      <c r="C71" s="4">
        <v>2</v>
      </c>
      <c r="D71" s="4">
        <v>5</v>
      </c>
      <c r="E71" s="4">
        <v>4</v>
      </c>
      <c r="F71" s="4">
        <v>5</v>
      </c>
      <c r="G71" s="4">
        <v>2</v>
      </c>
      <c r="H71" s="4">
        <v>1</v>
      </c>
      <c r="I71" s="4">
        <v>1</v>
      </c>
      <c r="J71" s="4">
        <v>2</v>
      </c>
      <c r="K71" s="4">
        <v>1</v>
      </c>
      <c r="L71" s="4">
        <v>4</v>
      </c>
      <c r="M71" s="4">
        <v>2</v>
      </c>
      <c r="N71" s="4">
        <v>3</v>
      </c>
      <c r="O71" s="4">
        <v>1</v>
      </c>
      <c r="P71" s="4">
        <v>1</v>
      </c>
      <c r="Q71" s="4">
        <v>2</v>
      </c>
      <c r="R71" s="4">
        <v>1</v>
      </c>
      <c r="S71" s="4">
        <v>1</v>
      </c>
      <c r="T71" s="4">
        <v>1</v>
      </c>
      <c r="U71" s="4">
        <v>1</v>
      </c>
      <c r="V71" s="4">
        <v>1</v>
      </c>
      <c r="W71" s="4">
        <v>1</v>
      </c>
      <c r="X71" s="4">
        <v>1</v>
      </c>
      <c r="Y71" s="4">
        <v>1</v>
      </c>
      <c r="Z71" s="4">
        <v>2</v>
      </c>
      <c r="AA71" s="4">
        <v>1</v>
      </c>
      <c r="AB71" s="4">
        <v>2</v>
      </c>
      <c r="AC71" s="4">
        <v>1</v>
      </c>
      <c r="AD71" s="4">
        <v>1</v>
      </c>
      <c r="AE71" s="4">
        <v>1</v>
      </c>
      <c r="AF71" s="4">
        <v>1</v>
      </c>
      <c r="AG71" s="4">
        <v>1</v>
      </c>
      <c r="AH71" s="4">
        <v>0</v>
      </c>
      <c r="AI71" s="4">
        <v>0</v>
      </c>
      <c r="AJ71" s="4">
        <v>0</v>
      </c>
      <c r="AK71" s="4">
        <v>0</v>
      </c>
      <c r="AL71" s="4">
        <v>0</v>
      </c>
      <c r="AM71" s="4">
        <v>0</v>
      </c>
      <c r="AN71" s="4">
        <v>0</v>
      </c>
      <c r="AO71" s="4">
        <v>0</v>
      </c>
      <c r="AP71" s="4">
        <v>0</v>
      </c>
      <c r="AQ71" s="4">
        <v>1</v>
      </c>
      <c r="AR71" s="4">
        <v>0</v>
      </c>
      <c r="AS71" s="4">
        <v>0</v>
      </c>
      <c r="AT71" s="4">
        <v>0</v>
      </c>
      <c r="AU71" s="4">
        <v>0</v>
      </c>
      <c r="AV71" s="4">
        <v>0</v>
      </c>
      <c r="AW71" s="4">
        <v>0</v>
      </c>
      <c r="AX71" s="4">
        <v>0</v>
      </c>
      <c r="AY71" s="4">
        <v>0</v>
      </c>
      <c r="AZ71" s="4">
        <v>0</v>
      </c>
      <c r="BA71" s="4">
        <v>0</v>
      </c>
      <c r="BB71" s="4">
        <v>0</v>
      </c>
      <c r="BC71" s="4">
        <v>0</v>
      </c>
      <c r="BD71" s="4">
        <v>0</v>
      </c>
      <c r="BE71" s="4">
        <v>0</v>
      </c>
      <c r="BF71" s="4">
        <v>0</v>
      </c>
      <c r="BG71" s="4">
        <v>0</v>
      </c>
      <c r="BH71" s="4">
        <v>0</v>
      </c>
      <c r="BI71" s="4">
        <v>0</v>
      </c>
      <c r="BJ71" s="4">
        <v>0</v>
      </c>
      <c r="BK71" s="4">
        <v>0</v>
      </c>
      <c r="BL71" s="4">
        <v>0</v>
      </c>
      <c r="BM71" s="4">
        <v>0</v>
      </c>
      <c r="BN71" s="4">
        <v>0</v>
      </c>
      <c r="BO71" s="4">
        <v>0</v>
      </c>
    </row>
    <row r="72" spans="1:67" ht="15.95" customHeight="1">
      <c r="A72" s="2" t="s">
        <v>256</v>
      </c>
      <c r="B72" s="4">
        <v>1</v>
      </c>
      <c r="C72" s="4">
        <v>1</v>
      </c>
      <c r="D72" s="4">
        <v>3</v>
      </c>
      <c r="E72" s="4">
        <v>3</v>
      </c>
      <c r="F72" s="4">
        <v>4</v>
      </c>
      <c r="G72" s="4">
        <v>5</v>
      </c>
      <c r="H72" s="4">
        <v>4</v>
      </c>
      <c r="I72" s="4">
        <v>3</v>
      </c>
      <c r="J72" s="4">
        <v>2</v>
      </c>
      <c r="K72" s="4">
        <v>1</v>
      </c>
      <c r="L72" s="4">
        <v>4</v>
      </c>
      <c r="M72" s="4">
        <v>2</v>
      </c>
      <c r="N72" s="4">
        <v>4</v>
      </c>
      <c r="O72" s="4">
        <v>1</v>
      </c>
      <c r="P72" s="4">
        <v>2</v>
      </c>
      <c r="Q72" s="4">
        <v>1</v>
      </c>
      <c r="R72" s="4">
        <v>1</v>
      </c>
      <c r="S72" s="4">
        <v>2</v>
      </c>
      <c r="T72" s="4">
        <v>1</v>
      </c>
      <c r="U72" s="4">
        <v>2</v>
      </c>
      <c r="V72" s="4">
        <v>1</v>
      </c>
      <c r="W72" s="4">
        <v>3</v>
      </c>
      <c r="X72" s="4">
        <v>1</v>
      </c>
      <c r="Y72" s="4">
        <v>1</v>
      </c>
      <c r="Z72" s="4">
        <v>2</v>
      </c>
      <c r="AA72" s="4">
        <v>5</v>
      </c>
      <c r="AB72" s="4">
        <v>1</v>
      </c>
      <c r="AC72" s="4">
        <v>5</v>
      </c>
      <c r="AD72" s="4">
        <v>1</v>
      </c>
      <c r="AE72" s="4">
        <v>2</v>
      </c>
      <c r="AF72" s="4">
        <v>5</v>
      </c>
      <c r="AG72" s="4">
        <v>0</v>
      </c>
      <c r="AH72" s="4">
        <v>0</v>
      </c>
      <c r="AI72" s="4">
        <v>0</v>
      </c>
      <c r="AJ72" s="4">
        <v>0</v>
      </c>
      <c r="AK72" s="4">
        <v>0</v>
      </c>
      <c r="AL72" s="4">
        <v>0</v>
      </c>
      <c r="AM72" s="4">
        <v>0</v>
      </c>
      <c r="AN72" s="4">
        <v>0</v>
      </c>
      <c r="AO72" s="4">
        <v>0</v>
      </c>
      <c r="AP72" s="4">
        <v>0</v>
      </c>
      <c r="AQ72" s="4">
        <v>0</v>
      </c>
      <c r="AR72" s="4">
        <v>0</v>
      </c>
      <c r="AS72" s="4">
        <v>0</v>
      </c>
      <c r="AT72" s="4">
        <v>0</v>
      </c>
      <c r="AU72" s="4">
        <v>1</v>
      </c>
      <c r="AV72" s="4">
        <v>0</v>
      </c>
      <c r="AW72" s="4">
        <v>0</v>
      </c>
      <c r="AX72" s="4">
        <v>0</v>
      </c>
      <c r="AY72" s="4">
        <v>0</v>
      </c>
      <c r="AZ72" s="4">
        <v>0</v>
      </c>
      <c r="BA72" s="4">
        <v>0</v>
      </c>
      <c r="BB72" s="4">
        <v>1</v>
      </c>
      <c r="BC72" s="4">
        <v>0</v>
      </c>
      <c r="BD72" s="4">
        <v>0</v>
      </c>
      <c r="BE72" s="4">
        <v>0</v>
      </c>
      <c r="BF72" s="4">
        <v>0</v>
      </c>
      <c r="BG72" s="4">
        <v>0</v>
      </c>
      <c r="BH72" s="4">
        <v>0</v>
      </c>
      <c r="BI72" s="4">
        <v>0</v>
      </c>
      <c r="BJ72" s="4">
        <v>0</v>
      </c>
      <c r="BK72" s="4">
        <v>0</v>
      </c>
      <c r="BL72" s="4">
        <v>0</v>
      </c>
      <c r="BM72" s="4">
        <v>0</v>
      </c>
      <c r="BN72" s="4">
        <v>0</v>
      </c>
      <c r="BO72" s="4">
        <v>0</v>
      </c>
    </row>
    <row r="73" spans="1:67" ht="15.95" customHeight="1">
      <c r="A73" s="2" t="s">
        <v>257</v>
      </c>
      <c r="B73" s="4">
        <v>1</v>
      </c>
      <c r="C73" s="4">
        <v>2</v>
      </c>
      <c r="D73" s="4">
        <v>5</v>
      </c>
      <c r="E73" s="4">
        <v>4</v>
      </c>
      <c r="F73" s="4">
        <v>1</v>
      </c>
      <c r="G73" s="4">
        <v>2</v>
      </c>
      <c r="H73" s="4">
        <v>1</v>
      </c>
      <c r="I73" s="4">
        <v>1</v>
      </c>
      <c r="J73" s="4">
        <v>1</v>
      </c>
      <c r="K73" s="4">
        <v>1</v>
      </c>
      <c r="L73" s="4">
        <v>2</v>
      </c>
      <c r="M73" s="4">
        <v>2</v>
      </c>
      <c r="N73" s="4">
        <v>2</v>
      </c>
      <c r="O73" s="4">
        <v>2</v>
      </c>
      <c r="P73" s="4">
        <v>2</v>
      </c>
      <c r="Q73" s="4">
        <v>2</v>
      </c>
      <c r="R73" s="4">
        <v>2</v>
      </c>
      <c r="S73" s="4">
        <v>5</v>
      </c>
      <c r="T73" s="4">
        <v>1</v>
      </c>
      <c r="U73" s="4">
        <v>5</v>
      </c>
      <c r="V73" s="4">
        <v>1</v>
      </c>
      <c r="W73" s="4">
        <v>5</v>
      </c>
      <c r="X73" s="4">
        <v>5</v>
      </c>
      <c r="Y73" s="4">
        <v>1</v>
      </c>
      <c r="Z73" s="4">
        <v>1</v>
      </c>
      <c r="AA73" s="4">
        <v>5</v>
      </c>
      <c r="AB73" s="4">
        <v>1</v>
      </c>
      <c r="AC73" s="4">
        <v>5</v>
      </c>
      <c r="AD73" s="4">
        <v>1</v>
      </c>
      <c r="AE73" s="4">
        <v>1</v>
      </c>
      <c r="AF73" s="4">
        <v>1</v>
      </c>
      <c r="AG73" s="4">
        <v>0</v>
      </c>
      <c r="AH73" s="4">
        <v>0</v>
      </c>
      <c r="AI73" s="4">
        <v>0</v>
      </c>
      <c r="AJ73" s="4">
        <v>0</v>
      </c>
      <c r="AK73" s="4">
        <v>0</v>
      </c>
      <c r="AL73" s="4">
        <v>0</v>
      </c>
      <c r="AM73" s="4">
        <v>0</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4">
        <v>0</v>
      </c>
      <c r="BF73" s="4">
        <v>0</v>
      </c>
      <c r="BG73" s="4">
        <v>0</v>
      </c>
      <c r="BH73" s="4">
        <v>0</v>
      </c>
      <c r="BI73" s="4">
        <v>0</v>
      </c>
      <c r="BJ73" s="4">
        <v>0</v>
      </c>
      <c r="BK73" s="4">
        <v>0</v>
      </c>
      <c r="BL73" s="4">
        <v>0</v>
      </c>
      <c r="BM73" s="4">
        <v>0</v>
      </c>
      <c r="BN73" s="4">
        <v>0</v>
      </c>
      <c r="BO73" s="4">
        <v>0</v>
      </c>
    </row>
    <row r="74" spans="1:67" ht="15.95" customHeight="1">
      <c r="A74" s="2" t="s">
        <v>258</v>
      </c>
      <c r="B74" s="4">
        <v>1</v>
      </c>
      <c r="C74" s="4">
        <v>2</v>
      </c>
      <c r="D74" s="4">
        <v>5</v>
      </c>
      <c r="E74" s="4">
        <v>2</v>
      </c>
      <c r="F74" s="4">
        <v>5</v>
      </c>
      <c r="G74" s="4">
        <v>5</v>
      </c>
      <c r="H74" s="4">
        <v>1</v>
      </c>
      <c r="I74" s="4">
        <v>1</v>
      </c>
      <c r="J74" s="4">
        <v>2</v>
      </c>
      <c r="K74" s="4">
        <v>1</v>
      </c>
      <c r="L74" s="4">
        <v>1</v>
      </c>
      <c r="M74" s="4">
        <v>1</v>
      </c>
      <c r="N74" s="4">
        <v>2</v>
      </c>
      <c r="O74" s="4">
        <v>1</v>
      </c>
      <c r="P74" s="4">
        <v>2</v>
      </c>
      <c r="Q74" s="4">
        <v>1</v>
      </c>
      <c r="R74" s="4">
        <v>1</v>
      </c>
      <c r="S74" s="4">
        <v>2</v>
      </c>
      <c r="T74" s="4">
        <v>2</v>
      </c>
      <c r="U74" s="4">
        <v>2</v>
      </c>
      <c r="V74" s="4">
        <v>1</v>
      </c>
      <c r="W74" s="4">
        <v>3</v>
      </c>
      <c r="X74" s="4">
        <v>2</v>
      </c>
      <c r="Y74" s="4">
        <v>1</v>
      </c>
      <c r="Z74" s="4">
        <v>1</v>
      </c>
      <c r="AA74" s="4">
        <v>1</v>
      </c>
      <c r="AB74" s="4">
        <v>1</v>
      </c>
      <c r="AC74" s="4">
        <v>1</v>
      </c>
      <c r="AD74" s="4">
        <v>1</v>
      </c>
      <c r="AE74" s="4">
        <v>1</v>
      </c>
      <c r="AF74" s="4">
        <v>1</v>
      </c>
      <c r="AG74" s="4">
        <v>0</v>
      </c>
      <c r="AH74" s="4">
        <v>0</v>
      </c>
      <c r="AI74" s="4">
        <v>1</v>
      </c>
      <c r="AJ74" s="4">
        <v>1</v>
      </c>
      <c r="AK74" s="4">
        <v>1</v>
      </c>
      <c r="AL74" s="4">
        <v>0</v>
      </c>
      <c r="AM74" s="4">
        <v>0</v>
      </c>
      <c r="AN74" s="4">
        <v>1</v>
      </c>
      <c r="AO74" s="4">
        <v>1</v>
      </c>
      <c r="AP74" s="4">
        <v>1</v>
      </c>
      <c r="AQ74" s="4">
        <v>0</v>
      </c>
      <c r="AR74" s="4">
        <v>0</v>
      </c>
      <c r="AS74" s="4">
        <v>1</v>
      </c>
      <c r="AT74" s="4">
        <v>1</v>
      </c>
      <c r="AU74" s="4">
        <v>1</v>
      </c>
      <c r="AV74" s="4">
        <v>0</v>
      </c>
      <c r="AW74" s="4">
        <v>0</v>
      </c>
      <c r="AX74" s="4">
        <v>1</v>
      </c>
      <c r="AY74" s="4">
        <v>1</v>
      </c>
      <c r="AZ74" s="4">
        <v>1</v>
      </c>
      <c r="BA74" s="4">
        <v>0</v>
      </c>
      <c r="BB74" s="4">
        <v>0</v>
      </c>
      <c r="BC74" s="4">
        <v>1</v>
      </c>
      <c r="BD74" s="4">
        <v>1</v>
      </c>
      <c r="BE74" s="4">
        <v>1</v>
      </c>
      <c r="BF74" s="4">
        <v>0</v>
      </c>
      <c r="BG74" s="4">
        <v>0</v>
      </c>
      <c r="BH74" s="4">
        <v>1</v>
      </c>
      <c r="BI74" s="4">
        <v>1</v>
      </c>
      <c r="BJ74" s="4">
        <v>1</v>
      </c>
      <c r="BK74" s="4">
        <v>0</v>
      </c>
      <c r="BL74" s="4">
        <v>0</v>
      </c>
      <c r="BM74" s="4">
        <v>1</v>
      </c>
      <c r="BN74" s="4">
        <v>1</v>
      </c>
      <c r="BO74" s="4">
        <v>1</v>
      </c>
    </row>
    <row r="75" spans="1:67" ht="15.95" customHeight="1">
      <c r="A75" s="2" t="s">
        <v>259</v>
      </c>
      <c r="B75" s="4">
        <v>1</v>
      </c>
      <c r="C75" s="4">
        <v>2</v>
      </c>
      <c r="D75" s="4">
        <v>4</v>
      </c>
      <c r="E75" s="4">
        <v>2</v>
      </c>
      <c r="F75" s="4">
        <v>3</v>
      </c>
      <c r="G75" s="4">
        <v>3</v>
      </c>
      <c r="H75" s="4">
        <v>1</v>
      </c>
      <c r="I75" s="4">
        <v>1</v>
      </c>
      <c r="J75" s="4">
        <v>3</v>
      </c>
      <c r="K75" s="4">
        <v>1</v>
      </c>
      <c r="L75" s="4">
        <v>4</v>
      </c>
      <c r="M75" s="4">
        <v>1</v>
      </c>
      <c r="N75" s="4">
        <v>4</v>
      </c>
      <c r="O75" s="4">
        <v>1</v>
      </c>
      <c r="P75" s="4">
        <v>1</v>
      </c>
      <c r="Q75" s="4">
        <v>3</v>
      </c>
      <c r="R75" s="4">
        <v>1</v>
      </c>
      <c r="S75" s="4">
        <v>2</v>
      </c>
      <c r="T75" s="4">
        <v>5</v>
      </c>
      <c r="U75" s="4">
        <v>5</v>
      </c>
      <c r="V75" s="4">
        <v>1</v>
      </c>
      <c r="W75" s="4">
        <v>1</v>
      </c>
      <c r="X75" s="4">
        <v>1</v>
      </c>
      <c r="Y75" s="4">
        <v>5</v>
      </c>
      <c r="Z75" s="4">
        <v>2</v>
      </c>
      <c r="AA75" s="4">
        <v>1</v>
      </c>
      <c r="AB75" s="4">
        <v>5</v>
      </c>
      <c r="AC75" s="4">
        <v>5</v>
      </c>
      <c r="AD75" s="4">
        <v>1</v>
      </c>
      <c r="AE75" s="4">
        <v>5</v>
      </c>
      <c r="AF75" s="4">
        <v>1</v>
      </c>
      <c r="AG75" s="4">
        <v>1</v>
      </c>
      <c r="AH75" s="4">
        <v>1</v>
      </c>
      <c r="AI75" s="4">
        <v>1</v>
      </c>
      <c r="AJ75" s="4">
        <v>1</v>
      </c>
      <c r="AK75" s="4">
        <v>1</v>
      </c>
      <c r="AL75" s="4">
        <v>1</v>
      </c>
      <c r="AM75" s="4">
        <v>1</v>
      </c>
      <c r="AN75" s="4">
        <v>1</v>
      </c>
      <c r="AO75" s="4">
        <v>1</v>
      </c>
      <c r="AP75" s="4">
        <v>0</v>
      </c>
      <c r="AQ75" s="4">
        <v>1</v>
      </c>
      <c r="AR75" s="4">
        <v>1</v>
      </c>
      <c r="AS75" s="4">
        <v>1</v>
      </c>
      <c r="AT75" s="4">
        <v>1</v>
      </c>
      <c r="AU75" s="4">
        <v>0</v>
      </c>
      <c r="AV75" s="4">
        <v>1</v>
      </c>
      <c r="AW75" s="4">
        <v>1</v>
      </c>
      <c r="AX75" s="4">
        <v>1</v>
      </c>
      <c r="AY75" s="4">
        <v>1</v>
      </c>
      <c r="AZ75" s="4">
        <v>0</v>
      </c>
      <c r="BA75" s="4">
        <v>1</v>
      </c>
      <c r="BB75" s="4">
        <v>1</v>
      </c>
      <c r="BC75" s="4">
        <v>1</v>
      </c>
      <c r="BD75" s="4">
        <v>1</v>
      </c>
      <c r="BE75" s="4">
        <v>0</v>
      </c>
      <c r="BF75" s="4">
        <v>1</v>
      </c>
      <c r="BG75" s="4">
        <v>1</v>
      </c>
      <c r="BH75" s="4">
        <v>1</v>
      </c>
      <c r="BI75" s="4">
        <v>1</v>
      </c>
      <c r="BJ75" s="4">
        <v>0</v>
      </c>
      <c r="BK75" s="4">
        <v>1</v>
      </c>
      <c r="BL75" s="4">
        <v>1</v>
      </c>
      <c r="BM75" s="4">
        <v>1</v>
      </c>
      <c r="BN75" s="4">
        <v>1</v>
      </c>
      <c r="BO75" s="4">
        <v>0</v>
      </c>
    </row>
    <row r="76" spans="1:67" ht="15.95" customHeight="1">
      <c r="A76" s="2" t="s">
        <v>260</v>
      </c>
      <c r="B76" s="4">
        <v>1</v>
      </c>
      <c r="C76" s="4">
        <v>2</v>
      </c>
      <c r="D76" s="4">
        <v>5</v>
      </c>
      <c r="E76" s="4">
        <v>3</v>
      </c>
      <c r="F76" s="4">
        <v>3</v>
      </c>
      <c r="G76" s="4">
        <v>3</v>
      </c>
      <c r="H76" s="4">
        <v>1</v>
      </c>
      <c r="I76" s="4">
        <v>1</v>
      </c>
      <c r="J76" s="4">
        <v>3</v>
      </c>
      <c r="K76" s="4">
        <v>1</v>
      </c>
      <c r="L76" s="4">
        <v>1</v>
      </c>
      <c r="M76" s="4">
        <v>1</v>
      </c>
      <c r="N76" s="4">
        <v>1</v>
      </c>
      <c r="O76" s="4">
        <v>1</v>
      </c>
      <c r="P76" s="4">
        <v>1</v>
      </c>
      <c r="Q76" s="4">
        <v>2</v>
      </c>
      <c r="R76" s="4">
        <v>1</v>
      </c>
      <c r="S76" s="4">
        <v>1</v>
      </c>
      <c r="T76" s="4">
        <v>1</v>
      </c>
      <c r="U76" s="4">
        <v>1</v>
      </c>
      <c r="V76" s="4">
        <v>1</v>
      </c>
      <c r="W76" s="4">
        <v>1</v>
      </c>
      <c r="X76" s="4">
        <v>1</v>
      </c>
      <c r="Y76" s="4">
        <v>1</v>
      </c>
      <c r="Z76" s="4">
        <v>5</v>
      </c>
      <c r="AA76" s="4">
        <v>1</v>
      </c>
      <c r="AB76" s="4">
        <v>1</v>
      </c>
      <c r="AC76" s="4">
        <v>1</v>
      </c>
      <c r="AD76" s="4">
        <v>1</v>
      </c>
      <c r="AE76" s="4">
        <v>1</v>
      </c>
      <c r="AF76" s="4">
        <v>1</v>
      </c>
      <c r="AG76" s="4">
        <v>1</v>
      </c>
      <c r="AH76" s="4">
        <v>0</v>
      </c>
      <c r="AI76" s="4">
        <v>0</v>
      </c>
      <c r="AJ76" s="4">
        <v>0</v>
      </c>
      <c r="AK76" s="4">
        <v>0</v>
      </c>
      <c r="AL76" s="4">
        <v>1</v>
      </c>
      <c r="AM76" s="4">
        <v>0</v>
      </c>
      <c r="AN76" s="4">
        <v>0</v>
      </c>
      <c r="AO76" s="4">
        <v>0</v>
      </c>
      <c r="AP76" s="4">
        <v>0</v>
      </c>
      <c r="AQ76" s="4">
        <v>1</v>
      </c>
      <c r="AR76" s="4">
        <v>0</v>
      </c>
      <c r="AS76" s="4">
        <v>0</v>
      </c>
      <c r="AT76" s="4">
        <v>0</v>
      </c>
      <c r="AU76" s="4">
        <v>0</v>
      </c>
      <c r="AV76" s="4">
        <v>1</v>
      </c>
      <c r="AW76" s="4">
        <v>0</v>
      </c>
      <c r="AX76" s="4">
        <v>0</v>
      </c>
      <c r="AY76" s="4">
        <v>0</v>
      </c>
      <c r="AZ76" s="4">
        <v>0</v>
      </c>
      <c r="BA76" s="4">
        <v>1</v>
      </c>
      <c r="BB76" s="4">
        <v>0</v>
      </c>
      <c r="BC76" s="4">
        <v>0</v>
      </c>
      <c r="BD76" s="4">
        <v>0</v>
      </c>
      <c r="BE76" s="4">
        <v>0</v>
      </c>
      <c r="BF76" s="4">
        <v>1</v>
      </c>
      <c r="BG76" s="4">
        <v>0</v>
      </c>
      <c r="BH76" s="4">
        <v>0</v>
      </c>
      <c r="BI76" s="4">
        <v>0</v>
      </c>
      <c r="BJ76" s="4">
        <v>0</v>
      </c>
      <c r="BK76" s="4">
        <v>1</v>
      </c>
      <c r="BL76" s="4">
        <v>0</v>
      </c>
      <c r="BM76" s="4">
        <v>0</v>
      </c>
      <c r="BN76" s="4">
        <v>0</v>
      </c>
      <c r="BO76" s="4">
        <v>0</v>
      </c>
    </row>
    <row r="77" spans="1:67" ht="15.95" customHeight="1">
      <c r="A77" s="2" t="s">
        <v>261</v>
      </c>
      <c r="B77" s="4">
        <v>1</v>
      </c>
      <c r="C77" s="4">
        <v>1</v>
      </c>
      <c r="D77" s="4">
        <v>4</v>
      </c>
      <c r="E77" s="4">
        <v>3</v>
      </c>
      <c r="F77" s="4">
        <v>5</v>
      </c>
      <c r="G77" s="4">
        <v>2</v>
      </c>
      <c r="H77" s="4">
        <v>1</v>
      </c>
      <c r="I77" s="4">
        <v>1</v>
      </c>
      <c r="J77" s="4">
        <v>4</v>
      </c>
      <c r="K77" s="4">
        <v>1</v>
      </c>
      <c r="L77" s="4">
        <v>1</v>
      </c>
      <c r="M77" s="4">
        <v>1</v>
      </c>
      <c r="N77" s="4">
        <v>1</v>
      </c>
      <c r="O77" s="4">
        <v>1</v>
      </c>
      <c r="P77" s="4">
        <v>1</v>
      </c>
      <c r="Q77" s="4">
        <v>1</v>
      </c>
      <c r="R77" s="4">
        <v>1</v>
      </c>
      <c r="S77" s="4">
        <v>2</v>
      </c>
      <c r="T77" s="4">
        <v>1</v>
      </c>
      <c r="U77" s="4">
        <v>5</v>
      </c>
      <c r="V77" s="4">
        <v>1</v>
      </c>
      <c r="W77" s="4">
        <v>3</v>
      </c>
      <c r="X77" s="4">
        <v>1</v>
      </c>
      <c r="Y77" s="4">
        <v>1</v>
      </c>
      <c r="Z77" s="4">
        <v>5</v>
      </c>
      <c r="AA77" s="4">
        <v>5</v>
      </c>
      <c r="AB77" s="4">
        <v>5</v>
      </c>
      <c r="AC77" s="4">
        <v>5</v>
      </c>
      <c r="AD77" s="4">
        <v>5</v>
      </c>
      <c r="AE77" s="4">
        <v>5</v>
      </c>
      <c r="AF77" s="4">
        <v>5</v>
      </c>
      <c r="AG77" s="4">
        <v>0</v>
      </c>
      <c r="AH77" s="4">
        <v>0</v>
      </c>
      <c r="AI77" s="4">
        <v>0</v>
      </c>
      <c r="AJ77" s="4">
        <v>0</v>
      </c>
      <c r="AK77" s="4">
        <v>0</v>
      </c>
      <c r="AL77" s="4">
        <v>0</v>
      </c>
      <c r="AM77" s="4">
        <v>0</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4">
        <v>0</v>
      </c>
      <c r="BF77" s="4">
        <v>0</v>
      </c>
      <c r="BG77" s="4">
        <v>0</v>
      </c>
      <c r="BH77" s="4">
        <v>0</v>
      </c>
      <c r="BI77" s="4">
        <v>0</v>
      </c>
      <c r="BJ77" s="4">
        <v>0</v>
      </c>
      <c r="BK77" s="4">
        <v>0</v>
      </c>
      <c r="BL77" s="4">
        <v>0</v>
      </c>
      <c r="BM77" s="4">
        <v>0</v>
      </c>
      <c r="BN77" s="4">
        <v>0</v>
      </c>
      <c r="BO77" s="4">
        <v>0</v>
      </c>
    </row>
    <row r="78" spans="1:67" ht="15.95" customHeight="1">
      <c r="A78" s="2" t="s">
        <v>262</v>
      </c>
      <c r="B78" s="4">
        <v>1</v>
      </c>
      <c r="C78" s="4">
        <v>2</v>
      </c>
      <c r="D78" s="4">
        <v>3</v>
      </c>
      <c r="E78" s="4">
        <v>3</v>
      </c>
      <c r="F78" s="4">
        <v>5</v>
      </c>
      <c r="G78" s="4">
        <v>2</v>
      </c>
      <c r="H78" s="4">
        <v>1</v>
      </c>
      <c r="I78" s="4">
        <v>1</v>
      </c>
      <c r="J78" s="4">
        <v>2</v>
      </c>
      <c r="K78" s="4">
        <v>1</v>
      </c>
      <c r="L78" s="4">
        <v>1</v>
      </c>
      <c r="M78" s="4">
        <v>1</v>
      </c>
      <c r="N78" s="4">
        <v>2</v>
      </c>
      <c r="O78" s="4">
        <v>1</v>
      </c>
      <c r="P78" s="4">
        <v>1</v>
      </c>
      <c r="Q78" s="4">
        <v>1</v>
      </c>
      <c r="R78" s="4">
        <v>1</v>
      </c>
      <c r="S78" s="4">
        <v>2</v>
      </c>
      <c r="T78" s="4">
        <v>1</v>
      </c>
      <c r="U78" s="4">
        <v>2</v>
      </c>
      <c r="V78" s="4">
        <v>1</v>
      </c>
      <c r="W78" s="4">
        <v>2</v>
      </c>
      <c r="X78" s="4">
        <v>1</v>
      </c>
      <c r="Y78" s="4">
        <v>1</v>
      </c>
      <c r="Z78" s="4">
        <v>1</v>
      </c>
      <c r="AA78" s="4">
        <v>1</v>
      </c>
      <c r="AB78" s="4">
        <v>1</v>
      </c>
      <c r="AC78" s="4">
        <v>1</v>
      </c>
      <c r="AD78" s="4">
        <v>1</v>
      </c>
      <c r="AE78" s="4">
        <v>1</v>
      </c>
      <c r="AF78" s="4">
        <v>1</v>
      </c>
      <c r="AG78" s="4">
        <v>0</v>
      </c>
      <c r="AH78" s="4">
        <v>0</v>
      </c>
      <c r="AI78" s="4">
        <v>0</v>
      </c>
      <c r="AJ78" s="4">
        <v>0</v>
      </c>
      <c r="AK78" s="4">
        <v>0</v>
      </c>
      <c r="AL78" s="4">
        <v>0</v>
      </c>
      <c r="AM78" s="4">
        <v>0</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4">
        <v>0</v>
      </c>
      <c r="BF78" s="4">
        <v>0</v>
      </c>
      <c r="BG78" s="4">
        <v>0</v>
      </c>
      <c r="BH78" s="4">
        <v>0</v>
      </c>
      <c r="BI78" s="4">
        <v>0</v>
      </c>
      <c r="BJ78" s="4">
        <v>0</v>
      </c>
      <c r="BK78" s="4">
        <v>0</v>
      </c>
      <c r="BL78" s="4">
        <v>0</v>
      </c>
      <c r="BM78" s="4">
        <v>0</v>
      </c>
      <c r="BN78" s="4">
        <v>0</v>
      </c>
      <c r="BO78" s="4">
        <v>0</v>
      </c>
    </row>
    <row r="79" spans="1:67" ht="15.95" customHeight="1">
      <c r="A79" s="2" t="s">
        <v>263</v>
      </c>
      <c r="B79" s="4">
        <v>1</v>
      </c>
      <c r="C79" s="4">
        <v>2</v>
      </c>
      <c r="D79" s="4">
        <v>5</v>
      </c>
      <c r="E79" s="4">
        <v>3</v>
      </c>
      <c r="F79" s="4">
        <v>5</v>
      </c>
      <c r="G79" s="4">
        <v>2</v>
      </c>
      <c r="H79" s="4">
        <v>2</v>
      </c>
      <c r="I79" s="4">
        <v>1</v>
      </c>
      <c r="J79" s="4">
        <v>2</v>
      </c>
      <c r="K79" s="4">
        <v>1</v>
      </c>
      <c r="L79" s="4">
        <v>1</v>
      </c>
      <c r="M79" s="4">
        <v>2</v>
      </c>
      <c r="N79" s="4">
        <v>2</v>
      </c>
      <c r="O79" s="4">
        <v>1</v>
      </c>
      <c r="P79" s="4">
        <v>2</v>
      </c>
      <c r="Q79" s="4">
        <v>1</v>
      </c>
      <c r="R79" s="4">
        <v>1</v>
      </c>
      <c r="S79" s="4">
        <v>2</v>
      </c>
      <c r="T79" s="4">
        <v>1</v>
      </c>
      <c r="U79" s="4">
        <v>2</v>
      </c>
      <c r="V79" s="4">
        <v>1</v>
      </c>
      <c r="W79" s="4">
        <v>2</v>
      </c>
      <c r="X79" s="4">
        <v>1</v>
      </c>
      <c r="Y79" s="4">
        <v>1</v>
      </c>
      <c r="Z79" s="4">
        <v>1</v>
      </c>
      <c r="AA79" s="4">
        <v>2</v>
      </c>
      <c r="AB79" s="4">
        <v>2</v>
      </c>
      <c r="AC79" s="4">
        <v>1</v>
      </c>
      <c r="AD79" s="4">
        <v>1</v>
      </c>
      <c r="AE79" s="4">
        <v>1</v>
      </c>
      <c r="AF79" s="4">
        <v>1</v>
      </c>
      <c r="AG79" s="4">
        <v>1</v>
      </c>
      <c r="AH79" s="4">
        <v>0</v>
      </c>
      <c r="AI79" s="4">
        <v>0</v>
      </c>
      <c r="AJ79" s="4">
        <v>0</v>
      </c>
      <c r="AK79" s="4">
        <v>0</v>
      </c>
      <c r="AL79" s="4">
        <v>1</v>
      </c>
      <c r="AM79" s="4">
        <v>1</v>
      </c>
      <c r="AN79" s="4">
        <v>0</v>
      </c>
      <c r="AO79" s="4">
        <v>0</v>
      </c>
      <c r="AP79" s="4">
        <v>0</v>
      </c>
      <c r="AQ79" s="4">
        <v>1</v>
      </c>
      <c r="AR79" s="4">
        <v>1</v>
      </c>
      <c r="AS79" s="4">
        <v>0</v>
      </c>
      <c r="AT79" s="4">
        <v>0</v>
      </c>
      <c r="AU79" s="4">
        <v>0</v>
      </c>
      <c r="AV79" s="4">
        <v>0</v>
      </c>
      <c r="AW79" s="4">
        <v>1</v>
      </c>
      <c r="AX79" s="4">
        <v>0</v>
      </c>
      <c r="AY79" s="4">
        <v>0</v>
      </c>
      <c r="AZ79" s="4">
        <v>0</v>
      </c>
      <c r="BA79" s="4">
        <v>1</v>
      </c>
      <c r="BB79" s="4">
        <v>1</v>
      </c>
      <c r="BC79" s="4">
        <v>0</v>
      </c>
      <c r="BD79" s="4">
        <v>0</v>
      </c>
      <c r="BE79" s="4">
        <v>0</v>
      </c>
      <c r="BF79" s="4">
        <v>1</v>
      </c>
      <c r="BG79" s="4">
        <v>0</v>
      </c>
      <c r="BH79" s="4">
        <v>0</v>
      </c>
      <c r="BI79" s="4">
        <v>0</v>
      </c>
      <c r="BJ79" s="4">
        <v>0</v>
      </c>
      <c r="BK79" s="4">
        <v>1</v>
      </c>
      <c r="BL79" s="4">
        <v>0</v>
      </c>
      <c r="BM79" s="4">
        <v>0</v>
      </c>
      <c r="BN79" s="4">
        <v>0</v>
      </c>
      <c r="BO79" s="4">
        <v>0</v>
      </c>
    </row>
    <row r="80" spans="1:67" ht="15.95" customHeight="1">
      <c r="A80" s="2" t="s">
        <v>264</v>
      </c>
      <c r="B80" s="4">
        <v>1</v>
      </c>
      <c r="C80" s="4">
        <v>2</v>
      </c>
      <c r="D80" s="4">
        <v>5</v>
      </c>
      <c r="E80" s="4">
        <v>4</v>
      </c>
      <c r="F80" s="4">
        <v>2</v>
      </c>
      <c r="G80" s="4">
        <v>2</v>
      </c>
      <c r="H80" s="4">
        <v>1</v>
      </c>
      <c r="I80" s="4">
        <v>1</v>
      </c>
      <c r="J80" s="4">
        <v>4</v>
      </c>
      <c r="K80" s="4">
        <v>1</v>
      </c>
      <c r="L80" s="4">
        <v>1</v>
      </c>
      <c r="M80" s="4">
        <v>1</v>
      </c>
      <c r="N80" s="4">
        <v>2</v>
      </c>
      <c r="O80" s="4">
        <v>1</v>
      </c>
      <c r="P80" s="4">
        <v>2</v>
      </c>
      <c r="Q80" s="4">
        <v>1</v>
      </c>
      <c r="R80" s="4">
        <v>1</v>
      </c>
      <c r="S80" s="4">
        <v>5</v>
      </c>
      <c r="T80" s="4">
        <v>1</v>
      </c>
      <c r="U80" s="4">
        <v>5</v>
      </c>
      <c r="V80" s="4">
        <v>1</v>
      </c>
      <c r="W80" s="4">
        <v>2</v>
      </c>
      <c r="X80" s="4">
        <v>1</v>
      </c>
      <c r="Y80" s="4">
        <v>5</v>
      </c>
      <c r="Z80" s="4">
        <v>1</v>
      </c>
      <c r="AA80" s="4">
        <v>1</v>
      </c>
      <c r="AB80" s="4">
        <v>1</v>
      </c>
      <c r="AC80" s="4">
        <v>1</v>
      </c>
      <c r="AD80" s="4">
        <v>2</v>
      </c>
      <c r="AE80" s="4">
        <v>1</v>
      </c>
      <c r="AF80" s="4">
        <v>5</v>
      </c>
      <c r="AG80" s="4">
        <v>0</v>
      </c>
      <c r="AH80" s="4">
        <v>1</v>
      </c>
      <c r="AI80" s="4">
        <v>0</v>
      </c>
      <c r="AJ80" s="4">
        <v>0</v>
      </c>
      <c r="AK80" s="4">
        <v>0</v>
      </c>
      <c r="AL80" s="4">
        <v>0</v>
      </c>
      <c r="AM80" s="4">
        <v>0</v>
      </c>
      <c r="AN80" s="4">
        <v>0</v>
      </c>
      <c r="AO80" s="4">
        <v>0</v>
      </c>
      <c r="AP80" s="4">
        <v>0</v>
      </c>
      <c r="AQ80" s="4">
        <v>0</v>
      </c>
      <c r="AR80" s="4">
        <v>1</v>
      </c>
      <c r="AS80" s="4">
        <v>0</v>
      </c>
      <c r="AT80" s="4">
        <v>0</v>
      </c>
      <c r="AU80" s="4">
        <v>0</v>
      </c>
      <c r="AV80" s="4">
        <v>0</v>
      </c>
      <c r="AW80" s="4">
        <v>0</v>
      </c>
      <c r="AX80" s="4">
        <v>0</v>
      </c>
      <c r="AY80" s="4">
        <v>0</v>
      </c>
      <c r="AZ80" s="4">
        <v>0</v>
      </c>
      <c r="BA80" s="4">
        <v>0</v>
      </c>
      <c r="BB80" s="4">
        <v>1</v>
      </c>
      <c r="BC80" s="4">
        <v>0</v>
      </c>
      <c r="BD80" s="4">
        <v>0</v>
      </c>
      <c r="BE80" s="4">
        <v>0</v>
      </c>
      <c r="BF80" s="4">
        <v>0</v>
      </c>
      <c r="BG80" s="4">
        <v>0</v>
      </c>
      <c r="BH80" s="4">
        <v>0</v>
      </c>
      <c r="BI80" s="4">
        <v>0</v>
      </c>
      <c r="BJ80" s="4">
        <v>0</v>
      </c>
      <c r="BK80" s="4">
        <v>0</v>
      </c>
      <c r="BL80" s="4">
        <v>0</v>
      </c>
      <c r="BM80" s="4">
        <v>0</v>
      </c>
      <c r="BN80" s="4">
        <v>0</v>
      </c>
      <c r="BO80" s="4">
        <v>0</v>
      </c>
    </row>
    <row r="81" spans="1:67" ht="15.95" customHeight="1">
      <c r="A81" s="2" t="s">
        <v>265</v>
      </c>
      <c r="B81" s="4">
        <v>1</v>
      </c>
      <c r="C81" s="4">
        <v>2</v>
      </c>
      <c r="D81" s="4">
        <v>3</v>
      </c>
      <c r="E81" s="4">
        <v>3</v>
      </c>
      <c r="F81" s="4">
        <v>5</v>
      </c>
      <c r="G81" s="4">
        <v>2</v>
      </c>
      <c r="H81" s="4">
        <v>2</v>
      </c>
      <c r="I81" s="4">
        <v>1</v>
      </c>
      <c r="J81" s="4">
        <v>2</v>
      </c>
      <c r="K81" s="4">
        <v>1</v>
      </c>
      <c r="L81" s="4">
        <v>4</v>
      </c>
      <c r="M81" s="4">
        <v>2</v>
      </c>
      <c r="N81" s="4">
        <v>2</v>
      </c>
      <c r="O81" s="4">
        <v>2</v>
      </c>
      <c r="P81" s="4">
        <v>1</v>
      </c>
      <c r="Q81" s="4">
        <v>3</v>
      </c>
      <c r="R81" s="4">
        <v>1</v>
      </c>
      <c r="S81" s="4">
        <v>4</v>
      </c>
      <c r="T81" s="4">
        <v>2</v>
      </c>
      <c r="U81" s="4">
        <v>2</v>
      </c>
      <c r="V81" s="4">
        <v>1</v>
      </c>
      <c r="W81" s="4">
        <v>3</v>
      </c>
      <c r="X81" s="4">
        <v>1</v>
      </c>
      <c r="Y81" s="4">
        <v>1</v>
      </c>
      <c r="Z81" s="4">
        <v>1</v>
      </c>
      <c r="AA81" s="4">
        <v>1</v>
      </c>
      <c r="AB81" s="4">
        <v>1</v>
      </c>
      <c r="AC81" s="4">
        <v>1</v>
      </c>
      <c r="AD81" s="4">
        <v>1</v>
      </c>
      <c r="AE81" s="4">
        <v>1</v>
      </c>
      <c r="AF81" s="4">
        <v>1</v>
      </c>
      <c r="AG81" s="4">
        <v>0</v>
      </c>
      <c r="AH81" s="4">
        <v>0</v>
      </c>
      <c r="AI81" s="4">
        <v>0</v>
      </c>
      <c r="AJ81" s="4">
        <v>0</v>
      </c>
      <c r="AK81" s="4">
        <v>1</v>
      </c>
      <c r="AL81" s="4">
        <v>0</v>
      </c>
      <c r="AM81" s="4">
        <v>0</v>
      </c>
      <c r="AN81" s="4">
        <v>0</v>
      </c>
      <c r="AO81" s="4">
        <v>0</v>
      </c>
      <c r="AP81" s="4">
        <v>1</v>
      </c>
      <c r="AQ81" s="4">
        <v>0</v>
      </c>
      <c r="AR81" s="4">
        <v>0</v>
      </c>
      <c r="AS81" s="4">
        <v>0</v>
      </c>
      <c r="AT81" s="4">
        <v>0</v>
      </c>
      <c r="AU81" s="4">
        <v>1</v>
      </c>
      <c r="AV81" s="4">
        <v>1</v>
      </c>
      <c r="AW81" s="4">
        <v>0</v>
      </c>
      <c r="AX81" s="4">
        <v>0</v>
      </c>
      <c r="AY81" s="4">
        <v>0</v>
      </c>
      <c r="AZ81" s="4">
        <v>0</v>
      </c>
      <c r="BA81" s="4">
        <v>0</v>
      </c>
      <c r="BB81" s="4">
        <v>1</v>
      </c>
      <c r="BC81" s="4">
        <v>0</v>
      </c>
      <c r="BD81" s="4">
        <v>0</v>
      </c>
      <c r="BE81" s="4">
        <v>0</v>
      </c>
      <c r="BF81" s="4">
        <v>1</v>
      </c>
      <c r="BG81" s="4">
        <v>0</v>
      </c>
      <c r="BH81" s="4">
        <v>0</v>
      </c>
      <c r="BI81" s="4">
        <v>0</v>
      </c>
      <c r="BJ81" s="4">
        <v>1</v>
      </c>
      <c r="BK81" s="4">
        <v>0</v>
      </c>
      <c r="BL81" s="4">
        <v>0</v>
      </c>
      <c r="BM81" s="4">
        <v>0</v>
      </c>
      <c r="BN81" s="4">
        <v>0</v>
      </c>
      <c r="BO81" s="4">
        <v>0</v>
      </c>
    </row>
    <row r="82" spans="1:67" ht="15.95" customHeight="1">
      <c r="A82" s="2" t="s">
        <v>266</v>
      </c>
      <c r="B82" s="4">
        <v>1</v>
      </c>
      <c r="C82" s="4">
        <v>2</v>
      </c>
      <c r="D82" s="4">
        <v>4</v>
      </c>
      <c r="E82" s="4">
        <v>3</v>
      </c>
      <c r="F82" s="4">
        <v>3</v>
      </c>
      <c r="G82" s="4">
        <v>2</v>
      </c>
      <c r="H82" s="4">
        <v>1</v>
      </c>
      <c r="I82" s="4">
        <v>1</v>
      </c>
      <c r="J82" s="4">
        <v>2</v>
      </c>
      <c r="K82" s="4">
        <v>1</v>
      </c>
      <c r="L82" s="4">
        <v>1</v>
      </c>
      <c r="M82" s="4">
        <v>1</v>
      </c>
      <c r="N82" s="4">
        <v>1</v>
      </c>
      <c r="O82" s="4">
        <v>1</v>
      </c>
      <c r="P82" s="4">
        <v>1</v>
      </c>
      <c r="Q82" s="4">
        <v>1</v>
      </c>
      <c r="R82" s="4">
        <v>1</v>
      </c>
      <c r="S82" s="4">
        <v>5</v>
      </c>
      <c r="T82" s="4">
        <v>5</v>
      </c>
      <c r="U82" s="4">
        <v>5</v>
      </c>
      <c r="V82" s="4">
        <v>5</v>
      </c>
      <c r="W82" s="4">
        <v>2</v>
      </c>
      <c r="X82" s="4">
        <v>5</v>
      </c>
      <c r="Y82" s="4">
        <v>5</v>
      </c>
      <c r="Z82" s="4">
        <v>5</v>
      </c>
      <c r="AA82" s="4">
        <v>5</v>
      </c>
      <c r="AB82" s="4">
        <v>0</v>
      </c>
      <c r="AC82" s="4">
        <v>0</v>
      </c>
      <c r="AD82" s="4">
        <v>5</v>
      </c>
      <c r="AE82" s="4">
        <v>0</v>
      </c>
      <c r="AF82" s="4">
        <v>5</v>
      </c>
      <c r="AG82" s="4">
        <v>0</v>
      </c>
      <c r="AH82" s="4">
        <v>0</v>
      </c>
      <c r="AI82" s="4">
        <v>0</v>
      </c>
      <c r="AJ82" s="4">
        <v>0</v>
      </c>
      <c r="AK82" s="4">
        <v>0</v>
      </c>
      <c r="AL82" s="4">
        <v>0</v>
      </c>
      <c r="AM82" s="4">
        <v>0</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4">
        <v>0</v>
      </c>
      <c r="BF82" s="4">
        <v>0</v>
      </c>
      <c r="BG82" s="4">
        <v>0</v>
      </c>
      <c r="BH82" s="4">
        <v>0</v>
      </c>
      <c r="BI82" s="4">
        <v>0</v>
      </c>
      <c r="BJ82" s="4">
        <v>0</v>
      </c>
      <c r="BK82" s="4">
        <v>0</v>
      </c>
      <c r="BL82" s="4">
        <v>0</v>
      </c>
      <c r="BM82" s="4">
        <v>0</v>
      </c>
      <c r="BN82" s="4">
        <v>0</v>
      </c>
      <c r="BO82" s="4">
        <v>0</v>
      </c>
    </row>
    <row r="83" spans="1:67" ht="15.95" customHeight="1">
      <c r="A83" s="2" t="s">
        <v>267</v>
      </c>
      <c r="B83" s="4">
        <v>1</v>
      </c>
      <c r="C83" s="4">
        <v>2</v>
      </c>
      <c r="D83" s="4">
        <v>3</v>
      </c>
      <c r="E83" s="4">
        <v>1</v>
      </c>
      <c r="F83" s="4">
        <v>1</v>
      </c>
      <c r="G83" s="4">
        <v>2</v>
      </c>
      <c r="H83" s="4">
        <v>1</v>
      </c>
      <c r="I83" s="4">
        <v>1</v>
      </c>
      <c r="J83" s="4">
        <v>2</v>
      </c>
      <c r="K83" s="4">
        <v>1</v>
      </c>
      <c r="L83" s="4">
        <v>2</v>
      </c>
      <c r="M83" s="4">
        <v>2</v>
      </c>
      <c r="N83" s="4">
        <v>2</v>
      </c>
      <c r="O83" s="4">
        <v>1</v>
      </c>
      <c r="P83" s="4">
        <v>1</v>
      </c>
      <c r="Q83" s="4">
        <v>2</v>
      </c>
      <c r="R83" s="4">
        <v>1</v>
      </c>
      <c r="S83" s="4">
        <v>5</v>
      </c>
      <c r="T83" s="4">
        <v>5</v>
      </c>
      <c r="U83" s="4">
        <v>5</v>
      </c>
      <c r="V83" s="4">
        <v>5</v>
      </c>
      <c r="W83" s="4">
        <v>5</v>
      </c>
      <c r="X83" s="4">
        <v>5</v>
      </c>
      <c r="Y83" s="4">
        <v>5</v>
      </c>
      <c r="Z83" s="4">
        <v>1</v>
      </c>
      <c r="AA83" s="4">
        <v>1</v>
      </c>
      <c r="AB83" s="4">
        <v>1</v>
      </c>
      <c r="AC83" s="4">
        <v>1</v>
      </c>
      <c r="AD83" s="4">
        <v>1</v>
      </c>
      <c r="AE83" s="4">
        <v>2</v>
      </c>
      <c r="AF83" s="4">
        <v>1</v>
      </c>
      <c r="AG83" s="4">
        <v>0</v>
      </c>
      <c r="AH83" s="4">
        <v>0</v>
      </c>
      <c r="AI83" s="4">
        <v>0</v>
      </c>
      <c r="AJ83" s="4">
        <v>0</v>
      </c>
      <c r="AK83" s="4">
        <v>0</v>
      </c>
      <c r="AL83" s="4">
        <v>0</v>
      </c>
      <c r="AM83" s="4">
        <v>0</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4">
        <v>0</v>
      </c>
      <c r="BF83" s="4">
        <v>0</v>
      </c>
      <c r="BG83" s="4">
        <v>0</v>
      </c>
      <c r="BH83" s="4">
        <v>0</v>
      </c>
      <c r="BI83" s="4">
        <v>0</v>
      </c>
      <c r="BJ83" s="4">
        <v>0</v>
      </c>
      <c r="BK83" s="4">
        <v>0</v>
      </c>
      <c r="BL83" s="4">
        <v>0</v>
      </c>
      <c r="BM83" s="4">
        <v>0</v>
      </c>
      <c r="BN83" s="4">
        <v>0</v>
      </c>
      <c r="BO83" s="4">
        <v>0</v>
      </c>
    </row>
    <row r="84" spans="1:67" ht="15.95" customHeight="1">
      <c r="A84" s="2" t="s">
        <v>268</v>
      </c>
      <c r="B84" s="4">
        <v>1</v>
      </c>
      <c r="C84" s="4">
        <v>1</v>
      </c>
      <c r="D84" s="4">
        <v>4</v>
      </c>
      <c r="E84" s="4">
        <v>3</v>
      </c>
      <c r="F84" s="4">
        <v>5</v>
      </c>
      <c r="G84" s="4">
        <v>4</v>
      </c>
      <c r="H84" s="4">
        <v>2</v>
      </c>
      <c r="I84" s="4">
        <v>1</v>
      </c>
      <c r="J84" s="4">
        <v>2</v>
      </c>
      <c r="K84" s="4">
        <v>1</v>
      </c>
      <c r="L84" s="4">
        <v>4</v>
      </c>
      <c r="M84" s="4">
        <v>3</v>
      </c>
      <c r="N84" s="4">
        <v>2</v>
      </c>
      <c r="O84" s="4">
        <v>2</v>
      </c>
      <c r="P84" s="4">
        <v>4</v>
      </c>
      <c r="Q84" s="4">
        <v>2</v>
      </c>
      <c r="R84" s="4">
        <v>2</v>
      </c>
      <c r="S84" s="4">
        <v>5</v>
      </c>
      <c r="T84" s="4">
        <v>5</v>
      </c>
      <c r="U84" s="4">
        <v>5</v>
      </c>
      <c r="V84" s="4">
        <v>5</v>
      </c>
      <c r="W84" s="4">
        <v>5</v>
      </c>
      <c r="X84" s="4">
        <v>5</v>
      </c>
      <c r="Y84" s="4">
        <v>5</v>
      </c>
      <c r="Z84" s="4">
        <v>3</v>
      </c>
      <c r="AA84" s="4">
        <v>3</v>
      </c>
      <c r="AB84" s="4">
        <v>1</v>
      </c>
      <c r="AC84" s="4">
        <v>1</v>
      </c>
      <c r="AD84" s="4">
        <v>4</v>
      </c>
      <c r="AE84" s="4">
        <v>1</v>
      </c>
      <c r="AF84" s="4">
        <v>1</v>
      </c>
      <c r="AG84" s="4">
        <v>0</v>
      </c>
      <c r="AH84" s="4">
        <v>0</v>
      </c>
      <c r="AI84" s="4">
        <v>0</v>
      </c>
      <c r="AJ84" s="4">
        <v>0</v>
      </c>
      <c r="AK84" s="4">
        <v>1</v>
      </c>
      <c r="AL84" s="4">
        <v>0</v>
      </c>
      <c r="AM84" s="4">
        <v>0</v>
      </c>
      <c r="AN84" s="4">
        <v>0</v>
      </c>
      <c r="AO84" s="4">
        <v>0</v>
      </c>
      <c r="AP84" s="4">
        <v>1</v>
      </c>
      <c r="AQ84" s="4">
        <v>0</v>
      </c>
      <c r="AR84" s="4">
        <v>0</v>
      </c>
      <c r="AS84" s="4">
        <v>0</v>
      </c>
      <c r="AT84" s="4">
        <v>0</v>
      </c>
      <c r="AU84" s="4">
        <v>1</v>
      </c>
      <c r="AV84" s="4">
        <v>0</v>
      </c>
      <c r="AW84" s="4">
        <v>0</v>
      </c>
      <c r="AX84" s="4">
        <v>0</v>
      </c>
      <c r="AY84" s="4">
        <v>0</v>
      </c>
      <c r="AZ84" s="4">
        <v>0</v>
      </c>
      <c r="BA84" s="4">
        <v>1</v>
      </c>
      <c r="BB84" s="4">
        <v>1</v>
      </c>
      <c r="BC84" s="4">
        <v>1</v>
      </c>
      <c r="BD84" s="4">
        <v>1</v>
      </c>
      <c r="BE84" s="4">
        <v>0</v>
      </c>
      <c r="BF84" s="4">
        <v>0</v>
      </c>
      <c r="BG84" s="4">
        <v>0</v>
      </c>
      <c r="BH84" s="4">
        <v>0</v>
      </c>
      <c r="BI84" s="4">
        <v>0</v>
      </c>
      <c r="BJ84" s="4">
        <v>1</v>
      </c>
      <c r="BK84" s="4">
        <v>0</v>
      </c>
      <c r="BL84" s="4">
        <v>0</v>
      </c>
      <c r="BM84" s="4">
        <v>0</v>
      </c>
      <c r="BN84" s="4">
        <v>0</v>
      </c>
      <c r="BO84" s="4">
        <v>0</v>
      </c>
    </row>
    <row r="85" spans="1:67" ht="15.95" customHeight="1">
      <c r="A85" s="2" t="s">
        <v>269</v>
      </c>
      <c r="B85" s="4">
        <v>1</v>
      </c>
      <c r="C85" s="4">
        <v>2</v>
      </c>
      <c r="D85" s="4">
        <v>5</v>
      </c>
      <c r="E85" s="4">
        <v>2</v>
      </c>
      <c r="F85" s="4">
        <v>4</v>
      </c>
      <c r="G85" s="4">
        <v>4</v>
      </c>
      <c r="H85" s="4">
        <v>1</v>
      </c>
      <c r="I85" s="4">
        <v>1</v>
      </c>
      <c r="J85" s="4">
        <v>2</v>
      </c>
      <c r="K85" s="4">
        <v>1</v>
      </c>
      <c r="L85" s="4">
        <v>3</v>
      </c>
      <c r="M85" s="4">
        <v>2</v>
      </c>
      <c r="N85" s="4">
        <v>3</v>
      </c>
      <c r="O85" s="4">
        <v>2</v>
      </c>
      <c r="P85" s="4">
        <v>1</v>
      </c>
      <c r="Q85" s="4">
        <v>2</v>
      </c>
      <c r="R85" s="4">
        <v>2</v>
      </c>
      <c r="S85" s="4">
        <v>5</v>
      </c>
      <c r="T85" s="4">
        <v>5</v>
      </c>
      <c r="U85" s="4">
        <v>5</v>
      </c>
      <c r="V85" s="4">
        <v>5</v>
      </c>
      <c r="W85" s="4">
        <v>5</v>
      </c>
      <c r="X85" s="4">
        <v>5</v>
      </c>
      <c r="Y85" s="4">
        <v>5</v>
      </c>
      <c r="Z85" s="4">
        <v>1</v>
      </c>
      <c r="AA85" s="4">
        <v>1</v>
      </c>
      <c r="AB85" s="4">
        <v>2</v>
      </c>
      <c r="AC85" s="4">
        <v>1</v>
      </c>
      <c r="AD85" s="4">
        <v>1</v>
      </c>
      <c r="AE85" s="4">
        <v>1</v>
      </c>
      <c r="AF85" s="4">
        <v>1</v>
      </c>
      <c r="AG85" s="4">
        <v>0</v>
      </c>
      <c r="AH85" s="4">
        <v>0</v>
      </c>
      <c r="AI85" s="4">
        <v>0</v>
      </c>
      <c r="AJ85" s="4">
        <v>0</v>
      </c>
      <c r="AK85" s="4">
        <v>0</v>
      </c>
      <c r="AL85" s="4">
        <v>0</v>
      </c>
      <c r="AM85" s="4">
        <v>0</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4">
        <v>0</v>
      </c>
      <c r="BF85" s="4">
        <v>0</v>
      </c>
      <c r="BG85" s="4">
        <v>0</v>
      </c>
      <c r="BH85" s="4">
        <v>0</v>
      </c>
      <c r="BI85" s="4">
        <v>0</v>
      </c>
      <c r="BJ85" s="4">
        <v>0</v>
      </c>
      <c r="BK85" s="4">
        <v>0</v>
      </c>
      <c r="BL85" s="4">
        <v>0</v>
      </c>
      <c r="BM85" s="4">
        <v>0</v>
      </c>
      <c r="BN85" s="4">
        <v>0</v>
      </c>
      <c r="BO85" s="4">
        <v>0</v>
      </c>
    </row>
    <row r="86" spans="1:67" ht="15.95" customHeight="1">
      <c r="A86" s="2" t="s">
        <v>270</v>
      </c>
      <c r="B86" s="4">
        <v>1</v>
      </c>
      <c r="C86" s="4">
        <v>2</v>
      </c>
      <c r="D86" s="4">
        <v>4</v>
      </c>
      <c r="E86" s="4">
        <v>3</v>
      </c>
      <c r="F86" s="4">
        <v>5</v>
      </c>
      <c r="G86" s="4">
        <v>2</v>
      </c>
      <c r="H86" s="4">
        <v>2</v>
      </c>
      <c r="I86" s="4">
        <v>2</v>
      </c>
      <c r="J86" s="4">
        <v>2</v>
      </c>
      <c r="K86" s="4">
        <v>1</v>
      </c>
      <c r="L86" s="4">
        <v>5</v>
      </c>
      <c r="M86" s="4">
        <v>2</v>
      </c>
      <c r="N86" s="4">
        <v>5</v>
      </c>
      <c r="O86" s="4">
        <v>1</v>
      </c>
      <c r="P86" s="4">
        <v>4</v>
      </c>
      <c r="Q86" s="4">
        <v>2</v>
      </c>
      <c r="R86" s="4">
        <v>1</v>
      </c>
      <c r="S86" s="4">
        <v>1</v>
      </c>
      <c r="T86" s="4">
        <v>1</v>
      </c>
      <c r="U86" s="4">
        <v>1</v>
      </c>
      <c r="V86" s="4">
        <v>1</v>
      </c>
      <c r="W86" s="4">
        <v>1</v>
      </c>
      <c r="X86" s="4">
        <v>2</v>
      </c>
      <c r="Y86" s="4">
        <v>1</v>
      </c>
      <c r="Z86" s="4">
        <v>4</v>
      </c>
      <c r="AA86" s="4">
        <v>1</v>
      </c>
      <c r="AB86" s="4">
        <v>4</v>
      </c>
      <c r="AC86" s="4">
        <v>1</v>
      </c>
      <c r="AD86" s="4">
        <v>3</v>
      </c>
      <c r="AE86" s="4">
        <v>1</v>
      </c>
      <c r="AF86" s="4">
        <v>1</v>
      </c>
      <c r="AG86" s="4">
        <v>0</v>
      </c>
      <c r="AH86" s="4">
        <v>1</v>
      </c>
      <c r="AI86" s="4">
        <v>1</v>
      </c>
      <c r="AJ86" s="4">
        <v>1</v>
      </c>
      <c r="AK86" s="4">
        <v>1</v>
      </c>
      <c r="AL86" s="4">
        <v>0</v>
      </c>
      <c r="AM86" s="4">
        <v>1</v>
      </c>
      <c r="AN86" s="4">
        <v>1</v>
      </c>
      <c r="AO86" s="4">
        <v>1</v>
      </c>
      <c r="AP86" s="4">
        <v>0</v>
      </c>
      <c r="AQ86" s="4">
        <v>0</v>
      </c>
      <c r="AR86" s="4">
        <v>1</v>
      </c>
      <c r="AS86" s="4">
        <v>1</v>
      </c>
      <c r="AT86" s="4">
        <v>1</v>
      </c>
      <c r="AU86" s="4">
        <v>0</v>
      </c>
      <c r="AV86" s="4">
        <v>0</v>
      </c>
      <c r="AW86" s="4">
        <v>1</v>
      </c>
      <c r="AX86" s="4">
        <v>1</v>
      </c>
      <c r="AY86" s="4">
        <v>1</v>
      </c>
      <c r="AZ86" s="4">
        <v>0</v>
      </c>
      <c r="BA86" s="4">
        <v>0</v>
      </c>
      <c r="BB86" s="4">
        <v>1</v>
      </c>
      <c r="BC86" s="4">
        <v>1</v>
      </c>
      <c r="BD86" s="4">
        <v>1</v>
      </c>
      <c r="BE86" s="4">
        <v>0</v>
      </c>
      <c r="BF86" s="4">
        <v>0</v>
      </c>
      <c r="BG86" s="4">
        <v>1</v>
      </c>
      <c r="BH86" s="4">
        <v>1</v>
      </c>
      <c r="BI86" s="4">
        <v>1</v>
      </c>
      <c r="BJ86" s="4">
        <v>0</v>
      </c>
      <c r="BK86" s="4">
        <v>0</v>
      </c>
      <c r="BL86" s="4">
        <v>1</v>
      </c>
      <c r="BM86" s="4">
        <v>1</v>
      </c>
      <c r="BN86" s="4">
        <v>1</v>
      </c>
      <c r="BO86" s="4">
        <v>0</v>
      </c>
    </row>
    <row r="87" spans="1:67" ht="15.95" customHeight="1">
      <c r="A87" s="2" t="s">
        <v>271</v>
      </c>
      <c r="B87" s="4">
        <v>1</v>
      </c>
      <c r="C87" s="4">
        <v>1</v>
      </c>
      <c r="D87" s="4">
        <v>3</v>
      </c>
      <c r="E87" s="4">
        <v>4</v>
      </c>
      <c r="F87" s="4">
        <v>3</v>
      </c>
      <c r="G87" s="4">
        <v>5</v>
      </c>
      <c r="H87" s="4">
        <v>2</v>
      </c>
      <c r="I87" s="4">
        <v>1</v>
      </c>
      <c r="J87" s="4">
        <v>1</v>
      </c>
      <c r="K87" s="4">
        <v>1</v>
      </c>
      <c r="L87" s="4">
        <v>1</v>
      </c>
      <c r="M87" s="4">
        <v>1</v>
      </c>
      <c r="N87" s="4">
        <v>2</v>
      </c>
      <c r="O87" s="4">
        <v>2</v>
      </c>
      <c r="P87" s="4">
        <v>3</v>
      </c>
      <c r="Q87" s="4">
        <v>2</v>
      </c>
      <c r="R87" s="4">
        <v>1</v>
      </c>
      <c r="S87" s="4">
        <v>2</v>
      </c>
      <c r="T87" s="4">
        <v>2</v>
      </c>
      <c r="U87" s="4">
        <v>2</v>
      </c>
      <c r="V87" s="4">
        <v>2</v>
      </c>
      <c r="W87" s="4">
        <v>1</v>
      </c>
      <c r="X87" s="4">
        <v>2</v>
      </c>
      <c r="Y87" s="4">
        <v>1</v>
      </c>
      <c r="Z87" s="4">
        <v>1</v>
      </c>
      <c r="AA87" s="4">
        <v>1</v>
      </c>
      <c r="AB87" s="4">
        <v>1</v>
      </c>
      <c r="AC87" s="4">
        <v>1</v>
      </c>
      <c r="AD87" s="4">
        <v>2</v>
      </c>
      <c r="AE87" s="4">
        <v>1</v>
      </c>
      <c r="AF87" s="4">
        <v>1</v>
      </c>
      <c r="AG87" s="4">
        <v>1</v>
      </c>
      <c r="AH87" s="4">
        <v>0</v>
      </c>
      <c r="AI87" s="4">
        <v>0</v>
      </c>
      <c r="AJ87" s="4">
        <v>0</v>
      </c>
      <c r="AK87" s="4">
        <v>0</v>
      </c>
      <c r="AL87" s="4">
        <v>0</v>
      </c>
      <c r="AM87" s="4">
        <v>0</v>
      </c>
      <c r="AN87" s="4">
        <v>1</v>
      </c>
      <c r="AO87" s="4">
        <v>0</v>
      </c>
      <c r="AP87" s="4">
        <v>0</v>
      </c>
      <c r="AQ87" s="4">
        <v>1</v>
      </c>
      <c r="AR87" s="4">
        <v>0</v>
      </c>
      <c r="AS87" s="4">
        <v>0</v>
      </c>
      <c r="AT87" s="4">
        <v>0</v>
      </c>
      <c r="AU87" s="4">
        <v>0</v>
      </c>
      <c r="AV87" s="4">
        <v>1</v>
      </c>
      <c r="AW87" s="4">
        <v>0</v>
      </c>
      <c r="AX87" s="4">
        <v>0</v>
      </c>
      <c r="AY87" s="4">
        <v>0</v>
      </c>
      <c r="AZ87" s="4">
        <v>0</v>
      </c>
      <c r="BA87" s="4">
        <v>1</v>
      </c>
      <c r="BB87" s="4">
        <v>0</v>
      </c>
      <c r="BC87" s="4">
        <v>0</v>
      </c>
      <c r="BD87" s="4">
        <v>0</v>
      </c>
      <c r="BE87" s="4">
        <v>0</v>
      </c>
      <c r="BF87" s="4">
        <v>1</v>
      </c>
      <c r="BG87" s="4">
        <v>0</v>
      </c>
      <c r="BH87" s="4">
        <v>0</v>
      </c>
      <c r="BI87" s="4">
        <v>0</v>
      </c>
      <c r="BJ87" s="4">
        <v>0</v>
      </c>
      <c r="BK87" s="4">
        <v>0</v>
      </c>
      <c r="BL87" s="4">
        <v>0</v>
      </c>
      <c r="BM87" s="4">
        <v>1</v>
      </c>
      <c r="BN87" s="4">
        <v>0</v>
      </c>
      <c r="BO87" s="4">
        <v>0</v>
      </c>
    </row>
    <row r="88" spans="1:67" ht="15.95" customHeight="1">
      <c r="A88" s="2" t="s">
        <v>272</v>
      </c>
      <c r="B88" s="4">
        <v>1</v>
      </c>
      <c r="C88" s="4">
        <v>2</v>
      </c>
      <c r="D88" s="4">
        <v>3</v>
      </c>
      <c r="E88" s="4">
        <v>3</v>
      </c>
      <c r="F88" s="4">
        <v>1</v>
      </c>
      <c r="G88" s="4">
        <v>3</v>
      </c>
      <c r="H88" s="4">
        <v>2</v>
      </c>
      <c r="I88" s="4">
        <v>2</v>
      </c>
      <c r="J88" s="4">
        <v>2</v>
      </c>
      <c r="K88" s="4">
        <v>1</v>
      </c>
      <c r="L88" s="4">
        <v>1</v>
      </c>
      <c r="M88" s="4">
        <v>1</v>
      </c>
      <c r="N88" s="4">
        <v>1</v>
      </c>
      <c r="O88" s="4">
        <v>1</v>
      </c>
      <c r="P88" s="4">
        <v>1</v>
      </c>
      <c r="Q88" s="4">
        <v>1</v>
      </c>
      <c r="R88" s="4">
        <v>1</v>
      </c>
      <c r="S88" s="4">
        <v>1</v>
      </c>
      <c r="T88" s="4">
        <v>1</v>
      </c>
      <c r="U88" s="4">
        <v>1</v>
      </c>
      <c r="V88" s="4">
        <v>1</v>
      </c>
      <c r="W88" s="4">
        <v>2</v>
      </c>
      <c r="X88" s="4">
        <v>1</v>
      </c>
      <c r="Y88" s="4">
        <v>1</v>
      </c>
      <c r="Z88" s="4">
        <v>1</v>
      </c>
      <c r="AA88" s="4">
        <v>1</v>
      </c>
      <c r="AB88" s="4">
        <v>1</v>
      </c>
      <c r="AC88" s="4">
        <v>1</v>
      </c>
      <c r="AD88" s="4">
        <v>1</v>
      </c>
      <c r="AE88" s="4">
        <v>1</v>
      </c>
      <c r="AF88" s="4">
        <v>1</v>
      </c>
      <c r="AG88" s="4">
        <v>0</v>
      </c>
      <c r="AH88" s="4">
        <v>0</v>
      </c>
      <c r="AI88" s="4">
        <v>0</v>
      </c>
      <c r="AJ88" s="4">
        <v>0</v>
      </c>
      <c r="AK88" s="4">
        <v>1</v>
      </c>
      <c r="AL88" s="4">
        <v>0</v>
      </c>
      <c r="AM88" s="4">
        <v>0</v>
      </c>
      <c r="AN88" s="4">
        <v>0</v>
      </c>
      <c r="AO88" s="4">
        <v>0</v>
      </c>
      <c r="AP88" s="4">
        <v>1</v>
      </c>
      <c r="AQ88" s="4">
        <v>0</v>
      </c>
      <c r="AR88" s="4">
        <v>0</v>
      </c>
      <c r="AS88" s="4">
        <v>0</v>
      </c>
      <c r="AT88" s="4">
        <v>0</v>
      </c>
      <c r="AU88" s="4">
        <v>1</v>
      </c>
      <c r="AV88" s="4">
        <v>0</v>
      </c>
      <c r="AW88" s="4">
        <v>0</v>
      </c>
      <c r="AX88" s="4">
        <v>0</v>
      </c>
      <c r="AY88" s="4">
        <v>0</v>
      </c>
      <c r="AZ88" s="4">
        <v>1</v>
      </c>
      <c r="BA88" s="4">
        <v>0</v>
      </c>
      <c r="BB88" s="4">
        <v>0</v>
      </c>
      <c r="BC88" s="4">
        <v>1</v>
      </c>
      <c r="BD88" s="4">
        <v>0</v>
      </c>
      <c r="BE88" s="4">
        <v>0</v>
      </c>
      <c r="BF88" s="4">
        <v>0</v>
      </c>
      <c r="BG88" s="4">
        <v>0</v>
      </c>
      <c r="BH88" s="4">
        <v>0</v>
      </c>
      <c r="BI88" s="4">
        <v>0</v>
      </c>
      <c r="BJ88" s="4">
        <v>1</v>
      </c>
      <c r="BK88" s="4">
        <v>0</v>
      </c>
      <c r="BL88" s="4">
        <v>0</v>
      </c>
      <c r="BM88" s="4">
        <v>0</v>
      </c>
      <c r="BN88" s="4">
        <v>0</v>
      </c>
      <c r="BO88" s="4">
        <v>0</v>
      </c>
    </row>
    <row r="89" spans="1:67" ht="15.95" customHeight="1">
      <c r="A89" s="2" t="s">
        <v>273</v>
      </c>
      <c r="B89" s="4">
        <v>1</v>
      </c>
      <c r="C89" s="4">
        <v>2</v>
      </c>
      <c r="D89" s="4">
        <v>3</v>
      </c>
      <c r="E89" s="4">
        <v>3</v>
      </c>
      <c r="F89" s="4">
        <v>5</v>
      </c>
      <c r="G89" s="4">
        <v>4</v>
      </c>
      <c r="H89" s="4">
        <v>2</v>
      </c>
      <c r="I89" s="4">
        <v>1</v>
      </c>
      <c r="J89" s="4">
        <v>3</v>
      </c>
      <c r="K89" s="4">
        <v>1</v>
      </c>
      <c r="L89" s="4">
        <v>3</v>
      </c>
      <c r="M89" s="4">
        <v>2</v>
      </c>
      <c r="N89" s="4">
        <v>4</v>
      </c>
      <c r="O89" s="4">
        <v>1</v>
      </c>
      <c r="P89" s="4">
        <v>2</v>
      </c>
      <c r="Q89" s="4">
        <v>2</v>
      </c>
      <c r="R89" s="4">
        <v>1</v>
      </c>
      <c r="S89" s="4">
        <v>2</v>
      </c>
      <c r="T89" s="4">
        <v>2</v>
      </c>
      <c r="U89" s="4">
        <v>2</v>
      </c>
      <c r="V89" s="4">
        <v>1</v>
      </c>
      <c r="W89" s="4">
        <v>2</v>
      </c>
      <c r="X89" s="4">
        <v>1</v>
      </c>
      <c r="Y89" s="4">
        <v>1</v>
      </c>
      <c r="Z89" s="4">
        <v>2</v>
      </c>
      <c r="AA89" s="4">
        <v>2</v>
      </c>
      <c r="AB89" s="4">
        <v>2</v>
      </c>
      <c r="AC89" s="4">
        <v>1</v>
      </c>
      <c r="AD89" s="4">
        <v>2</v>
      </c>
      <c r="AE89" s="4">
        <v>2</v>
      </c>
      <c r="AF89" s="4">
        <v>1</v>
      </c>
      <c r="AG89" s="4">
        <v>1</v>
      </c>
      <c r="AH89" s="4">
        <v>0</v>
      </c>
      <c r="AI89" s="4">
        <v>0</v>
      </c>
      <c r="AJ89" s="4">
        <v>0</v>
      </c>
      <c r="AK89" s="4">
        <v>0</v>
      </c>
      <c r="AL89" s="4">
        <v>1</v>
      </c>
      <c r="AM89" s="4">
        <v>0</v>
      </c>
      <c r="AN89" s="4">
        <v>0</v>
      </c>
      <c r="AO89" s="4">
        <v>0</v>
      </c>
      <c r="AP89" s="4">
        <v>0</v>
      </c>
      <c r="AQ89" s="4">
        <v>1</v>
      </c>
      <c r="AR89" s="4">
        <v>0</v>
      </c>
      <c r="AS89" s="4">
        <v>0</v>
      </c>
      <c r="AT89" s="4">
        <v>0</v>
      </c>
      <c r="AU89" s="4">
        <v>0</v>
      </c>
      <c r="AV89" s="4">
        <v>0</v>
      </c>
      <c r="AW89" s="4">
        <v>0</v>
      </c>
      <c r="AX89" s="4">
        <v>0</v>
      </c>
      <c r="AY89" s="4">
        <v>0</v>
      </c>
      <c r="AZ89" s="4">
        <v>0</v>
      </c>
      <c r="BA89" s="4">
        <v>1</v>
      </c>
      <c r="BB89" s="4">
        <v>0</v>
      </c>
      <c r="BC89" s="4">
        <v>0</v>
      </c>
      <c r="BD89" s="4">
        <v>0</v>
      </c>
      <c r="BE89" s="4">
        <v>0</v>
      </c>
      <c r="BF89" s="4">
        <v>1</v>
      </c>
      <c r="BG89" s="4">
        <v>0</v>
      </c>
      <c r="BH89" s="4">
        <v>0</v>
      </c>
      <c r="BI89" s="4">
        <v>0</v>
      </c>
      <c r="BJ89" s="4">
        <v>0</v>
      </c>
      <c r="BK89" s="4">
        <v>0</v>
      </c>
      <c r="BL89" s="4">
        <v>0</v>
      </c>
      <c r="BM89" s="4">
        <v>0</v>
      </c>
      <c r="BN89" s="4">
        <v>0</v>
      </c>
      <c r="BO89" s="4">
        <v>0</v>
      </c>
    </row>
    <row r="90" spans="1:67" ht="15.95" customHeight="1">
      <c r="A90" s="2" t="s">
        <v>274</v>
      </c>
      <c r="B90" s="4">
        <v>1</v>
      </c>
      <c r="C90" s="4">
        <v>2</v>
      </c>
      <c r="D90" s="4">
        <v>4</v>
      </c>
      <c r="E90" s="4">
        <v>4</v>
      </c>
      <c r="F90" s="4">
        <v>4</v>
      </c>
      <c r="G90" s="4">
        <v>5</v>
      </c>
      <c r="H90" s="4">
        <v>1</v>
      </c>
      <c r="I90" s="4">
        <v>1</v>
      </c>
      <c r="J90" s="4">
        <v>4</v>
      </c>
      <c r="K90" s="4">
        <v>1</v>
      </c>
      <c r="L90" s="4">
        <v>2</v>
      </c>
      <c r="M90" s="4">
        <v>1</v>
      </c>
      <c r="N90" s="4">
        <v>2</v>
      </c>
      <c r="O90" s="4">
        <v>1</v>
      </c>
      <c r="P90" s="4">
        <v>2</v>
      </c>
      <c r="Q90" s="4">
        <v>1</v>
      </c>
      <c r="R90" s="4">
        <v>1</v>
      </c>
      <c r="S90" s="4">
        <v>3</v>
      </c>
      <c r="T90" s="4">
        <v>1</v>
      </c>
      <c r="U90" s="4">
        <v>2</v>
      </c>
      <c r="V90" s="4">
        <v>1</v>
      </c>
      <c r="W90" s="4">
        <v>2</v>
      </c>
      <c r="X90" s="4">
        <v>1</v>
      </c>
      <c r="Y90" s="4">
        <v>1</v>
      </c>
      <c r="Z90" s="4">
        <v>1</v>
      </c>
      <c r="AA90" s="4">
        <v>5</v>
      </c>
      <c r="AB90" s="4">
        <v>1</v>
      </c>
      <c r="AC90" s="4">
        <v>1</v>
      </c>
      <c r="AD90" s="4">
        <v>1</v>
      </c>
      <c r="AE90" s="4">
        <v>1</v>
      </c>
      <c r="AF90" s="4">
        <v>5</v>
      </c>
      <c r="AG90" s="4">
        <v>0</v>
      </c>
      <c r="AH90" s="4">
        <v>0</v>
      </c>
      <c r="AI90" s="4">
        <v>0</v>
      </c>
      <c r="AJ90" s="4">
        <v>0</v>
      </c>
      <c r="AK90" s="4">
        <v>1</v>
      </c>
      <c r="AL90" s="4">
        <v>0</v>
      </c>
      <c r="AM90" s="4">
        <v>0</v>
      </c>
      <c r="AN90" s="4">
        <v>0</v>
      </c>
      <c r="AO90" s="4">
        <v>0</v>
      </c>
      <c r="AP90" s="4">
        <v>0</v>
      </c>
      <c r="AQ90" s="4">
        <v>0</v>
      </c>
      <c r="AR90" s="4">
        <v>0</v>
      </c>
      <c r="AS90" s="4">
        <v>0</v>
      </c>
      <c r="AT90" s="4">
        <v>0</v>
      </c>
      <c r="AU90" s="4">
        <v>1</v>
      </c>
      <c r="AV90" s="4">
        <v>0</v>
      </c>
      <c r="AW90" s="4">
        <v>0</v>
      </c>
      <c r="AX90" s="4">
        <v>0</v>
      </c>
      <c r="AY90" s="4">
        <v>0</v>
      </c>
      <c r="AZ90" s="4">
        <v>0</v>
      </c>
      <c r="BA90" s="4">
        <v>1</v>
      </c>
      <c r="BB90" s="4">
        <v>0</v>
      </c>
      <c r="BC90" s="4">
        <v>0</v>
      </c>
      <c r="BD90" s="4">
        <v>0</v>
      </c>
      <c r="BE90" s="4">
        <v>0</v>
      </c>
      <c r="BF90" s="4">
        <v>0</v>
      </c>
      <c r="BG90" s="4">
        <v>0</v>
      </c>
      <c r="BH90" s="4">
        <v>0</v>
      </c>
      <c r="BI90" s="4">
        <v>0</v>
      </c>
      <c r="BJ90" s="4">
        <v>0</v>
      </c>
      <c r="BK90" s="4">
        <v>0</v>
      </c>
      <c r="BL90" s="4">
        <v>0</v>
      </c>
      <c r="BM90" s="4">
        <v>0</v>
      </c>
      <c r="BN90" s="4">
        <v>0</v>
      </c>
      <c r="BO90" s="4">
        <v>0</v>
      </c>
    </row>
    <row r="91" spans="1:67" ht="15.95" customHeight="1">
      <c r="A91" s="2" t="s">
        <v>275</v>
      </c>
      <c r="B91" s="4">
        <v>1</v>
      </c>
      <c r="C91" s="4">
        <v>2</v>
      </c>
      <c r="D91" s="4">
        <v>3</v>
      </c>
      <c r="E91" s="4">
        <v>3</v>
      </c>
      <c r="F91" s="4">
        <v>2</v>
      </c>
      <c r="G91" s="4">
        <v>3</v>
      </c>
      <c r="H91" s="4">
        <v>1</v>
      </c>
      <c r="I91" s="4">
        <v>1</v>
      </c>
      <c r="J91" s="4">
        <v>3</v>
      </c>
      <c r="K91" s="4">
        <v>1</v>
      </c>
      <c r="L91" s="4">
        <v>2</v>
      </c>
      <c r="M91" s="4">
        <v>2</v>
      </c>
      <c r="N91" s="4">
        <v>2</v>
      </c>
      <c r="O91" s="4">
        <v>1</v>
      </c>
      <c r="P91" s="4">
        <v>1</v>
      </c>
      <c r="Q91" s="4">
        <v>1</v>
      </c>
      <c r="R91" s="4">
        <v>1</v>
      </c>
      <c r="S91" s="4">
        <v>1</v>
      </c>
      <c r="T91" s="4">
        <v>1</v>
      </c>
      <c r="U91" s="4">
        <v>1</v>
      </c>
      <c r="V91" s="4">
        <v>1</v>
      </c>
      <c r="W91" s="4">
        <v>5</v>
      </c>
      <c r="X91" s="4">
        <v>1</v>
      </c>
      <c r="Y91" s="4">
        <v>1</v>
      </c>
      <c r="Z91" s="4">
        <v>1</v>
      </c>
      <c r="AA91" s="4">
        <v>1</v>
      </c>
      <c r="AB91" s="4">
        <v>1</v>
      </c>
      <c r="AC91" s="4">
        <v>5</v>
      </c>
      <c r="AD91" s="4">
        <v>5</v>
      </c>
      <c r="AE91" s="4">
        <v>5</v>
      </c>
      <c r="AF91" s="4">
        <v>5</v>
      </c>
      <c r="AG91" s="4">
        <v>0</v>
      </c>
      <c r="AH91" s="4">
        <v>0</v>
      </c>
      <c r="AI91" s="4">
        <v>0</v>
      </c>
      <c r="AJ91" s="4">
        <v>0</v>
      </c>
      <c r="AK91" s="4">
        <v>0</v>
      </c>
      <c r="AL91" s="4">
        <v>0</v>
      </c>
      <c r="AM91" s="4">
        <v>0</v>
      </c>
      <c r="AN91" s="4">
        <v>0</v>
      </c>
      <c r="AO91" s="4">
        <v>0</v>
      </c>
      <c r="AP91" s="4">
        <v>0</v>
      </c>
      <c r="AQ91" s="4">
        <v>0</v>
      </c>
      <c r="AR91" s="4">
        <v>0</v>
      </c>
      <c r="AS91" s="4">
        <v>0</v>
      </c>
      <c r="AT91" s="4">
        <v>0</v>
      </c>
      <c r="AU91" s="4">
        <v>0</v>
      </c>
      <c r="AV91" s="4">
        <v>0</v>
      </c>
      <c r="AW91" s="4">
        <v>0</v>
      </c>
      <c r="AX91" s="4">
        <v>0</v>
      </c>
      <c r="AY91" s="4">
        <v>0</v>
      </c>
      <c r="AZ91" s="4">
        <v>0</v>
      </c>
      <c r="BA91" s="4">
        <v>0</v>
      </c>
      <c r="BB91" s="4">
        <v>1</v>
      </c>
      <c r="BC91" s="4">
        <v>0</v>
      </c>
      <c r="BD91" s="4">
        <v>0</v>
      </c>
      <c r="BE91" s="4">
        <v>0</v>
      </c>
      <c r="BF91" s="4">
        <v>0</v>
      </c>
      <c r="BG91" s="4">
        <v>0</v>
      </c>
      <c r="BH91" s="4">
        <v>0</v>
      </c>
      <c r="BI91" s="4">
        <v>0</v>
      </c>
      <c r="BJ91" s="4">
        <v>0</v>
      </c>
      <c r="BK91" s="4">
        <v>0</v>
      </c>
      <c r="BL91" s="4">
        <v>0</v>
      </c>
      <c r="BM91" s="4">
        <v>0</v>
      </c>
      <c r="BN91" s="4">
        <v>0</v>
      </c>
      <c r="BO91" s="4">
        <v>0</v>
      </c>
    </row>
    <row r="92" spans="1:67" ht="15.95" customHeight="1">
      <c r="A92" s="2" t="s">
        <v>276</v>
      </c>
      <c r="B92" s="4">
        <v>1</v>
      </c>
      <c r="C92" s="4">
        <v>2</v>
      </c>
      <c r="D92" s="4">
        <v>5</v>
      </c>
      <c r="E92" s="4">
        <v>4</v>
      </c>
      <c r="F92" s="4">
        <v>1</v>
      </c>
      <c r="G92" s="4">
        <v>3</v>
      </c>
      <c r="H92" s="4">
        <v>1</v>
      </c>
      <c r="I92" s="4">
        <v>1</v>
      </c>
      <c r="J92" s="4">
        <v>1</v>
      </c>
      <c r="K92" s="4">
        <v>1</v>
      </c>
      <c r="L92" s="4">
        <v>1</v>
      </c>
      <c r="M92" s="4">
        <v>1</v>
      </c>
      <c r="N92" s="4">
        <v>1</v>
      </c>
      <c r="O92" s="4">
        <v>1</v>
      </c>
      <c r="P92" s="4">
        <v>1</v>
      </c>
      <c r="Q92" s="4">
        <v>1</v>
      </c>
      <c r="R92" s="4">
        <v>1</v>
      </c>
      <c r="S92" s="4">
        <v>0</v>
      </c>
      <c r="T92" s="4">
        <v>5</v>
      </c>
      <c r="U92" s="4">
        <v>0</v>
      </c>
      <c r="V92" s="4">
        <v>0</v>
      </c>
      <c r="W92" s="4">
        <v>0</v>
      </c>
      <c r="X92" s="4">
        <v>0</v>
      </c>
      <c r="Y92" s="4">
        <v>0</v>
      </c>
      <c r="Z92" s="4">
        <v>0</v>
      </c>
      <c r="AA92" s="4">
        <v>1</v>
      </c>
      <c r="AB92" s="4">
        <v>0</v>
      </c>
      <c r="AC92" s="4">
        <v>0</v>
      </c>
      <c r="AD92" s="4">
        <v>0</v>
      </c>
      <c r="AE92" s="4">
        <v>0</v>
      </c>
      <c r="AF92" s="4">
        <v>0</v>
      </c>
      <c r="AG92" s="4">
        <v>0</v>
      </c>
      <c r="AH92" s="4">
        <v>0</v>
      </c>
      <c r="AI92" s="4">
        <v>0</v>
      </c>
      <c r="AJ92" s="4">
        <v>0</v>
      </c>
      <c r="AK92" s="4">
        <v>0</v>
      </c>
      <c r="AL92" s="4">
        <v>0</v>
      </c>
      <c r="AM92" s="4">
        <v>0</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4">
        <v>0</v>
      </c>
      <c r="BF92" s="4">
        <v>0</v>
      </c>
      <c r="BG92" s="4">
        <v>0</v>
      </c>
      <c r="BH92" s="4">
        <v>0</v>
      </c>
      <c r="BI92" s="4">
        <v>0</v>
      </c>
      <c r="BJ92" s="4">
        <v>0</v>
      </c>
      <c r="BK92" s="4">
        <v>0</v>
      </c>
      <c r="BL92" s="4">
        <v>0</v>
      </c>
      <c r="BM92" s="4">
        <v>0</v>
      </c>
      <c r="BN92" s="4">
        <v>0</v>
      </c>
      <c r="BO92" s="4">
        <v>0</v>
      </c>
    </row>
    <row r="93" spans="1:67" ht="15.95" customHeight="1">
      <c r="A93" s="2" t="s">
        <v>277</v>
      </c>
      <c r="B93" s="4">
        <v>1</v>
      </c>
      <c r="C93" s="4">
        <v>2</v>
      </c>
      <c r="D93" s="4">
        <v>4</v>
      </c>
      <c r="E93" s="4">
        <v>3</v>
      </c>
      <c r="F93" s="4">
        <v>3</v>
      </c>
      <c r="G93" s="4">
        <v>2</v>
      </c>
      <c r="H93" s="4">
        <v>2</v>
      </c>
      <c r="I93" s="4">
        <v>2</v>
      </c>
      <c r="J93" s="4">
        <v>3</v>
      </c>
      <c r="K93" s="4">
        <v>1</v>
      </c>
      <c r="L93" s="4">
        <v>4</v>
      </c>
      <c r="M93" s="4">
        <v>2</v>
      </c>
      <c r="N93" s="4">
        <v>3</v>
      </c>
      <c r="O93" s="4">
        <v>1</v>
      </c>
      <c r="P93" s="4">
        <v>3</v>
      </c>
      <c r="Q93" s="4">
        <v>3</v>
      </c>
      <c r="R93" s="4">
        <v>2</v>
      </c>
      <c r="S93" s="4">
        <v>2</v>
      </c>
      <c r="T93" s="4">
        <v>2</v>
      </c>
      <c r="U93" s="4">
        <v>2</v>
      </c>
      <c r="V93" s="4">
        <v>1</v>
      </c>
      <c r="W93" s="4">
        <v>1</v>
      </c>
      <c r="X93" s="4">
        <v>1</v>
      </c>
      <c r="Y93" s="4">
        <v>1</v>
      </c>
      <c r="Z93" s="4">
        <v>2</v>
      </c>
      <c r="AA93" s="4">
        <v>1</v>
      </c>
      <c r="AB93" s="4">
        <v>1</v>
      </c>
      <c r="AC93" s="4">
        <v>5</v>
      </c>
      <c r="AD93" s="4">
        <v>2</v>
      </c>
      <c r="AE93" s="4">
        <v>2</v>
      </c>
      <c r="AF93" s="4">
        <v>5</v>
      </c>
      <c r="AG93" s="4">
        <v>1</v>
      </c>
      <c r="AH93" s="4">
        <v>0</v>
      </c>
      <c r="AI93" s="4">
        <v>0</v>
      </c>
      <c r="AJ93" s="4">
        <v>0</v>
      </c>
      <c r="AK93" s="4">
        <v>0</v>
      </c>
      <c r="AL93" s="4">
        <v>1</v>
      </c>
      <c r="AM93" s="4">
        <v>0</v>
      </c>
      <c r="AN93" s="4">
        <v>0</v>
      </c>
      <c r="AO93" s="4">
        <v>0</v>
      </c>
      <c r="AP93" s="4">
        <v>0</v>
      </c>
      <c r="AQ93" s="4">
        <v>1</v>
      </c>
      <c r="AR93" s="4">
        <v>0</v>
      </c>
      <c r="AS93" s="4">
        <v>0</v>
      </c>
      <c r="AT93" s="4">
        <v>0</v>
      </c>
      <c r="AU93" s="4">
        <v>0</v>
      </c>
      <c r="AV93" s="4">
        <v>1</v>
      </c>
      <c r="AW93" s="4">
        <v>0</v>
      </c>
      <c r="AX93" s="4">
        <v>0</v>
      </c>
      <c r="AY93" s="4">
        <v>0</v>
      </c>
      <c r="AZ93" s="4">
        <v>0</v>
      </c>
      <c r="BA93" s="4">
        <v>1</v>
      </c>
      <c r="BB93" s="4">
        <v>0</v>
      </c>
      <c r="BC93" s="4">
        <v>0</v>
      </c>
      <c r="BD93" s="4">
        <v>0</v>
      </c>
      <c r="BE93" s="4">
        <v>0</v>
      </c>
      <c r="BF93" s="4">
        <v>1</v>
      </c>
      <c r="BG93" s="4">
        <v>0</v>
      </c>
      <c r="BH93" s="4">
        <v>0</v>
      </c>
      <c r="BI93" s="4">
        <v>0</v>
      </c>
      <c r="BJ93" s="4">
        <v>0</v>
      </c>
      <c r="BK93" s="4">
        <v>1</v>
      </c>
      <c r="BL93" s="4">
        <v>0</v>
      </c>
      <c r="BM93" s="4">
        <v>0</v>
      </c>
      <c r="BN93" s="4">
        <v>0</v>
      </c>
      <c r="BO93" s="4">
        <v>0</v>
      </c>
    </row>
    <row r="94" spans="1:67" ht="15.95" customHeight="1">
      <c r="A94" s="2" t="s">
        <v>278</v>
      </c>
      <c r="B94" s="4">
        <v>1</v>
      </c>
      <c r="C94" s="4">
        <v>2</v>
      </c>
      <c r="D94" s="4">
        <v>5</v>
      </c>
      <c r="E94" s="4">
        <v>2</v>
      </c>
      <c r="F94" s="4">
        <v>5</v>
      </c>
      <c r="G94" s="4">
        <v>4</v>
      </c>
      <c r="H94" s="4">
        <v>1</v>
      </c>
      <c r="I94" s="4">
        <v>1</v>
      </c>
      <c r="J94" s="4">
        <v>4</v>
      </c>
      <c r="K94" s="4">
        <v>1</v>
      </c>
      <c r="L94" s="4">
        <v>3</v>
      </c>
      <c r="M94" s="4">
        <v>1</v>
      </c>
      <c r="N94" s="4">
        <v>1</v>
      </c>
      <c r="O94" s="4">
        <v>1</v>
      </c>
      <c r="P94" s="4">
        <v>3</v>
      </c>
      <c r="Q94" s="4">
        <v>2</v>
      </c>
      <c r="R94" s="4">
        <v>1</v>
      </c>
      <c r="S94" s="4">
        <v>1</v>
      </c>
      <c r="T94" s="4">
        <v>1</v>
      </c>
      <c r="U94" s="4">
        <v>5</v>
      </c>
      <c r="V94" s="4">
        <v>1</v>
      </c>
      <c r="W94" s="4">
        <v>2</v>
      </c>
      <c r="X94" s="4">
        <v>1</v>
      </c>
      <c r="Y94" s="4">
        <v>1</v>
      </c>
      <c r="Z94" s="4">
        <v>2</v>
      </c>
      <c r="AA94" s="4">
        <v>1</v>
      </c>
      <c r="AB94" s="4">
        <v>1</v>
      </c>
      <c r="AC94" s="4">
        <v>5</v>
      </c>
      <c r="AD94" s="4">
        <v>2</v>
      </c>
      <c r="AE94" s="4">
        <v>1</v>
      </c>
      <c r="AF94" s="4">
        <v>5</v>
      </c>
      <c r="AG94" s="4">
        <v>1</v>
      </c>
      <c r="AH94" s="4">
        <v>1</v>
      </c>
      <c r="AI94" s="4">
        <v>0</v>
      </c>
      <c r="AJ94" s="4">
        <v>0</v>
      </c>
      <c r="AK94" s="4">
        <v>1</v>
      </c>
      <c r="AL94" s="4">
        <v>0</v>
      </c>
      <c r="AM94" s="4">
        <v>1</v>
      </c>
      <c r="AN94" s="4">
        <v>0</v>
      </c>
      <c r="AO94" s="4">
        <v>0</v>
      </c>
      <c r="AP94" s="4">
        <v>0</v>
      </c>
      <c r="AQ94" s="4">
        <v>0</v>
      </c>
      <c r="AR94" s="4">
        <v>1</v>
      </c>
      <c r="AS94" s="4">
        <v>0</v>
      </c>
      <c r="AT94" s="4">
        <v>0</v>
      </c>
      <c r="AU94" s="4">
        <v>0</v>
      </c>
      <c r="AV94" s="4">
        <v>0</v>
      </c>
      <c r="AW94" s="4">
        <v>1</v>
      </c>
      <c r="AX94" s="4">
        <v>0</v>
      </c>
      <c r="AY94" s="4">
        <v>0</v>
      </c>
      <c r="AZ94" s="4">
        <v>0</v>
      </c>
      <c r="BA94" s="4">
        <v>1</v>
      </c>
      <c r="BB94" s="4">
        <v>1</v>
      </c>
      <c r="BC94" s="4">
        <v>0</v>
      </c>
      <c r="BD94" s="4">
        <v>0</v>
      </c>
      <c r="BE94" s="4">
        <v>0</v>
      </c>
      <c r="BF94" s="4">
        <v>0</v>
      </c>
      <c r="BG94" s="4">
        <v>0</v>
      </c>
      <c r="BH94" s="4">
        <v>0</v>
      </c>
      <c r="BI94" s="4">
        <v>0</v>
      </c>
      <c r="BJ94" s="4">
        <v>1</v>
      </c>
      <c r="BK94" s="4">
        <v>0</v>
      </c>
      <c r="BL94" s="4">
        <v>1</v>
      </c>
      <c r="BM94" s="4">
        <v>0</v>
      </c>
      <c r="BN94" s="4">
        <v>0</v>
      </c>
      <c r="BO94" s="4">
        <v>0</v>
      </c>
    </row>
    <row r="95" spans="1:67" ht="15.95" customHeight="1">
      <c r="A95" s="2" t="s">
        <v>279</v>
      </c>
      <c r="B95" s="4">
        <v>1</v>
      </c>
      <c r="C95" s="4">
        <v>2</v>
      </c>
      <c r="D95" s="4">
        <v>4</v>
      </c>
      <c r="E95" s="4">
        <v>2</v>
      </c>
      <c r="F95" s="4">
        <v>5</v>
      </c>
      <c r="G95" s="4">
        <v>5</v>
      </c>
      <c r="H95" s="4">
        <v>1</v>
      </c>
      <c r="I95" s="4">
        <v>1</v>
      </c>
      <c r="J95" s="4">
        <v>1</v>
      </c>
      <c r="K95" s="4">
        <v>1</v>
      </c>
      <c r="L95" s="4">
        <v>3</v>
      </c>
      <c r="M95" s="4">
        <v>1</v>
      </c>
      <c r="N95" s="4">
        <v>4</v>
      </c>
      <c r="O95" s="4">
        <v>1</v>
      </c>
      <c r="P95" s="4">
        <v>1</v>
      </c>
      <c r="Q95" s="4">
        <v>1</v>
      </c>
      <c r="R95" s="4">
        <v>1</v>
      </c>
      <c r="S95" s="4">
        <v>2</v>
      </c>
      <c r="T95" s="4">
        <v>1</v>
      </c>
      <c r="U95" s="4">
        <v>2</v>
      </c>
      <c r="V95" s="4">
        <v>1</v>
      </c>
      <c r="W95" s="4">
        <v>2</v>
      </c>
      <c r="X95" s="4">
        <v>1</v>
      </c>
      <c r="Y95" s="4">
        <v>1</v>
      </c>
      <c r="Z95" s="4">
        <v>2</v>
      </c>
      <c r="AA95" s="4">
        <v>1</v>
      </c>
      <c r="AB95" s="4">
        <v>2</v>
      </c>
      <c r="AC95" s="4">
        <v>1</v>
      </c>
      <c r="AD95" s="4">
        <v>1</v>
      </c>
      <c r="AE95" s="4">
        <v>1</v>
      </c>
      <c r="AF95" s="4">
        <v>1</v>
      </c>
      <c r="AG95" s="4">
        <v>0</v>
      </c>
      <c r="AH95" s="4">
        <v>1</v>
      </c>
      <c r="AI95" s="4">
        <v>0</v>
      </c>
      <c r="AJ95" s="4">
        <v>0</v>
      </c>
      <c r="AK95" s="4">
        <v>0</v>
      </c>
      <c r="AL95" s="4">
        <v>0</v>
      </c>
      <c r="AM95" s="4">
        <v>1</v>
      </c>
      <c r="AN95" s="4">
        <v>0</v>
      </c>
      <c r="AO95" s="4">
        <v>0</v>
      </c>
      <c r="AP95" s="4">
        <v>0</v>
      </c>
      <c r="AQ95" s="4">
        <v>0</v>
      </c>
      <c r="AR95" s="4">
        <v>1</v>
      </c>
      <c r="AS95" s="4">
        <v>0</v>
      </c>
      <c r="AT95" s="4">
        <v>0</v>
      </c>
      <c r="AU95" s="4">
        <v>0</v>
      </c>
      <c r="AV95" s="4">
        <v>0</v>
      </c>
      <c r="AW95" s="4">
        <v>1</v>
      </c>
      <c r="AX95" s="4">
        <v>0</v>
      </c>
      <c r="AY95" s="4">
        <v>0</v>
      </c>
      <c r="AZ95" s="4">
        <v>0</v>
      </c>
      <c r="BA95" s="4">
        <v>0</v>
      </c>
      <c r="BB95" s="4">
        <v>1</v>
      </c>
      <c r="BC95" s="4">
        <v>0</v>
      </c>
      <c r="BD95" s="4">
        <v>0</v>
      </c>
      <c r="BE95" s="4">
        <v>0</v>
      </c>
      <c r="BF95" s="4">
        <v>0</v>
      </c>
      <c r="BG95" s="4">
        <v>1</v>
      </c>
      <c r="BH95" s="4">
        <v>0</v>
      </c>
      <c r="BI95" s="4">
        <v>0</v>
      </c>
      <c r="BJ95" s="4">
        <v>0</v>
      </c>
      <c r="BK95" s="4">
        <v>0</v>
      </c>
      <c r="BL95" s="4">
        <v>1</v>
      </c>
      <c r="BM95" s="4">
        <v>0</v>
      </c>
      <c r="BN95" s="4">
        <v>0</v>
      </c>
      <c r="BO95" s="4">
        <v>0</v>
      </c>
    </row>
    <row r="96" spans="1:67" ht="15.95" customHeight="1">
      <c r="A96" s="2" t="s">
        <v>280</v>
      </c>
      <c r="B96" s="4">
        <v>1</v>
      </c>
      <c r="C96" s="4">
        <v>2</v>
      </c>
      <c r="D96" s="4">
        <v>4</v>
      </c>
      <c r="E96" s="4">
        <v>2</v>
      </c>
      <c r="F96" s="4">
        <v>5</v>
      </c>
      <c r="G96" s="4">
        <v>5</v>
      </c>
      <c r="H96" s="4">
        <v>2</v>
      </c>
      <c r="I96" s="4">
        <v>1</v>
      </c>
      <c r="J96" s="4">
        <v>2</v>
      </c>
      <c r="K96" s="4">
        <v>1</v>
      </c>
      <c r="L96" s="4">
        <v>2</v>
      </c>
      <c r="M96" s="4">
        <v>2</v>
      </c>
      <c r="N96" s="4">
        <v>2</v>
      </c>
      <c r="O96" s="4">
        <v>2</v>
      </c>
      <c r="P96" s="4">
        <v>2</v>
      </c>
      <c r="Q96" s="4">
        <v>2</v>
      </c>
      <c r="R96" s="4">
        <v>2</v>
      </c>
      <c r="S96" s="4">
        <v>1</v>
      </c>
      <c r="T96" s="4">
        <v>2</v>
      </c>
      <c r="U96" s="4">
        <v>1</v>
      </c>
      <c r="V96" s="4">
        <v>1</v>
      </c>
      <c r="W96" s="4">
        <v>1</v>
      </c>
      <c r="X96" s="4">
        <v>1</v>
      </c>
      <c r="Y96" s="4">
        <v>1</v>
      </c>
      <c r="Z96" s="4">
        <v>2</v>
      </c>
      <c r="AA96" s="4">
        <v>1</v>
      </c>
      <c r="AB96" s="4">
        <v>3</v>
      </c>
      <c r="AC96" s="4">
        <v>1</v>
      </c>
      <c r="AD96" s="4">
        <v>2</v>
      </c>
      <c r="AE96" s="4">
        <v>1</v>
      </c>
      <c r="AF96" s="4">
        <v>1</v>
      </c>
      <c r="AG96" s="4">
        <v>1</v>
      </c>
      <c r="AH96" s="4">
        <v>1</v>
      </c>
      <c r="AI96" s="4">
        <v>0</v>
      </c>
      <c r="AJ96" s="4">
        <v>0</v>
      </c>
      <c r="AK96" s="4">
        <v>1</v>
      </c>
      <c r="AL96" s="4">
        <v>0</v>
      </c>
      <c r="AM96" s="4">
        <v>0</v>
      </c>
      <c r="AN96" s="4">
        <v>0</v>
      </c>
      <c r="AO96" s="4">
        <v>0</v>
      </c>
      <c r="AP96" s="4">
        <v>1</v>
      </c>
      <c r="AQ96" s="4">
        <v>1</v>
      </c>
      <c r="AR96" s="4">
        <v>1</v>
      </c>
      <c r="AS96" s="4">
        <v>0</v>
      </c>
      <c r="AT96" s="4">
        <v>0</v>
      </c>
      <c r="AU96" s="4">
        <v>1</v>
      </c>
      <c r="AV96" s="4">
        <v>0</v>
      </c>
      <c r="AW96" s="4">
        <v>0</v>
      </c>
      <c r="AX96" s="4">
        <v>0</v>
      </c>
      <c r="AY96" s="4">
        <v>0</v>
      </c>
      <c r="AZ96" s="4">
        <v>1</v>
      </c>
      <c r="BA96" s="4">
        <v>1</v>
      </c>
      <c r="BB96" s="4">
        <v>1</v>
      </c>
      <c r="BC96" s="4">
        <v>0</v>
      </c>
      <c r="BD96" s="4">
        <v>0</v>
      </c>
      <c r="BE96" s="4">
        <v>0</v>
      </c>
      <c r="BF96" s="4">
        <v>0</v>
      </c>
      <c r="BG96" s="4">
        <v>0</v>
      </c>
      <c r="BH96" s="4">
        <v>0</v>
      </c>
      <c r="BI96" s="4">
        <v>0</v>
      </c>
      <c r="BJ96" s="4">
        <v>1</v>
      </c>
      <c r="BK96" s="4">
        <v>0</v>
      </c>
      <c r="BL96" s="4">
        <v>0</v>
      </c>
      <c r="BM96" s="4">
        <v>0</v>
      </c>
      <c r="BN96" s="4">
        <v>0</v>
      </c>
      <c r="BO96" s="4">
        <v>1</v>
      </c>
    </row>
    <row r="97" spans="1:67" ht="15.95" customHeight="1">
      <c r="A97" s="2" t="s">
        <v>281</v>
      </c>
      <c r="B97" s="4">
        <v>1</v>
      </c>
      <c r="C97" s="4">
        <v>1</v>
      </c>
      <c r="D97" s="4">
        <v>2</v>
      </c>
      <c r="E97" s="4">
        <v>1</v>
      </c>
      <c r="F97" s="4">
        <v>2</v>
      </c>
      <c r="G97" s="4">
        <v>2</v>
      </c>
      <c r="H97" s="4">
        <v>1</v>
      </c>
      <c r="I97" s="4">
        <v>1</v>
      </c>
      <c r="J97" s="4">
        <v>3</v>
      </c>
      <c r="K97" s="4">
        <v>1</v>
      </c>
      <c r="L97" s="4">
        <v>4</v>
      </c>
      <c r="M97" s="4">
        <v>4</v>
      </c>
      <c r="N97" s="4">
        <v>4</v>
      </c>
      <c r="O97" s="4">
        <v>2</v>
      </c>
      <c r="P97" s="4">
        <v>2</v>
      </c>
      <c r="Q97" s="4">
        <v>2</v>
      </c>
      <c r="R97" s="4">
        <v>4</v>
      </c>
      <c r="S97" s="4">
        <v>5</v>
      </c>
      <c r="T97" s="4">
        <v>5</v>
      </c>
      <c r="U97" s="4">
        <v>5</v>
      </c>
      <c r="V97" s="4">
        <v>5</v>
      </c>
      <c r="W97" s="4">
        <v>5</v>
      </c>
      <c r="X97" s="4">
        <v>5</v>
      </c>
      <c r="Y97" s="4">
        <v>1</v>
      </c>
      <c r="Z97" s="4">
        <v>1</v>
      </c>
      <c r="AA97" s="4">
        <v>2</v>
      </c>
      <c r="AB97" s="4">
        <v>3</v>
      </c>
      <c r="AC97" s="4">
        <v>1</v>
      </c>
      <c r="AD97" s="4">
        <v>1</v>
      </c>
      <c r="AE97" s="4">
        <v>1</v>
      </c>
      <c r="AF97" s="4">
        <v>3</v>
      </c>
      <c r="AG97" s="4">
        <v>0</v>
      </c>
      <c r="AH97" s="4">
        <v>0</v>
      </c>
      <c r="AI97" s="4">
        <v>0</v>
      </c>
      <c r="AJ97" s="4">
        <v>0</v>
      </c>
      <c r="AK97" s="4">
        <v>1</v>
      </c>
      <c r="AL97" s="4">
        <v>0</v>
      </c>
      <c r="AM97" s="4">
        <v>0</v>
      </c>
      <c r="AN97" s="4">
        <v>0</v>
      </c>
      <c r="AO97" s="4">
        <v>0</v>
      </c>
      <c r="AP97" s="4">
        <v>1</v>
      </c>
      <c r="AQ97" s="4">
        <v>0</v>
      </c>
      <c r="AR97" s="4">
        <v>0</v>
      </c>
      <c r="AS97" s="4">
        <v>0</v>
      </c>
      <c r="AT97" s="4">
        <v>0</v>
      </c>
      <c r="AU97" s="4">
        <v>1</v>
      </c>
      <c r="AV97" s="4">
        <v>0</v>
      </c>
      <c r="AW97" s="4">
        <v>0</v>
      </c>
      <c r="AX97" s="4">
        <v>0</v>
      </c>
      <c r="AY97" s="4">
        <v>0</v>
      </c>
      <c r="AZ97" s="4">
        <v>1</v>
      </c>
      <c r="BA97" s="4">
        <v>0</v>
      </c>
      <c r="BB97" s="4">
        <v>0</v>
      </c>
      <c r="BC97" s="4">
        <v>0</v>
      </c>
      <c r="BD97" s="4">
        <v>0</v>
      </c>
      <c r="BE97" s="4">
        <v>0</v>
      </c>
      <c r="BF97" s="4">
        <v>0</v>
      </c>
      <c r="BG97" s="4">
        <v>0</v>
      </c>
      <c r="BH97" s="4">
        <v>0</v>
      </c>
      <c r="BI97" s="4">
        <v>0</v>
      </c>
      <c r="BJ97" s="4">
        <v>1</v>
      </c>
      <c r="BK97" s="4">
        <v>0</v>
      </c>
      <c r="BL97" s="4">
        <v>0</v>
      </c>
      <c r="BM97" s="4">
        <v>0</v>
      </c>
      <c r="BN97" s="4">
        <v>0</v>
      </c>
      <c r="BO97" s="4">
        <v>1</v>
      </c>
    </row>
    <row r="98" spans="1:67" ht="15.95" customHeight="1">
      <c r="A98" s="2" t="s">
        <v>282</v>
      </c>
      <c r="B98" s="4">
        <v>1</v>
      </c>
      <c r="C98" s="4">
        <v>2</v>
      </c>
      <c r="D98" s="4">
        <v>5</v>
      </c>
      <c r="E98" s="4">
        <v>4</v>
      </c>
      <c r="F98" s="4">
        <v>5</v>
      </c>
      <c r="G98" s="4">
        <v>3</v>
      </c>
      <c r="H98" s="4">
        <v>1</v>
      </c>
      <c r="I98" s="4">
        <v>1</v>
      </c>
      <c r="J98" s="4">
        <v>2</v>
      </c>
      <c r="K98" s="4">
        <v>1</v>
      </c>
      <c r="L98" s="4">
        <v>3</v>
      </c>
      <c r="M98" s="4">
        <v>1</v>
      </c>
      <c r="N98" s="4">
        <v>3</v>
      </c>
      <c r="O98" s="4">
        <v>1</v>
      </c>
      <c r="P98" s="4">
        <v>1</v>
      </c>
      <c r="Q98" s="4">
        <v>1</v>
      </c>
      <c r="R98" s="4">
        <v>1</v>
      </c>
      <c r="S98" s="4">
        <v>5</v>
      </c>
      <c r="T98" s="4">
        <v>5</v>
      </c>
      <c r="U98" s="4">
        <v>2</v>
      </c>
      <c r="V98" s="4">
        <v>5</v>
      </c>
      <c r="W98" s="4">
        <v>2</v>
      </c>
      <c r="X98" s="4">
        <v>5</v>
      </c>
      <c r="Y98" s="4">
        <v>5</v>
      </c>
      <c r="Z98" s="4">
        <v>1</v>
      </c>
      <c r="AA98" s="4">
        <v>1</v>
      </c>
      <c r="AB98" s="4">
        <v>1</v>
      </c>
      <c r="AC98" s="4">
        <v>1</v>
      </c>
      <c r="AD98" s="4">
        <v>1</v>
      </c>
      <c r="AE98" s="4">
        <v>1</v>
      </c>
      <c r="AF98" s="4">
        <v>1</v>
      </c>
      <c r="AG98" s="4">
        <v>0</v>
      </c>
      <c r="AH98" s="4">
        <v>0</v>
      </c>
      <c r="AI98" s="4">
        <v>0</v>
      </c>
      <c r="AJ98" s="4">
        <v>0</v>
      </c>
      <c r="AK98" s="4">
        <v>0</v>
      </c>
      <c r="AL98" s="4">
        <v>0</v>
      </c>
      <c r="AM98" s="4">
        <v>0</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4">
        <v>0</v>
      </c>
      <c r="BF98" s="4">
        <v>0</v>
      </c>
      <c r="BG98" s="4">
        <v>0</v>
      </c>
      <c r="BH98" s="4">
        <v>0</v>
      </c>
      <c r="BI98" s="4">
        <v>0</v>
      </c>
      <c r="BJ98" s="4">
        <v>0</v>
      </c>
      <c r="BK98" s="4">
        <v>0</v>
      </c>
      <c r="BL98" s="4">
        <v>0</v>
      </c>
      <c r="BM98" s="4">
        <v>0</v>
      </c>
      <c r="BN98" s="4">
        <v>0</v>
      </c>
      <c r="BO98" s="4">
        <v>0</v>
      </c>
    </row>
    <row r="99" spans="1:67" ht="15.95" customHeight="1">
      <c r="A99" s="2" t="s">
        <v>283</v>
      </c>
      <c r="B99" s="4">
        <v>1</v>
      </c>
      <c r="C99" s="4">
        <v>2</v>
      </c>
      <c r="D99" s="4">
        <v>6</v>
      </c>
      <c r="E99" s="4">
        <v>3</v>
      </c>
      <c r="F99" s="4">
        <v>5</v>
      </c>
      <c r="G99" s="4">
        <v>2</v>
      </c>
      <c r="H99" s="4">
        <v>2</v>
      </c>
      <c r="I99" s="4">
        <v>1</v>
      </c>
      <c r="J99" s="4">
        <v>5</v>
      </c>
      <c r="K99" s="4">
        <v>1</v>
      </c>
      <c r="L99" s="4">
        <v>2</v>
      </c>
      <c r="M99" s="4">
        <v>2</v>
      </c>
      <c r="N99" s="4">
        <v>2</v>
      </c>
      <c r="O99" s="4">
        <v>2</v>
      </c>
      <c r="P99" s="4">
        <v>2</v>
      </c>
      <c r="Q99" s="4">
        <v>2</v>
      </c>
      <c r="R99" s="4">
        <v>1</v>
      </c>
      <c r="S99" s="4">
        <v>1</v>
      </c>
      <c r="T99" s="4">
        <v>1</v>
      </c>
      <c r="U99" s="4">
        <v>1</v>
      </c>
      <c r="V99" s="4">
        <v>1</v>
      </c>
      <c r="W99" s="4">
        <v>2</v>
      </c>
      <c r="X99" s="4">
        <v>2</v>
      </c>
      <c r="Y99" s="4">
        <v>1</v>
      </c>
      <c r="Z99" s="4">
        <v>1</v>
      </c>
      <c r="AA99" s="4">
        <v>1</v>
      </c>
      <c r="AB99" s="4">
        <v>1</v>
      </c>
      <c r="AC99" s="4">
        <v>1</v>
      </c>
      <c r="AD99" s="4">
        <v>1</v>
      </c>
      <c r="AE99" s="4">
        <v>1</v>
      </c>
      <c r="AF99" s="4">
        <v>1</v>
      </c>
      <c r="AG99" s="4">
        <v>1</v>
      </c>
      <c r="AH99" s="4">
        <v>0</v>
      </c>
      <c r="AI99" s="4">
        <v>0</v>
      </c>
      <c r="AJ99" s="4">
        <v>0</v>
      </c>
      <c r="AK99" s="4">
        <v>0</v>
      </c>
      <c r="AL99" s="4">
        <v>1</v>
      </c>
      <c r="AM99" s="4">
        <v>0</v>
      </c>
      <c r="AN99" s="4">
        <v>0</v>
      </c>
      <c r="AO99" s="4">
        <v>0</v>
      </c>
      <c r="AP99" s="4">
        <v>0</v>
      </c>
      <c r="AQ99" s="4">
        <v>1</v>
      </c>
      <c r="AR99" s="4">
        <v>0</v>
      </c>
      <c r="AS99" s="4">
        <v>0</v>
      </c>
      <c r="AT99" s="4">
        <v>0</v>
      </c>
      <c r="AU99" s="4">
        <v>0</v>
      </c>
      <c r="AV99" s="4">
        <v>1</v>
      </c>
      <c r="AW99" s="4">
        <v>0</v>
      </c>
      <c r="AX99" s="4">
        <v>0</v>
      </c>
      <c r="AY99" s="4">
        <v>0</v>
      </c>
      <c r="AZ99" s="4">
        <v>0</v>
      </c>
      <c r="BA99" s="4">
        <v>1</v>
      </c>
      <c r="BB99" s="4">
        <v>0</v>
      </c>
      <c r="BC99" s="4">
        <v>0</v>
      </c>
      <c r="BD99" s="4">
        <v>0</v>
      </c>
      <c r="BE99" s="4">
        <v>0</v>
      </c>
      <c r="BF99" s="4">
        <v>1</v>
      </c>
      <c r="BG99" s="4">
        <v>0</v>
      </c>
      <c r="BH99" s="4">
        <v>0</v>
      </c>
      <c r="BI99" s="4">
        <v>0</v>
      </c>
      <c r="BJ99" s="4">
        <v>0</v>
      </c>
      <c r="BK99" s="4">
        <v>1</v>
      </c>
      <c r="BL99" s="4">
        <v>0</v>
      </c>
      <c r="BM99" s="4">
        <v>0</v>
      </c>
      <c r="BN99" s="4">
        <v>0</v>
      </c>
      <c r="BO99" s="4">
        <v>0</v>
      </c>
    </row>
    <row r="100" spans="1:67" ht="15.95" customHeight="1">
      <c r="A100" s="2" t="s">
        <v>284</v>
      </c>
      <c r="B100" s="4">
        <v>1</v>
      </c>
      <c r="C100" s="4">
        <v>2</v>
      </c>
      <c r="D100" s="4">
        <v>4</v>
      </c>
      <c r="E100" s="4">
        <v>3</v>
      </c>
      <c r="F100" s="4">
        <v>5</v>
      </c>
      <c r="G100" s="4">
        <v>2</v>
      </c>
      <c r="H100" s="4">
        <v>2</v>
      </c>
      <c r="I100" s="4">
        <v>1</v>
      </c>
      <c r="J100" s="4">
        <v>2</v>
      </c>
      <c r="K100" s="4">
        <v>1</v>
      </c>
      <c r="L100" s="4">
        <v>3</v>
      </c>
      <c r="M100" s="4">
        <v>2</v>
      </c>
      <c r="N100" s="4">
        <v>3</v>
      </c>
      <c r="O100" s="4">
        <v>1</v>
      </c>
      <c r="P100" s="4">
        <v>1</v>
      </c>
      <c r="Q100" s="4">
        <v>1</v>
      </c>
      <c r="R100" s="4">
        <v>1</v>
      </c>
      <c r="S100" s="4">
        <v>2</v>
      </c>
      <c r="T100" s="4">
        <v>1</v>
      </c>
      <c r="U100" s="4">
        <v>2</v>
      </c>
      <c r="V100" s="4">
        <v>1</v>
      </c>
      <c r="W100" s="4">
        <v>5</v>
      </c>
      <c r="X100" s="4">
        <v>1</v>
      </c>
      <c r="Y100" s="4">
        <v>1</v>
      </c>
      <c r="Z100" s="4">
        <v>5</v>
      </c>
      <c r="AA100" s="4">
        <v>5</v>
      </c>
      <c r="AB100" s="4">
        <v>1</v>
      </c>
      <c r="AC100" s="4">
        <v>5</v>
      </c>
      <c r="AD100" s="4">
        <v>5</v>
      </c>
      <c r="AE100" s="4">
        <v>5</v>
      </c>
      <c r="AF100" s="4">
        <v>5</v>
      </c>
      <c r="AG100" s="4">
        <v>1</v>
      </c>
      <c r="AH100" s="4">
        <v>0</v>
      </c>
      <c r="AI100" s="4">
        <v>0</v>
      </c>
      <c r="AJ100" s="4">
        <v>0</v>
      </c>
      <c r="AK100" s="4">
        <v>0</v>
      </c>
      <c r="AL100" s="4">
        <v>1</v>
      </c>
      <c r="AM100" s="4">
        <v>0</v>
      </c>
      <c r="AN100" s="4">
        <v>0</v>
      </c>
      <c r="AO100" s="4">
        <v>0</v>
      </c>
      <c r="AP100" s="4">
        <v>0</v>
      </c>
      <c r="AQ100" s="4">
        <v>1</v>
      </c>
      <c r="AR100" s="4">
        <v>0</v>
      </c>
      <c r="AS100" s="4">
        <v>0</v>
      </c>
      <c r="AT100" s="4">
        <v>0</v>
      </c>
      <c r="AU100" s="4">
        <v>0</v>
      </c>
      <c r="AV100" s="4">
        <v>1</v>
      </c>
      <c r="AW100" s="4">
        <v>0</v>
      </c>
      <c r="AX100" s="4">
        <v>0</v>
      </c>
      <c r="AY100" s="4">
        <v>0</v>
      </c>
      <c r="AZ100" s="4">
        <v>0</v>
      </c>
      <c r="BA100" s="4">
        <v>0</v>
      </c>
      <c r="BB100" s="4">
        <v>0</v>
      </c>
      <c r="BC100" s="4">
        <v>1</v>
      </c>
      <c r="BD100" s="4">
        <v>0</v>
      </c>
      <c r="BE100" s="4">
        <v>0</v>
      </c>
      <c r="BF100" s="4">
        <v>1</v>
      </c>
      <c r="BG100" s="4">
        <v>0</v>
      </c>
      <c r="BH100" s="4">
        <v>0</v>
      </c>
      <c r="BI100" s="4">
        <v>0</v>
      </c>
      <c r="BJ100" s="4">
        <v>0</v>
      </c>
      <c r="BK100" s="4">
        <v>1</v>
      </c>
      <c r="BL100" s="4">
        <v>0</v>
      </c>
      <c r="BM100" s="4">
        <v>0</v>
      </c>
      <c r="BN100" s="4">
        <v>0</v>
      </c>
      <c r="BO100" s="4">
        <v>0</v>
      </c>
    </row>
    <row r="101" spans="1:67" ht="15.95" customHeight="1">
      <c r="A101" s="2" t="s">
        <v>285</v>
      </c>
      <c r="B101" s="4">
        <v>1</v>
      </c>
      <c r="C101" s="4">
        <v>2</v>
      </c>
      <c r="D101" s="4">
        <v>6</v>
      </c>
      <c r="E101" s="4">
        <v>4</v>
      </c>
      <c r="F101" s="4">
        <v>2</v>
      </c>
      <c r="G101" s="4">
        <v>5</v>
      </c>
      <c r="H101" s="4">
        <v>1</v>
      </c>
      <c r="I101" s="4">
        <v>1</v>
      </c>
      <c r="J101" s="4">
        <v>5</v>
      </c>
      <c r="K101" s="4">
        <v>1</v>
      </c>
      <c r="L101" s="4">
        <v>1</v>
      </c>
      <c r="M101" s="4">
        <v>1</v>
      </c>
      <c r="N101" s="4">
        <v>1</v>
      </c>
      <c r="O101" s="4">
        <v>1</v>
      </c>
      <c r="P101" s="4">
        <v>1</v>
      </c>
      <c r="Q101" s="4">
        <v>1</v>
      </c>
      <c r="R101" s="4">
        <v>1</v>
      </c>
      <c r="S101" s="4">
        <v>5</v>
      </c>
      <c r="T101" s="4">
        <v>5</v>
      </c>
      <c r="U101" s="4">
        <v>2</v>
      </c>
      <c r="V101" s="4">
        <v>1</v>
      </c>
      <c r="W101" s="4">
        <v>2</v>
      </c>
      <c r="X101" s="4">
        <v>1</v>
      </c>
      <c r="Y101" s="4">
        <v>1</v>
      </c>
      <c r="Z101" s="4">
        <v>2</v>
      </c>
      <c r="AA101" s="4">
        <v>1</v>
      </c>
      <c r="AB101" s="4">
        <v>1</v>
      </c>
      <c r="AC101" s="4">
        <v>1</v>
      </c>
      <c r="AD101" s="4">
        <v>1</v>
      </c>
      <c r="AE101" s="4">
        <v>1</v>
      </c>
      <c r="AF101" s="4">
        <v>1</v>
      </c>
      <c r="AG101" s="4">
        <v>0</v>
      </c>
      <c r="AH101" s="4">
        <v>1</v>
      </c>
      <c r="AI101" s="4">
        <v>0</v>
      </c>
      <c r="AJ101" s="4">
        <v>0</v>
      </c>
      <c r="AK101" s="4">
        <v>1</v>
      </c>
      <c r="AL101" s="4">
        <v>0</v>
      </c>
      <c r="AM101" s="4">
        <v>0</v>
      </c>
      <c r="AN101" s="4">
        <v>1</v>
      </c>
      <c r="AO101" s="4">
        <v>0</v>
      </c>
      <c r="AP101" s="4">
        <v>1</v>
      </c>
      <c r="AQ101" s="4">
        <v>0</v>
      </c>
      <c r="AR101" s="4">
        <v>1</v>
      </c>
      <c r="AS101" s="4">
        <v>0</v>
      </c>
      <c r="AT101" s="4">
        <v>0</v>
      </c>
      <c r="AU101" s="4">
        <v>1</v>
      </c>
      <c r="AV101" s="4">
        <v>0</v>
      </c>
      <c r="AW101" s="4">
        <v>1</v>
      </c>
      <c r="AX101" s="4">
        <v>0</v>
      </c>
      <c r="AY101" s="4">
        <v>0</v>
      </c>
      <c r="AZ101" s="4">
        <v>1</v>
      </c>
      <c r="BA101" s="4">
        <v>0</v>
      </c>
      <c r="BB101" s="4">
        <v>1</v>
      </c>
      <c r="BC101" s="4">
        <v>0</v>
      </c>
      <c r="BD101" s="4">
        <v>0</v>
      </c>
      <c r="BE101" s="4">
        <v>1</v>
      </c>
      <c r="BF101" s="4">
        <v>0</v>
      </c>
      <c r="BG101" s="4">
        <v>1</v>
      </c>
      <c r="BH101" s="4">
        <v>0</v>
      </c>
      <c r="BI101" s="4">
        <v>0</v>
      </c>
      <c r="BJ101" s="4">
        <v>1</v>
      </c>
      <c r="BK101" s="4">
        <v>0</v>
      </c>
      <c r="BL101" s="4">
        <v>1</v>
      </c>
      <c r="BM101" s="4">
        <v>0</v>
      </c>
      <c r="BN101" s="4">
        <v>0</v>
      </c>
      <c r="BO101" s="4">
        <v>1</v>
      </c>
    </row>
    <row r="102" spans="1:67" ht="15.95" customHeight="1">
      <c r="A102" s="2" t="s">
        <v>286</v>
      </c>
      <c r="B102" s="4">
        <v>1</v>
      </c>
      <c r="C102" s="4">
        <v>1</v>
      </c>
      <c r="D102" s="4">
        <v>3</v>
      </c>
      <c r="E102" s="4">
        <v>3</v>
      </c>
      <c r="F102" s="4">
        <v>5</v>
      </c>
      <c r="G102" s="4">
        <v>3</v>
      </c>
      <c r="H102" s="4">
        <v>2</v>
      </c>
      <c r="I102" s="4">
        <v>3</v>
      </c>
      <c r="J102" s="4">
        <v>2</v>
      </c>
      <c r="K102" s="4">
        <v>1</v>
      </c>
      <c r="L102" s="4">
        <v>3</v>
      </c>
      <c r="M102" s="4">
        <v>3</v>
      </c>
      <c r="N102" s="4">
        <v>3</v>
      </c>
      <c r="O102" s="4">
        <v>2</v>
      </c>
      <c r="P102" s="4">
        <v>4</v>
      </c>
      <c r="Q102" s="4">
        <v>3</v>
      </c>
      <c r="R102" s="4">
        <v>1</v>
      </c>
      <c r="S102" s="4">
        <v>2</v>
      </c>
      <c r="T102" s="4">
        <v>2</v>
      </c>
      <c r="U102" s="4">
        <v>2</v>
      </c>
      <c r="V102" s="4">
        <v>1</v>
      </c>
      <c r="W102" s="4">
        <v>3</v>
      </c>
      <c r="X102" s="4">
        <v>2</v>
      </c>
      <c r="Y102" s="4">
        <v>1</v>
      </c>
      <c r="Z102" s="4">
        <v>2</v>
      </c>
      <c r="AA102" s="4">
        <v>2</v>
      </c>
      <c r="AB102" s="4">
        <v>1</v>
      </c>
      <c r="AC102" s="4">
        <v>1</v>
      </c>
      <c r="AD102" s="4">
        <v>2</v>
      </c>
      <c r="AE102" s="4">
        <v>1</v>
      </c>
      <c r="AF102" s="4">
        <v>1</v>
      </c>
      <c r="AG102" s="4">
        <v>1</v>
      </c>
      <c r="AH102" s="4">
        <v>0</v>
      </c>
      <c r="AI102" s="4">
        <v>0</v>
      </c>
      <c r="AJ102" s="4">
        <v>0</v>
      </c>
      <c r="AK102" s="4">
        <v>0</v>
      </c>
      <c r="AL102" s="4">
        <v>1</v>
      </c>
      <c r="AM102" s="4">
        <v>0</v>
      </c>
      <c r="AN102" s="4">
        <v>0</v>
      </c>
      <c r="AO102" s="4">
        <v>0</v>
      </c>
      <c r="AP102" s="4">
        <v>0</v>
      </c>
      <c r="AQ102" s="4">
        <v>1</v>
      </c>
      <c r="AR102" s="4">
        <v>0</v>
      </c>
      <c r="AS102" s="4">
        <v>0</v>
      </c>
      <c r="AT102" s="4">
        <v>0</v>
      </c>
      <c r="AU102" s="4">
        <v>0</v>
      </c>
      <c r="AV102" s="4">
        <v>1</v>
      </c>
      <c r="AW102" s="4">
        <v>0</v>
      </c>
      <c r="AX102" s="4">
        <v>0</v>
      </c>
      <c r="AY102" s="4">
        <v>0</v>
      </c>
      <c r="AZ102" s="4">
        <v>0</v>
      </c>
      <c r="BA102" s="4">
        <v>1</v>
      </c>
      <c r="BB102" s="4">
        <v>0</v>
      </c>
      <c r="BC102" s="4">
        <v>0</v>
      </c>
      <c r="BD102" s="4">
        <v>0</v>
      </c>
      <c r="BE102" s="4">
        <v>0</v>
      </c>
      <c r="BF102" s="4">
        <v>1</v>
      </c>
      <c r="BG102" s="4">
        <v>0</v>
      </c>
      <c r="BH102" s="4">
        <v>0</v>
      </c>
      <c r="BI102" s="4">
        <v>0</v>
      </c>
      <c r="BJ102" s="4">
        <v>0</v>
      </c>
      <c r="BK102" s="4">
        <v>1</v>
      </c>
      <c r="BL102" s="4">
        <v>0</v>
      </c>
      <c r="BM102" s="4">
        <v>0</v>
      </c>
      <c r="BN102" s="4">
        <v>0</v>
      </c>
      <c r="BO102" s="4">
        <v>0</v>
      </c>
    </row>
    <row r="103" spans="1:67" ht="15.95" customHeight="1">
      <c r="A103" s="2" t="s">
        <v>287</v>
      </c>
      <c r="B103" s="4">
        <v>1</v>
      </c>
      <c r="C103" s="4">
        <v>2</v>
      </c>
      <c r="D103" s="4">
        <v>5</v>
      </c>
      <c r="E103" s="4">
        <v>4</v>
      </c>
      <c r="F103" s="4">
        <v>5</v>
      </c>
      <c r="G103" s="4">
        <v>2</v>
      </c>
      <c r="H103" s="4">
        <v>2</v>
      </c>
      <c r="I103" s="4">
        <v>1</v>
      </c>
      <c r="J103" s="4">
        <v>2</v>
      </c>
      <c r="K103" s="4">
        <v>1</v>
      </c>
      <c r="L103" s="4">
        <v>4</v>
      </c>
      <c r="M103" s="4">
        <v>3</v>
      </c>
      <c r="N103" s="4">
        <v>4</v>
      </c>
      <c r="O103" s="4">
        <v>3</v>
      </c>
      <c r="P103" s="4">
        <v>3</v>
      </c>
      <c r="Q103" s="4">
        <v>3</v>
      </c>
      <c r="R103" s="4">
        <v>2</v>
      </c>
      <c r="S103" s="4">
        <v>5</v>
      </c>
      <c r="T103" s="4">
        <v>5</v>
      </c>
      <c r="U103" s="4">
        <v>5</v>
      </c>
      <c r="V103" s="4">
        <v>1</v>
      </c>
      <c r="W103" s="4">
        <v>5</v>
      </c>
      <c r="X103" s="4">
        <v>5</v>
      </c>
      <c r="Y103" s="4">
        <v>1</v>
      </c>
      <c r="Z103" s="4">
        <v>2</v>
      </c>
      <c r="AA103" s="4">
        <v>2</v>
      </c>
      <c r="AB103" s="4">
        <v>2</v>
      </c>
      <c r="AC103" s="4">
        <v>1</v>
      </c>
      <c r="AD103" s="4">
        <v>2</v>
      </c>
      <c r="AE103" s="4">
        <v>1</v>
      </c>
      <c r="AF103" s="4">
        <v>1</v>
      </c>
      <c r="AG103" s="4">
        <v>1</v>
      </c>
      <c r="AH103" s="4">
        <v>0</v>
      </c>
      <c r="AI103" s="4">
        <v>0</v>
      </c>
      <c r="AJ103" s="4">
        <v>0</v>
      </c>
      <c r="AK103" s="4">
        <v>0</v>
      </c>
      <c r="AL103" s="4">
        <v>1</v>
      </c>
      <c r="AM103" s="4">
        <v>0</v>
      </c>
      <c r="AN103" s="4">
        <v>0</v>
      </c>
      <c r="AO103" s="4">
        <v>0</v>
      </c>
      <c r="AP103" s="4">
        <v>0</v>
      </c>
      <c r="AQ103" s="4">
        <v>1</v>
      </c>
      <c r="AR103" s="4">
        <v>0</v>
      </c>
      <c r="AS103" s="4">
        <v>0</v>
      </c>
      <c r="AT103" s="4">
        <v>0</v>
      </c>
      <c r="AU103" s="4">
        <v>0</v>
      </c>
      <c r="AV103" s="4">
        <v>1</v>
      </c>
      <c r="AW103" s="4">
        <v>0</v>
      </c>
      <c r="AX103" s="4">
        <v>0</v>
      </c>
      <c r="AY103" s="4">
        <v>0</v>
      </c>
      <c r="AZ103" s="4">
        <v>0</v>
      </c>
      <c r="BA103" s="4">
        <v>1</v>
      </c>
      <c r="BB103" s="4">
        <v>0</v>
      </c>
      <c r="BC103" s="4">
        <v>0</v>
      </c>
      <c r="BD103" s="4">
        <v>0</v>
      </c>
      <c r="BE103" s="4">
        <v>0</v>
      </c>
      <c r="BF103" s="4">
        <v>1</v>
      </c>
      <c r="BG103" s="4">
        <v>0</v>
      </c>
      <c r="BH103" s="4">
        <v>0</v>
      </c>
      <c r="BI103" s="4">
        <v>0</v>
      </c>
      <c r="BJ103" s="4">
        <v>0</v>
      </c>
      <c r="BK103" s="4">
        <v>1</v>
      </c>
      <c r="BL103" s="4">
        <v>0</v>
      </c>
      <c r="BM103" s="4">
        <v>0</v>
      </c>
      <c r="BN103" s="4">
        <v>0</v>
      </c>
      <c r="BO103" s="4">
        <v>0</v>
      </c>
    </row>
    <row r="104" spans="1:67" ht="15.95" customHeight="1">
      <c r="A104" s="2" t="s">
        <v>288</v>
      </c>
      <c r="B104" s="4">
        <v>1</v>
      </c>
      <c r="C104" s="4">
        <v>2</v>
      </c>
      <c r="D104" s="4">
        <v>5</v>
      </c>
      <c r="E104" s="4">
        <v>3</v>
      </c>
      <c r="F104" s="4">
        <v>5</v>
      </c>
      <c r="G104" s="4">
        <v>5</v>
      </c>
      <c r="H104" s="4">
        <v>1</v>
      </c>
      <c r="I104" s="4">
        <v>1</v>
      </c>
      <c r="J104" s="4">
        <v>1</v>
      </c>
      <c r="K104" s="4">
        <v>1</v>
      </c>
      <c r="L104" s="4">
        <v>1</v>
      </c>
      <c r="M104" s="4">
        <v>1</v>
      </c>
      <c r="N104" s="4">
        <v>1</v>
      </c>
      <c r="O104" s="4">
        <v>1</v>
      </c>
      <c r="P104" s="4">
        <v>1</v>
      </c>
      <c r="Q104" s="4">
        <v>1</v>
      </c>
      <c r="R104" s="4">
        <v>1</v>
      </c>
      <c r="S104" s="4">
        <v>3</v>
      </c>
      <c r="T104" s="4">
        <v>1</v>
      </c>
      <c r="U104" s="4">
        <v>3</v>
      </c>
      <c r="V104" s="4">
        <v>1</v>
      </c>
      <c r="W104" s="4">
        <v>5</v>
      </c>
      <c r="X104" s="4">
        <v>1</v>
      </c>
      <c r="Y104" s="4">
        <v>1</v>
      </c>
      <c r="Z104" s="4">
        <v>0</v>
      </c>
      <c r="AA104" s="4">
        <v>0</v>
      </c>
      <c r="AB104" s="4">
        <v>0</v>
      </c>
      <c r="AC104" s="4">
        <v>5</v>
      </c>
      <c r="AD104" s="4">
        <v>0</v>
      </c>
      <c r="AE104" s="4">
        <v>0</v>
      </c>
      <c r="AF104" s="4">
        <v>0</v>
      </c>
      <c r="AG104" s="4">
        <v>0</v>
      </c>
      <c r="AH104" s="4">
        <v>0</v>
      </c>
      <c r="AI104" s="4">
        <v>0</v>
      </c>
      <c r="AJ104" s="4">
        <v>0</v>
      </c>
      <c r="AK104" s="4">
        <v>0</v>
      </c>
      <c r="AL104" s="4">
        <v>0</v>
      </c>
      <c r="AM104" s="4">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4">
        <v>0</v>
      </c>
      <c r="BF104" s="4">
        <v>0</v>
      </c>
      <c r="BG104" s="4">
        <v>0</v>
      </c>
      <c r="BH104" s="4">
        <v>0</v>
      </c>
      <c r="BI104" s="4">
        <v>0</v>
      </c>
      <c r="BJ104" s="4">
        <v>0</v>
      </c>
      <c r="BK104" s="4">
        <v>0</v>
      </c>
      <c r="BL104" s="4">
        <v>0</v>
      </c>
      <c r="BM104" s="4">
        <v>0</v>
      </c>
      <c r="BN104" s="4">
        <v>0</v>
      </c>
      <c r="BO104" s="4">
        <v>0</v>
      </c>
    </row>
    <row r="105" spans="1:67" ht="15.95" customHeight="1">
      <c r="A105" s="2" t="s">
        <v>289</v>
      </c>
      <c r="B105" s="4">
        <v>1</v>
      </c>
      <c r="C105" s="4">
        <v>1</v>
      </c>
      <c r="D105" s="4">
        <v>5</v>
      </c>
      <c r="E105" s="4">
        <v>3</v>
      </c>
      <c r="F105" s="4">
        <v>5</v>
      </c>
      <c r="G105" s="4">
        <v>5</v>
      </c>
      <c r="H105" s="4">
        <v>2</v>
      </c>
      <c r="I105" s="4">
        <v>1</v>
      </c>
      <c r="J105" s="4">
        <v>2</v>
      </c>
      <c r="K105" s="4">
        <v>1</v>
      </c>
      <c r="L105" s="4">
        <v>3</v>
      </c>
      <c r="M105" s="4">
        <v>2</v>
      </c>
      <c r="N105" s="4">
        <v>3</v>
      </c>
      <c r="O105" s="4">
        <v>2</v>
      </c>
      <c r="P105" s="4">
        <v>2</v>
      </c>
      <c r="Q105" s="4">
        <v>2</v>
      </c>
      <c r="R105" s="4">
        <v>1</v>
      </c>
      <c r="S105" s="4">
        <v>1</v>
      </c>
      <c r="T105" s="4">
        <v>1</v>
      </c>
      <c r="U105" s="4">
        <v>1</v>
      </c>
      <c r="V105" s="4">
        <v>1</v>
      </c>
      <c r="W105" s="4">
        <v>2</v>
      </c>
      <c r="X105" s="4">
        <v>1</v>
      </c>
      <c r="Y105" s="4">
        <v>1</v>
      </c>
      <c r="Z105" s="4">
        <v>1</v>
      </c>
      <c r="AA105" s="4">
        <v>1</v>
      </c>
      <c r="AB105" s="4">
        <v>1</v>
      </c>
      <c r="AC105" s="4">
        <v>1</v>
      </c>
      <c r="AD105" s="4">
        <v>1</v>
      </c>
      <c r="AE105" s="4">
        <v>1</v>
      </c>
      <c r="AF105" s="4">
        <v>5</v>
      </c>
      <c r="AG105" s="4">
        <v>0</v>
      </c>
      <c r="AH105" s="4">
        <v>0</v>
      </c>
      <c r="AI105" s="4">
        <v>0</v>
      </c>
      <c r="AJ105" s="4">
        <v>1</v>
      </c>
      <c r="AK105" s="4">
        <v>0</v>
      </c>
      <c r="AL105" s="4">
        <v>0</v>
      </c>
      <c r="AM105" s="4">
        <v>0</v>
      </c>
      <c r="AN105" s="4">
        <v>0</v>
      </c>
      <c r="AO105" s="4">
        <v>1</v>
      </c>
      <c r="AP105" s="4">
        <v>0</v>
      </c>
      <c r="AQ105" s="4">
        <v>0</v>
      </c>
      <c r="AR105" s="4">
        <v>0</v>
      </c>
      <c r="AS105" s="4">
        <v>0</v>
      </c>
      <c r="AT105" s="4">
        <v>1</v>
      </c>
      <c r="AU105" s="4">
        <v>0</v>
      </c>
      <c r="AV105" s="4">
        <v>0</v>
      </c>
      <c r="AW105" s="4">
        <v>0</v>
      </c>
      <c r="AX105" s="4">
        <v>0</v>
      </c>
      <c r="AY105" s="4">
        <v>1</v>
      </c>
      <c r="AZ105" s="4">
        <v>0</v>
      </c>
      <c r="BA105" s="4">
        <v>0</v>
      </c>
      <c r="BB105" s="4">
        <v>0</v>
      </c>
      <c r="BC105" s="4">
        <v>0</v>
      </c>
      <c r="BD105" s="4">
        <v>1</v>
      </c>
      <c r="BE105" s="4">
        <v>0</v>
      </c>
      <c r="BF105" s="4">
        <v>0</v>
      </c>
      <c r="BG105" s="4">
        <v>0</v>
      </c>
      <c r="BH105" s="4">
        <v>0</v>
      </c>
      <c r="BI105" s="4">
        <v>1</v>
      </c>
      <c r="BJ105" s="4">
        <v>0</v>
      </c>
      <c r="BK105" s="4">
        <v>0</v>
      </c>
      <c r="BL105" s="4">
        <v>0</v>
      </c>
      <c r="BM105" s="4">
        <v>0</v>
      </c>
      <c r="BN105" s="4">
        <v>1</v>
      </c>
      <c r="BO105" s="4">
        <v>0</v>
      </c>
    </row>
    <row r="106" spans="1:67" ht="15.95" customHeight="1">
      <c r="A106" s="2" t="s">
        <v>290</v>
      </c>
      <c r="B106" s="4">
        <v>1</v>
      </c>
      <c r="C106" s="4">
        <v>2</v>
      </c>
      <c r="D106" s="4">
        <v>3</v>
      </c>
      <c r="E106" s="4">
        <v>3</v>
      </c>
      <c r="F106" s="4">
        <v>4</v>
      </c>
      <c r="G106" s="4">
        <v>3</v>
      </c>
      <c r="H106" s="4">
        <v>1</v>
      </c>
      <c r="I106" s="4">
        <v>1</v>
      </c>
      <c r="J106" s="4">
        <v>4</v>
      </c>
      <c r="K106" s="4">
        <v>1</v>
      </c>
      <c r="L106" s="4">
        <v>4</v>
      </c>
      <c r="M106" s="4">
        <v>2</v>
      </c>
      <c r="N106" s="4">
        <v>5</v>
      </c>
      <c r="O106" s="4">
        <v>1</v>
      </c>
      <c r="P106" s="4">
        <v>4</v>
      </c>
      <c r="Q106" s="4">
        <v>2</v>
      </c>
      <c r="R106" s="4">
        <v>1</v>
      </c>
      <c r="S106" s="4">
        <v>1</v>
      </c>
      <c r="T106" s="4">
        <v>1</v>
      </c>
      <c r="U106" s="4">
        <v>1</v>
      </c>
      <c r="V106" s="4">
        <v>1</v>
      </c>
      <c r="W106" s="4">
        <v>1</v>
      </c>
      <c r="X106" s="4">
        <v>1</v>
      </c>
      <c r="Y106" s="4">
        <v>1</v>
      </c>
      <c r="Z106" s="4">
        <v>3</v>
      </c>
      <c r="AA106" s="4">
        <v>5</v>
      </c>
      <c r="AB106" s="4">
        <v>4</v>
      </c>
      <c r="AC106" s="4">
        <v>5</v>
      </c>
      <c r="AD106" s="4">
        <v>3</v>
      </c>
      <c r="AE106" s="4">
        <v>5</v>
      </c>
      <c r="AF106" s="4">
        <v>5</v>
      </c>
      <c r="AG106" s="4">
        <v>1</v>
      </c>
      <c r="AH106" s="4">
        <v>0</v>
      </c>
      <c r="AI106" s="4">
        <v>0</v>
      </c>
      <c r="AJ106" s="4">
        <v>0</v>
      </c>
      <c r="AK106" s="4">
        <v>1</v>
      </c>
      <c r="AL106" s="4">
        <v>0</v>
      </c>
      <c r="AM106" s="4">
        <v>0</v>
      </c>
      <c r="AN106" s="4">
        <v>0</v>
      </c>
      <c r="AO106" s="4">
        <v>0</v>
      </c>
      <c r="AP106" s="4">
        <v>1</v>
      </c>
      <c r="AQ106" s="4">
        <v>1</v>
      </c>
      <c r="AR106" s="4">
        <v>1</v>
      </c>
      <c r="AS106" s="4">
        <v>0</v>
      </c>
      <c r="AT106" s="4">
        <v>0</v>
      </c>
      <c r="AU106" s="4">
        <v>1</v>
      </c>
      <c r="AV106" s="4">
        <v>0</v>
      </c>
      <c r="AW106" s="4">
        <v>0</v>
      </c>
      <c r="AX106" s="4">
        <v>0</v>
      </c>
      <c r="AY106" s="4">
        <v>0</v>
      </c>
      <c r="AZ106" s="4">
        <v>1</v>
      </c>
      <c r="BA106" s="4">
        <v>1</v>
      </c>
      <c r="BB106" s="4">
        <v>0</v>
      </c>
      <c r="BC106" s="4">
        <v>0</v>
      </c>
      <c r="BD106" s="4">
        <v>0</v>
      </c>
      <c r="BE106" s="4">
        <v>0</v>
      </c>
      <c r="BF106" s="4">
        <v>0</v>
      </c>
      <c r="BG106" s="4">
        <v>0</v>
      </c>
      <c r="BH106" s="4">
        <v>0</v>
      </c>
      <c r="BI106" s="4">
        <v>0</v>
      </c>
      <c r="BJ106" s="4">
        <v>1</v>
      </c>
      <c r="BK106" s="4">
        <v>0</v>
      </c>
      <c r="BL106" s="4">
        <v>0</v>
      </c>
      <c r="BM106" s="4">
        <v>0</v>
      </c>
      <c r="BN106" s="4">
        <v>0</v>
      </c>
      <c r="BO106" s="4">
        <v>1</v>
      </c>
    </row>
    <row r="107" spans="1:67" ht="15.95" customHeight="1">
      <c r="A107" s="2" t="s">
        <v>291</v>
      </c>
      <c r="B107" s="4">
        <v>1</v>
      </c>
      <c r="C107" s="4">
        <v>1</v>
      </c>
      <c r="D107" s="4">
        <v>3</v>
      </c>
      <c r="E107" s="4">
        <v>3</v>
      </c>
      <c r="F107" s="4">
        <v>2</v>
      </c>
      <c r="G107" s="4">
        <v>2</v>
      </c>
      <c r="H107" s="4">
        <v>2</v>
      </c>
      <c r="I107" s="4">
        <v>2</v>
      </c>
      <c r="J107" s="4">
        <v>3</v>
      </c>
      <c r="K107" s="4">
        <v>1</v>
      </c>
      <c r="L107" s="4">
        <v>3</v>
      </c>
      <c r="M107" s="4">
        <v>3</v>
      </c>
      <c r="N107" s="4">
        <v>3</v>
      </c>
      <c r="O107" s="4">
        <v>1</v>
      </c>
      <c r="P107" s="4">
        <v>1</v>
      </c>
      <c r="Q107" s="4">
        <v>1</v>
      </c>
      <c r="R107" s="4">
        <v>1</v>
      </c>
      <c r="S107" s="4">
        <v>4</v>
      </c>
      <c r="T107" s="4">
        <v>3</v>
      </c>
      <c r="U107" s="4">
        <v>3</v>
      </c>
      <c r="V107" s="4">
        <v>2</v>
      </c>
      <c r="W107" s="4">
        <v>3</v>
      </c>
      <c r="X107" s="4">
        <v>2</v>
      </c>
      <c r="Y107" s="4">
        <v>1</v>
      </c>
      <c r="Z107" s="4">
        <v>1</v>
      </c>
      <c r="AA107" s="4">
        <v>1</v>
      </c>
      <c r="AB107" s="4">
        <v>1</v>
      </c>
      <c r="AC107" s="4">
        <v>1</v>
      </c>
      <c r="AD107" s="4">
        <v>1</v>
      </c>
      <c r="AE107" s="4">
        <v>1</v>
      </c>
      <c r="AF107" s="4">
        <v>1</v>
      </c>
      <c r="AG107" s="4">
        <v>0</v>
      </c>
      <c r="AH107" s="4">
        <v>0</v>
      </c>
      <c r="AI107" s="4">
        <v>0</v>
      </c>
      <c r="AJ107" s="4">
        <v>0</v>
      </c>
      <c r="AK107" s="4">
        <v>1</v>
      </c>
      <c r="AL107" s="4">
        <v>0</v>
      </c>
      <c r="AM107" s="4">
        <v>0</v>
      </c>
      <c r="AN107" s="4">
        <v>0</v>
      </c>
      <c r="AO107" s="4">
        <v>0</v>
      </c>
      <c r="AP107" s="4">
        <v>1</v>
      </c>
      <c r="AQ107" s="4">
        <v>0</v>
      </c>
      <c r="AR107" s="4">
        <v>0</v>
      </c>
      <c r="AS107" s="4">
        <v>0</v>
      </c>
      <c r="AT107" s="4">
        <v>0</v>
      </c>
      <c r="AU107" s="4">
        <v>1</v>
      </c>
      <c r="AV107" s="4">
        <v>0</v>
      </c>
      <c r="AW107" s="4">
        <v>0</v>
      </c>
      <c r="AX107" s="4">
        <v>0</v>
      </c>
      <c r="AY107" s="4">
        <v>0</v>
      </c>
      <c r="AZ107" s="4">
        <v>1</v>
      </c>
      <c r="BA107" s="4">
        <v>0</v>
      </c>
      <c r="BB107" s="4">
        <v>0</v>
      </c>
      <c r="BC107" s="4">
        <v>1</v>
      </c>
      <c r="BD107" s="4">
        <v>0</v>
      </c>
      <c r="BE107" s="4">
        <v>0</v>
      </c>
      <c r="BF107" s="4">
        <v>0</v>
      </c>
      <c r="BG107" s="4">
        <v>0</v>
      </c>
      <c r="BH107" s="4">
        <v>0</v>
      </c>
      <c r="BI107" s="4">
        <v>0</v>
      </c>
      <c r="BJ107" s="4">
        <v>1</v>
      </c>
      <c r="BK107" s="4">
        <v>0</v>
      </c>
      <c r="BL107" s="4">
        <v>0</v>
      </c>
      <c r="BM107" s="4">
        <v>0</v>
      </c>
      <c r="BN107" s="4">
        <v>0</v>
      </c>
      <c r="BO107" s="4">
        <v>1</v>
      </c>
    </row>
    <row r="108" spans="1:67" ht="15.95" customHeight="1">
      <c r="A108" s="2" t="s">
        <v>292</v>
      </c>
      <c r="B108" s="4">
        <v>1</v>
      </c>
      <c r="C108" s="4">
        <v>1</v>
      </c>
      <c r="D108" s="4">
        <v>5</v>
      </c>
      <c r="E108" s="4">
        <v>3</v>
      </c>
      <c r="F108" s="4">
        <v>5</v>
      </c>
      <c r="G108" s="4">
        <v>2</v>
      </c>
      <c r="H108" s="4">
        <v>2</v>
      </c>
      <c r="I108" s="4">
        <v>1</v>
      </c>
      <c r="J108" s="4">
        <v>1</v>
      </c>
      <c r="K108" s="4">
        <v>1</v>
      </c>
      <c r="L108" s="4">
        <v>3</v>
      </c>
      <c r="M108" s="4">
        <v>2</v>
      </c>
      <c r="N108" s="4">
        <v>2</v>
      </c>
      <c r="O108" s="4">
        <v>2</v>
      </c>
      <c r="P108" s="4">
        <v>3</v>
      </c>
      <c r="Q108" s="4">
        <v>1</v>
      </c>
      <c r="R108" s="4">
        <v>1</v>
      </c>
      <c r="S108" s="4">
        <v>2</v>
      </c>
      <c r="T108" s="4">
        <v>0</v>
      </c>
      <c r="U108" s="4">
        <v>2</v>
      </c>
      <c r="V108" s="4">
        <v>1</v>
      </c>
      <c r="W108" s="4">
        <v>1</v>
      </c>
      <c r="X108" s="4">
        <v>0</v>
      </c>
      <c r="Y108" s="4">
        <v>1</v>
      </c>
      <c r="Z108" s="4">
        <v>3</v>
      </c>
      <c r="AA108" s="4">
        <v>0</v>
      </c>
      <c r="AB108" s="4">
        <v>1</v>
      </c>
      <c r="AC108" s="4">
        <v>1</v>
      </c>
      <c r="AD108" s="4">
        <v>2</v>
      </c>
      <c r="AE108" s="4">
        <v>0</v>
      </c>
      <c r="AF108" s="4">
        <v>1</v>
      </c>
      <c r="AG108" s="4">
        <v>0</v>
      </c>
      <c r="AH108" s="4">
        <v>0</v>
      </c>
      <c r="AI108" s="4">
        <v>0</v>
      </c>
      <c r="AJ108" s="4">
        <v>0</v>
      </c>
      <c r="AK108" s="4">
        <v>0</v>
      </c>
      <c r="AL108" s="4">
        <v>0</v>
      </c>
      <c r="AM108" s="4">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4">
        <v>0</v>
      </c>
      <c r="BF108" s="4">
        <v>0</v>
      </c>
      <c r="BG108" s="4">
        <v>0</v>
      </c>
      <c r="BH108" s="4">
        <v>0</v>
      </c>
      <c r="BI108" s="4">
        <v>0</v>
      </c>
      <c r="BJ108" s="4">
        <v>0</v>
      </c>
      <c r="BK108" s="4">
        <v>0</v>
      </c>
      <c r="BL108" s="4">
        <v>0</v>
      </c>
      <c r="BM108" s="4">
        <v>0</v>
      </c>
      <c r="BN108" s="4">
        <v>0</v>
      </c>
      <c r="BO108" s="4">
        <v>0</v>
      </c>
    </row>
    <row r="109" spans="1:67" ht="15.95" customHeight="1">
      <c r="A109" s="2" t="s">
        <v>293</v>
      </c>
      <c r="B109" s="4">
        <v>1</v>
      </c>
      <c r="C109" s="4">
        <v>1</v>
      </c>
      <c r="D109" s="4">
        <v>5</v>
      </c>
      <c r="E109" s="4">
        <v>3</v>
      </c>
      <c r="F109" s="4">
        <v>2</v>
      </c>
      <c r="G109" s="4">
        <v>2</v>
      </c>
      <c r="H109" s="4">
        <v>1</v>
      </c>
      <c r="I109" s="4">
        <v>1</v>
      </c>
      <c r="J109" s="4">
        <v>4</v>
      </c>
      <c r="K109" s="4">
        <v>1</v>
      </c>
      <c r="L109" s="4">
        <v>2</v>
      </c>
      <c r="M109" s="4">
        <v>2</v>
      </c>
      <c r="N109" s="4">
        <v>3</v>
      </c>
      <c r="O109" s="4">
        <v>1</v>
      </c>
      <c r="P109" s="4">
        <v>2</v>
      </c>
      <c r="Q109" s="4">
        <v>2</v>
      </c>
      <c r="R109" s="4">
        <v>1</v>
      </c>
      <c r="S109" s="4">
        <v>3</v>
      </c>
      <c r="T109" s="4">
        <v>1</v>
      </c>
      <c r="U109" s="4">
        <v>2</v>
      </c>
      <c r="V109" s="4">
        <v>1</v>
      </c>
      <c r="W109" s="4">
        <v>1</v>
      </c>
      <c r="X109" s="4">
        <v>1</v>
      </c>
      <c r="Y109" s="4">
        <v>1</v>
      </c>
      <c r="Z109" s="4">
        <v>5</v>
      </c>
      <c r="AA109" s="4">
        <v>1</v>
      </c>
      <c r="AB109" s="4">
        <v>1</v>
      </c>
      <c r="AC109" s="4">
        <v>1</v>
      </c>
      <c r="AD109" s="4">
        <v>5</v>
      </c>
      <c r="AE109" s="4">
        <v>1</v>
      </c>
      <c r="AF109" s="4">
        <v>5</v>
      </c>
      <c r="AG109" s="4">
        <v>0</v>
      </c>
      <c r="AH109" s="4">
        <v>0</v>
      </c>
      <c r="AI109" s="4">
        <v>0</v>
      </c>
      <c r="AJ109" s="4">
        <v>0</v>
      </c>
      <c r="AK109" s="4">
        <v>1</v>
      </c>
      <c r="AL109" s="4">
        <v>0</v>
      </c>
      <c r="AM109" s="4">
        <v>0</v>
      </c>
      <c r="AN109" s="4">
        <v>0</v>
      </c>
      <c r="AO109" s="4">
        <v>0</v>
      </c>
      <c r="AP109" s="4">
        <v>1</v>
      </c>
      <c r="AQ109" s="4">
        <v>0</v>
      </c>
      <c r="AR109" s="4">
        <v>0</v>
      </c>
      <c r="AS109" s="4">
        <v>0</v>
      </c>
      <c r="AT109" s="4">
        <v>0</v>
      </c>
      <c r="AU109" s="4">
        <v>1</v>
      </c>
      <c r="AV109" s="4">
        <v>0</v>
      </c>
      <c r="AW109" s="4">
        <v>0</v>
      </c>
      <c r="AX109" s="4">
        <v>0</v>
      </c>
      <c r="AY109" s="4">
        <v>0</v>
      </c>
      <c r="AZ109" s="4">
        <v>1</v>
      </c>
      <c r="BA109" s="4">
        <v>0</v>
      </c>
      <c r="BB109" s="4">
        <v>0</v>
      </c>
      <c r="BC109" s="4">
        <v>0</v>
      </c>
      <c r="BD109" s="4">
        <v>0</v>
      </c>
      <c r="BE109" s="4">
        <v>1</v>
      </c>
      <c r="BF109" s="4">
        <v>0</v>
      </c>
      <c r="BG109" s="4">
        <v>0</v>
      </c>
      <c r="BH109" s="4">
        <v>0</v>
      </c>
      <c r="BI109" s="4">
        <v>0</v>
      </c>
      <c r="BJ109" s="4">
        <v>1</v>
      </c>
      <c r="BK109" s="4">
        <v>0</v>
      </c>
      <c r="BL109" s="4">
        <v>0</v>
      </c>
      <c r="BM109" s="4">
        <v>0</v>
      </c>
      <c r="BN109" s="4">
        <v>0</v>
      </c>
      <c r="BO109" s="4">
        <v>1</v>
      </c>
    </row>
    <row r="110" spans="1:67" ht="15.95" customHeight="1">
      <c r="A110" s="2" t="s">
        <v>294</v>
      </c>
      <c r="B110" s="4">
        <v>1</v>
      </c>
      <c r="C110" s="4">
        <v>2</v>
      </c>
      <c r="D110" s="4">
        <v>5</v>
      </c>
      <c r="E110" s="4">
        <v>3</v>
      </c>
      <c r="F110" s="4">
        <v>5</v>
      </c>
      <c r="G110" s="4">
        <v>5</v>
      </c>
      <c r="H110" s="4">
        <v>1</v>
      </c>
      <c r="I110" s="4">
        <v>1</v>
      </c>
      <c r="J110" s="4">
        <v>5</v>
      </c>
      <c r="K110" s="4">
        <v>1</v>
      </c>
      <c r="L110" s="4">
        <v>1</v>
      </c>
      <c r="M110" s="4">
        <v>1</v>
      </c>
      <c r="N110" s="4">
        <v>1</v>
      </c>
      <c r="O110" s="4">
        <v>1</v>
      </c>
      <c r="P110" s="4">
        <v>3</v>
      </c>
      <c r="Q110" s="4">
        <v>1</v>
      </c>
      <c r="R110" s="4">
        <v>1</v>
      </c>
      <c r="S110" s="4">
        <v>2</v>
      </c>
      <c r="T110" s="4">
        <v>1</v>
      </c>
      <c r="U110" s="4">
        <v>1</v>
      </c>
      <c r="V110" s="4">
        <v>1</v>
      </c>
      <c r="W110" s="4">
        <v>2</v>
      </c>
      <c r="X110" s="4">
        <v>1</v>
      </c>
      <c r="Y110" s="4">
        <v>1</v>
      </c>
      <c r="Z110" s="4">
        <v>1</v>
      </c>
      <c r="AA110" s="4">
        <v>1</v>
      </c>
      <c r="AB110" s="4">
        <v>1</v>
      </c>
      <c r="AC110" s="4">
        <v>1</v>
      </c>
      <c r="AD110" s="4">
        <v>2</v>
      </c>
      <c r="AE110" s="4">
        <v>1</v>
      </c>
      <c r="AF110" s="4">
        <v>1</v>
      </c>
      <c r="AG110" s="4">
        <v>0</v>
      </c>
      <c r="AH110" s="4">
        <v>0</v>
      </c>
      <c r="AI110" s="4">
        <v>0</v>
      </c>
      <c r="AJ110" s="4">
        <v>0</v>
      </c>
      <c r="AK110" s="4">
        <v>1</v>
      </c>
      <c r="AL110" s="4">
        <v>0</v>
      </c>
      <c r="AM110" s="4">
        <v>0</v>
      </c>
      <c r="AN110" s="4">
        <v>0</v>
      </c>
      <c r="AO110" s="4">
        <v>0</v>
      </c>
      <c r="AP110" s="4">
        <v>1</v>
      </c>
      <c r="AQ110" s="4">
        <v>1</v>
      </c>
      <c r="AR110" s="4">
        <v>0</v>
      </c>
      <c r="AS110" s="4">
        <v>0</v>
      </c>
      <c r="AT110" s="4">
        <v>0</v>
      </c>
      <c r="AU110" s="4">
        <v>0</v>
      </c>
      <c r="AV110" s="4">
        <v>0</v>
      </c>
      <c r="AW110" s="4">
        <v>0</v>
      </c>
      <c r="AX110" s="4">
        <v>0</v>
      </c>
      <c r="AY110" s="4">
        <v>0</v>
      </c>
      <c r="AZ110" s="4">
        <v>1</v>
      </c>
      <c r="BA110" s="4">
        <v>0</v>
      </c>
      <c r="BB110" s="4">
        <v>1</v>
      </c>
      <c r="BC110" s="4">
        <v>0</v>
      </c>
      <c r="BD110" s="4">
        <v>0</v>
      </c>
      <c r="BE110" s="4">
        <v>0</v>
      </c>
      <c r="BF110" s="4">
        <v>0</v>
      </c>
      <c r="BG110" s="4">
        <v>0</v>
      </c>
      <c r="BH110" s="4">
        <v>0</v>
      </c>
      <c r="BI110" s="4">
        <v>0</v>
      </c>
      <c r="BJ110" s="4">
        <v>1</v>
      </c>
      <c r="BK110" s="4">
        <v>0</v>
      </c>
      <c r="BL110" s="4">
        <v>0</v>
      </c>
      <c r="BM110" s="4">
        <v>0</v>
      </c>
      <c r="BN110" s="4">
        <v>0</v>
      </c>
      <c r="BO110" s="4">
        <v>1</v>
      </c>
    </row>
    <row r="111" spans="1:67" ht="15.95" customHeight="1">
      <c r="A111" s="2" t="s">
        <v>295</v>
      </c>
      <c r="B111" s="4">
        <v>1</v>
      </c>
      <c r="C111" s="4">
        <v>2</v>
      </c>
      <c r="D111" s="4">
        <v>3</v>
      </c>
      <c r="E111" s="4">
        <v>2</v>
      </c>
      <c r="F111" s="4">
        <v>5</v>
      </c>
      <c r="G111" s="4">
        <v>4</v>
      </c>
      <c r="H111" s="4">
        <v>1</v>
      </c>
      <c r="I111" s="4">
        <v>1</v>
      </c>
      <c r="J111" s="4">
        <v>1</v>
      </c>
      <c r="K111" s="4">
        <v>1</v>
      </c>
      <c r="L111" s="4">
        <v>3</v>
      </c>
      <c r="M111" s="4">
        <v>3</v>
      </c>
      <c r="N111" s="4">
        <v>3</v>
      </c>
      <c r="O111" s="4">
        <v>1</v>
      </c>
      <c r="P111" s="4">
        <v>1</v>
      </c>
      <c r="Q111" s="4">
        <v>3</v>
      </c>
      <c r="R111" s="4">
        <v>1</v>
      </c>
      <c r="S111" s="4">
        <v>5</v>
      </c>
      <c r="T111" s="4">
        <v>5</v>
      </c>
      <c r="U111" s="4">
        <v>5</v>
      </c>
      <c r="V111" s="4">
        <v>5</v>
      </c>
      <c r="W111" s="4">
        <v>2</v>
      </c>
      <c r="X111" s="4">
        <v>5</v>
      </c>
      <c r="Y111" s="4">
        <v>1</v>
      </c>
      <c r="Z111" s="4">
        <v>1</v>
      </c>
      <c r="AA111" s="4">
        <v>1</v>
      </c>
      <c r="AB111" s="4">
        <v>1</v>
      </c>
      <c r="AC111" s="4">
        <v>5</v>
      </c>
      <c r="AD111" s="4">
        <v>5</v>
      </c>
      <c r="AE111" s="4">
        <v>1</v>
      </c>
      <c r="AF111" s="4">
        <v>5</v>
      </c>
      <c r="AG111" s="4">
        <v>0</v>
      </c>
      <c r="AH111" s="4">
        <v>0</v>
      </c>
      <c r="AI111" s="4">
        <v>0</v>
      </c>
      <c r="AJ111" s="4">
        <v>0</v>
      </c>
      <c r="AK111" s="4">
        <v>0</v>
      </c>
      <c r="AL111" s="4">
        <v>0</v>
      </c>
      <c r="AM111" s="4">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4">
        <v>0</v>
      </c>
      <c r="BF111" s="4">
        <v>0</v>
      </c>
      <c r="BG111" s="4">
        <v>0</v>
      </c>
      <c r="BH111" s="4">
        <v>0</v>
      </c>
      <c r="BI111" s="4">
        <v>0</v>
      </c>
      <c r="BJ111" s="4">
        <v>0</v>
      </c>
      <c r="BK111" s="4">
        <v>0</v>
      </c>
      <c r="BL111" s="4">
        <v>0</v>
      </c>
      <c r="BM111" s="4">
        <v>0</v>
      </c>
      <c r="BN111" s="4">
        <v>0</v>
      </c>
      <c r="BO111" s="4">
        <v>0</v>
      </c>
    </row>
    <row r="112" spans="1:67" ht="15.95" customHeight="1">
      <c r="A112" s="2" t="s">
        <v>296</v>
      </c>
      <c r="B112" s="4">
        <v>1</v>
      </c>
      <c r="C112" s="4">
        <v>2</v>
      </c>
      <c r="D112" s="4">
        <v>4</v>
      </c>
      <c r="E112" s="4">
        <v>3</v>
      </c>
      <c r="F112" s="4">
        <v>5</v>
      </c>
      <c r="G112" s="4">
        <v>5</v>
      </c>
      <c r="H112" s="4">
        <v>2</v>
      </c>
      <c r="I112" s="4">
        <v>1</v>
      </c>
      <c r="J112" s="4">
        <v>3</v>
      </c>
      <c r="K112" s="4">
        <v>1</v>
      </c>
      <c r="L112" s="4">
        <v>3</v>
      </c>
      <c r="M112" s="4">
        <v>2</v>
      </c>
      <c r="N112" s="4">
        <v>2</v>
      </c>
      <c r="O112" s="4">
        <v>1</v>
      </c>
      <c r="P112" s="4">
        <v>2</v>
      </c>
      <c r="Q112" s="4">
        <v>2</v>
      </c>
      <c r="R112" s="4">
        <v>1</v>
      </c>
      <c r="S112" s="4">
        <v>2</v>
      </c>
      <c r="T112" s="4">
        <v>1</v>
      </c>
      <c r="U112" s="4">
        <v>2</v>
      </c>
      <c r="V112" s="4">
        <v>1</v>
      </c>
      <c r="W112" s="4">
        <v>1</v>
      </c>
      <c r="X112" s="4">
        <v>1</v>
      </c>
      <c r="Y112" s="4">
        <v>1</v>
      </c>
      <c r="Z112" s="4">
        <v>1</v>
      </c>
      <c r="AA112" s="4">
        <v>1</v>
      </c>
      <c r="AB112" s="4">
        <v>1</v>
      </c>
      <c r="AC112" s="4">
        <v>1</v>
      </c>
      <c r="AD112" s="4">
        <v>1</v>
      </c>
      <c r="AE112" s="4">
        <v>1</v>
      </c>
      <c r="AF112" s="4">
        <v>1</v>
      </c>
      <c r="AG112" s="4">
        <v>0</v>
      </c>
      <c r="AH112" s="4">
        <v>1</v>
      </c>
      <c r="AI112" s="4">
        <v>0</v>
      </c>
      <c r="AJ112" s="4">
        <v>0</v>
      </c>
      <c r="AK112" s="4">
        <v>0</v>
      </c>
      <c r="AL112" s="4">
        <v>0</v>
      </c>
      <c r="AM112" s="4">
        <v>1</v>
      </c>
      <c r="AN112" s="4">
        <v>0</v>
      </c>
      <c r="AO112" s="4">
        <v>0</v>
      </c>
      <c r="AP112" s="4">
        <v>0</v>
      </c>
      <c r="AQ112" s="4">
        <v>0</v>
      </c>
      <c r="AR112" s="4">
        <v>1</v>
      </c>
      <c r="AS112" s="4">
        <v>0</v>
      </c>
      <c r="AT112" s="4">
        <v>0</v>
      </c>
      <c r="AU112" s="4">
        <v>0</v>
      </c>
      <c r="AV112" s="4">
        <v>0</v>
      </c>
      <c r="AW112" s="4">
        <v>1</v>
      </c>
      <c r="AX112" s="4">
        <v>0</v>
      </c>
      <c r="AY112" s="4">
        <v>0</v>
      </c>
      <c r="AZ112" s="4">
        <v>0</v>
      </c>
      <c r="BA112" s="4">
        <v>0</v>
      </c>
      <c r="BB112" s="4">
        <v>1</v>
      </c>
      <c r="BC112" s="4">
        <v>0</v>
      </c>
      <c r="BD112" s="4">
        <v>0</v>
      </c>
      <c r="BE112" s="4">
        <v>0</v>
      </c>
      <c r="BF112" s="4">
        <v>1</v>
      </c>
      <c r="BG112" s="4">
        <v>0</v>
      </c>
      <c r="BH112" s="4">
        <v>0</v>
      </c>
      <c r="BI112" s="4">
        <v>0</v>
      </c>
      <c r="BJ112" s="4">
        <v>0</v>
      </c>
      <c r="BK112" s="4">
        <v>0</v>
      </c>
      <c r="BL112" s="4">
        <v>0</v>
      </c>
      <c r="BM112" s="4">
        <v>0</v>
      </c>
      <c r="BN112" s="4">
        <v>0</v>
      </c>
      <c r="BO112" s="4">
        <v>0</v>
      </c>
    </row>
    <row r="113" spans="1:67" ht="15.95" customHeight="1">
      <c r="A113" s="2" t="s">
        <v>297</v>
      </c>
      <c r="B113" s="4">
        <v>1</v>
      </c>
      <c r="C113" s="4">
        <v>2</v>
      </c>
      <c r="D113" s="4">
        <v>5</v>
      </c>
      <c r="E113" s="4">
        <v>2</v>
      </c>
      <c r="F113" s="4">
        <v>4</v>
      </c>
      <c r="G113" s="4">
        <v>4</v>
      </c>
      <c r="H113" s="4">
        <v>2</v>
      </c>
      <c r="I113" s="4">
        <v>1</v>
      </c>
      <c r="J113" s="4">
        <v>3</v>
      </c>
      <c r="K113" s="4">
        <v>1</v>
      </c>
      <c r="L113" s="4">
        <v>1</v>
      </c>
      <c r="M113" s="4">
        <v>1</v>
      </c>
      <c r="N113" s="4">
        <v>1</v>
      </c>
      <c r="O113" s="4">
        <v>2</v>
      </c>
      <c r="P113" s="4">
        <v>1</v>
      </c>
      <c r="Q113" s="4">
        <v>1</v>
      </c>
      <c r="R113" s="4">
        <v>1</v>
      </c>
      <c r="S113" s="4">
        <v>1</v>
      </c>
      <c r="T113" s="4">
        <v>1</v>
      </c>
      <c r="U113" s="4">
        <v>1</v>
      </c>
      <c r="V113" s="4">
        <v>1</v>
      </c>
      <c r="W113" s="4">
        <v>1</v>
      </c>
      <c r="X113" s="4">
        <v>1</v>
      </c>
      <c r="Y113" s="4">
        <v>1</v>
      </c>
      <c r="Z113" s="4">
        <v>1</v>
      </c>
      <c r="AA113" s="4">
        <v>1</v>
      </c>
      <c r="AB113" s="4">
        <v>1</v>
      </c>
      <c r="AC113" s="4">
        <v>1</v>
      </c>
      <c r="AD113" s="4">
        <v>1</v>
      </c>
      <c r="AE113" s="4">
        <v>1</v>
      </c>
      <c r="AF113" s="4">
        <v>5</v>
      </c>
      <c r="AG113" s="4">
        <v>0</v>
      </c>
      <c r="AH113" s="4">
        <v>0</v>
      </c>
      <c r="AI113" s="4">
        <v>0</v>
      </c>
      <c r="AJ113" s="4">
        <v>0</v>
      </c>
      <c r="AK113" s="4">
        <v>0</v>
      </c>
      <c r="AL113" s="4">
        <v>0</v>
      </c>
      <c r="AM113" s="4">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4">
        <v>0</v>
      </c>
      <c r="BF113" s="4">
        <v>0</v>
      </c>
      <c r="BG113" s="4">
        <v>0</v>
      </c>
      <c r="BH113" s="4">
        <v>0</v>
      </c>
      <c r="BI113" s="4">
        <v>0</v>
      </c>
      <c r="BJ113" s="4">
        <v>0</v>
      </c>
      <c r="BK113" s="4">
        <v>0</v>
      </c>
      <c r="BL113" s="4">
        <v>0</v>
      </c>
      <c r="BM113" s="4">
        <v>0</v>
      </c>
      <c r="BN113" s="4">
        <v>0</v>
      </c>
      <c r="BO113" s="4">
        <v>0</v>
      </c>
    </row>
    <row r="114" spans="1:67" ht="15.95" customHeight="1">
      <c r="A114" s="2" t="s">
        <v>298</v>
      </c>
      <c r="B114" s="4">
        <v>1</v>
      </c>
      <c r="C114" s="4">
        <v>2</v>
      </c>
      <c r="D114" s="4">
        <v>6</v>
      </c>
      <c r="E114" s="4">
        <v>3</v>
      </c>
      <c r="F114" s="4">
        <v>5</v>
      </c>
      <c r="G114" s="4">
        <v>2</v>
      </c>
      <c r="H114" s="4">
        <v>2</v>
      </c>
      <c r="I114" s="4">
        <v>2</v>
      </c>
      <c r="J114" s="4">
        <v>3</v>
      </c>
      <c r="K114" s="4">
        <v>1</v>
      </c>
      <c r="L114" s="4">
        <v>5</v>
      </c>
      <c r="M114" s="4">
        <v>5</v>
      </c>
      <c r="N114" s="4">
        <v>5</v>
      </c>
      <c r="O114" s="4">
        <v>3</v>
      </c>
      <c r="P114" s="4">
        <v>4</v>
      </c>
      <c r="Q114" s="4">
        <v>4</v>
      </c>
      <c r="R114" s="4">
        <v>2</v>
      </c>
      <c r="S114" s="4">
        <v>1</v>
      </c>
      <c r="T114" s="4">
        <v>2</v>
      </c>
      <c r="U114" s="4">
        <v>1</v>
      </c>
      <c r="V114" s="4">
        <v>1</v>
      </c>
      <c r="W114" s="4">
        <v>2</v>
      </c>
      <c r="X114" s="4">
        <v>1</v>
      </c>
      <c r="Y114" s="4">
        <v>1</v>
      </c>
      <c r="Z114" s="4">
        <v>3</v>
      </c>
      <c r="AA114" s="4">
        <v>3</v>
      </c>
      <c r="AB114" s="4">
        <v>3</v>
      </c>
      <c r="AC114" s="4">
        <v>5</v>
      </c>
      <c r="AD114" s="4">
        <v>2</v>
      </c>
      <c r="AE114" s="4">
        <v>2</v>
      </c>
      <c r="AF114" s="4">
        <v>5</v>
      </c>
      <c r="AG114" s="4">
        <v>1</v>
      </c>
      <c r="AH114" s="4">
        <v>0</v>
      </c>
      <c r="AI114" s="4">
        <v>0</v>
      </c>
      <c r="AJ114" s="4">
        <v>0</v>
      </c>
      <c r="AK114" s="4">
        <v>1</v>
      </c>
      <c r="AL114" s="4">
        <v>1</v>
      </c>
      <c r="AM114" s="4">
        <v>0</v>
      </c>
      <c r="AN114" s="4">
        <v>0</v>
      </c>
      <c r="AO114" s="4">
        <v>0</v>
      </c>
      <c r="AP114" s="4">
        <v>1</v>
      </c>
      <c r="AQ114" s="4">
        <v>1</v>
      </c>
      <c r="AR114" s="4">
        <v>0</v>
      </c>
      <c r="AS114" s="4">
        <v>0</v>
      </c>
      <c r="AT114" s="4">
        <v>0</v>
      </c>
      <c r="AU114" s="4">
        <v>1</v>
      </c>
      <c r="AV114" s="4">
        <v>0</v>
      </c>
      <c r="AW114" s="4">
        <v>0</v>
      </c>
      <c r="AX114" s="4">
        <v>0</v>
      </c>
      <c r="AY114" s="4">
        <v>0</v>
      </c>
      <c r="AZ114" s="4">
        <v>1</v>
      </c>
      <c r="BA114" s="4">
        <v>1</v>
      </c>
      <c r="BB114" s="4">
        <v>0</v>
      </c>
      <c r="BC114" s="4">
        <v>0</v>
      </c>
      <c r="BD114" s="4">
        <v>0</v>
      </c>
      <c r="BE114" s="4">
        <v>0</v>
      </c>
      <c r="BF114" s="4">
        <v>1</v>
      </c>
      <c r="BG114" s="4">
        <v>0</v>
      </c>
      <c r="BH114" s="4">
        <v>0</v>
      </c>
      <c r="BI114" s="4">
        <v>0</v>
      </c>
      <c r="BJ114" s="4">
        <v>1</v>
      </c>
      <c r="BK114" s="4">
        <v>1</v>
      </c>
      <c r="BL114" s="4">
        <v>0</v>
      </c>
      <c r="BM114" s="4">
        <v>0</v>
      </c>
      <c r="BN114" s="4">
        <v>0</v>
      </c>
      <c r="BO114" s="4">
        <v>1</v>
      </c>
    </row>
    <row r="115" spans="1:67" ht="15.95" customHeight="1">
      <c r="A115" s="2" t="s">
        <v>299</v>
      </c>
      <c r="B115" s="4">
        <v>1</v>
      </c>
      <c r="C115" s="4">
        <v>2</v>
      </c>
      <c r="D115" s="4">
        <v>1</v>
      </c>
      <c r="E115" s="4">
        <v>1</v>
      </c>
      <c r="F115" s="4">
        <v>3</v>
      </c>
      <c r="G115" s="4">
        <v>3</v>
      </c>
      <c r="H115" s="4">
        <v>1</v>
      </c>
      <c r="I115" s="4">
        <v>1</v>
      </c>
      <c r="J115" s="4">
        <v>2</v>
      </c>
      <c r="K115" s="4">
        <v>1</v>
      </c>
      <c r="L115" s="4">
        <v>3</v>
      </c>
      <c r="M115" s="4">
        <v>2</v>
      </c>
      <c r="N115" s="4">
        <v>3</v>
      </c>
      <c r="O115" s="4">
        <v>1</v>
      </c>
      <c r="P115" s="4">
        <v>2</v>
      </c>
      <c r="Q115" s="4">
        <v>1</v>
      </c>
      <c r="R115" s="4">
        <v>1</v>
      </c>
      <c r="S115" s="4">
        <v>2</v>
      </c>
      <c r="T115" s="4">
        <v>1</v>
      </c>
      <c r="U115" s="4">
        <v>2</v>
      </c>
      <c r="V115" s="4">
        <v>1</v>
      </c>
      <c r="W115" s="4">
        <v>1</v>
      </c>
      <c r="X115" s="4">
        <v>1</v>
      </c>
      <c r="Y115" s="4">
        <v>1</v>
      </c>
      <c r="Z115" s="4">
        <v>2</v>
      </c>
      <c r="AA115" s="4">
        <v>1</v>
      </c>
      <c r="AB115" s="4">
        <v>2</v>
      </c>
      <c r="AC115" s="4">
        <v>1</v>
      </c>
      <c r="AD115" s="4">
        <v>1</v>
      </c>
      <c r="AE115" s="4">
        <v>1</v>
      </c>
      <c r="AF115" s="4">
        <v>1</v>
      </c>
      <c r="AG115" s="4">
        <v>0</v>
      </c>
      <c r="AH115" s="4">
        <v>0</v>
      </c>
      <c r="AI115" s="4">
        <v>0</v>
      </c>
      <c r="AJ115" s="4">
        <v>0</v>
      </c>
      <c r="AK115" s="4">
        <v>1</v>
      </c>
      <c r="AL115" s="4">
        <v>0</v>
      </c>
      <c r="AM115" s="4">
        <v>0</v>
      </c>
      <c r="AN115" s="4">
        <v>1</v>
      </c>
      <c r="AO115" s="4">
        <v>0</v>
      </c>
      <c r="AP115" s="4">
        <v>0</v>
      </c>
      <c r="AQ115" s="4">
        <v>1</v>
      </c>
      <c r="AR115" s="4">
        <v>0</v>
      </c>
      <c r="AS115" s="4">
        <v>0</v>
      </c>
      <c r="AT115" s="4">
        <v>0</v>
      </c>
      <c r="AU115" s="4">
        <v>0</v>
      </c>
      <c r="AV115" s="4">
        <v>0</v>
      </c>
      <c r="AW115" s="4">
        <v>0</v>
      </c>
      <c r="AX115" s="4">
        <v>1</v>
      </c>
      <c r="AY115" s="4">
        <v>0</v>
      </c>
      <c r="AZ115" s="4">
        <v>0</v>
      </c>
      <c r="BA115" s="4">
        <v>0</v>
      </c>
      <c r="BB115" s="4">
        <v>0</v>
      </c>
      <c r="BC115" s="4">
        <v>1</v>
      </c>
      <c r="BD115" s="4">
        <v>0</v>
      </c>
      <c r="BE115" s="4">
        <v>0</v>
      </c>
      <c r="BF115" s="4">
        <v>0</v>
      </c>
      <c r="BG115" s="4">
        <v>0</v>
      </c>
      <c r="BH115" s="4">
        <v>1</v>
      </c>
      <c r="BI115" s="4">
        <v>0</v>
      </c>
      <c r="BJ115" s="4">
        <v>0</v>
      </c>
      <c r="BK115" s="4">
        <v>0</v>
      </c>
      <c r="BL115" s="4">
        <v>0</v>
      </c>
      <c r="BM115" s="4">
        <v>1</v>
      </c>
      <c r="BN115" s="4">
        <v>0</v>
      </c>
      <c r="BO115" s="4">
        <v>0</v>
      </c>
    </row>
    <row r="116" spans="1:67" ht="15.95" customHeight="1">
      <c r="A116" s="2" t="s">
        <v>300</v>
      </c>
      <c r="B116" s="4">
        <v>1</v>
      </c>
      <c r="C116" s="4">
        <v>2</v>
      </c>
      <c r="D116" s="4">
        <v>5</v>
      </c>
      <c r="E116" s="4">
        <v>3</v>
      </c>
      <c r="F116" s="4">
        <v>5</v>
      </c>
      <c r="G116" s="4">
        <v>5</v>
      </c>
      <c r="H116" s="4">
        <v>1</v>
      </c>
      <c r="I116" s="4">
        <v>1</v>
      </c>
      <c r="J116" s="4">
        <v>3</v>
      </c>
      <c r="K116" s="4">
        <v>1</v>
      </c>
      <c r="L116" s="4">
        <v>4</v>
      </c>
      <c r="M116" s="4">
        <v>2</v>
      </c>
      <c r="N116" s="4">
        <v>4</v>
      </c>
      <c r="O116" s="4">
        <v>2</v>
      </c>
      <c r="P116" s="4">
        <v>5</v>
      </c>
      <c r="Q116" s="4">
        <v>2</v>
      </c>
      <c r="R116" s="4">
        <v>1</v>
      </c>
      <c r="S116" s="4">
        <v>2</v>
      </c>
      <c r="T116" s="4">
        <v>1</v>
      </c>
      <c r="U116" s="4">
        <v>2</v>
      </c>
      <c r="V116" s="4">
        <v>1</v>
      </c>
      <c r="W116" s="4">
        <v>1</v>
      </c>
      <c r="X116" s="4">
        <v>1</v>
      </c>
      <c r="Y116" s="4">
        <v>1</v>
      </c>
      <c r="Z116" s="4">
        <v>2</v>
      </c>
      <c r="AA116" s="4">
        <v>1</v>
      </c>
      <c r="AB116" s="4">
        <v>2</v>
      </c>
      <c r="AC116" s="4">
        <v>1</v>
      </c>
      <c r="AD116" s="4">
        <v>3</v>
      </c>
      <c r="AE116" s="4">
        <v>1</v>
      </c>
      <c r="AF116" s="4">
        <v>5</v>
      </c>
      <c r="AG116" s="4">
        <v>0</v>
      </c>
      <c r="AH116" s="4">
        <v>1</v>
      </c>
      <c r="AI116" s="4">
        <v>0</v>
      </c>
      <c r="AJ116" s="4">
        <v>0</v>
      </c>
      <c r="AK116" s="4">
        <v>0</v>
      </c>
      <c r="AL116" s="4">
        <v>0</v>
      </c>
      <c r="AM116" s="4">
        <v>0</v>
      </c>
      <c r="AN116" s="4">
        <v>0</v>
      </c>
      <c r="AO116" s="4">
        <v>0</v>
      </c>
      <c r="AP116" s="4">
        <v>0</v>
      </c>
      <c r="AQ116" s="4">
        <v>0</v>
      </c>
      <c r="AR116" s="4">
        <v>1</v>
      </c>
      <c r="AS116" s="4">
        <v>0</v>
      </c>
      <c r="AT116" s="4">
        <v>0</v>
      </c>
      <c r="AU116" s="4">
        <v>0</v>
      </c>
      <c r="AV116" s="4">
        <v>0</v>
      </c>
      <c r="AW116" s="4">
        <v>0</v>
      </c>
      <c r="AX116" s="4">
        <v>0</v>
      </c>
      <c r="AY116" s="4">
        <v>0</v>
      </c>
      <c r="AZ116" s="4">
        <v>0</v>
      </c>
      <c r="BA116" s="4">
        <v>1</v>
      </c>
      <c r="BB116" s="4">
        <v>1</v>
      </c>
      <c r="BC116" s="4">
        <v>0</v>
      </c>
      <c r="BD116" s="4">
        <v>0</v>
      </c>
      <c r="BE116" s="4">
        <v>0</v>
      </c>
      <c r="BF116" s="4">
        <v>0</v>
      </c>
      <c r="BG116" s="4">
        <v>0</v>
      </c>
      <c r="BH116" s="4">
        <v>0</v>
      </c>
      <c r="BI116" s="4">
        <v>0</v>
      </c>
      <c r="BJ116" s="4">
        <v>0</v>
      </c>
      <c r="BK116" s="4">
        <v>0</v>
      </c>
      <c r="BL116" s="4">
        <v>0</v>
      </c>
      <c r="BM116" s="4">
        <v>0</v>
      </c>
      <c r="BN116" s="4">
        <v>0</v>
      </c>
      <c r="BO116" s="4">
        <v>0</v>
      </c>
    </row>
    <row r="117" spans="1:67" ht="15.95" customHeight="1">
      <c r="A117" s="2" t="s">
        <v>301</v>
      </c>
      <c r="B117" s="4">
        <v>1</v>
      </c>
      <c r="C117" s="4">
        <v>2</v>
      </c>
      <c r="D117" s="4">
        <v>6</v>
      </c>
      <c r="E117" s="4">
        <v>4</v>
      </c>
      <c r="F117" s="4">
        <v>5</v>
      </c>
      <c r="G117" s="4">
        <v>2</v>
      </c>
      <c r="H117" s="4">
        <v>1</v>
      </c>
      <c r="I117" s="4">
        <v>1</v>
      </c>
      <c r="J117" s="4">
        <v>2</v>
      </c>
      <c r="K117" s="4">
        <v>1</v>
      </c>
      <c r="L117" s="4">
        <v>4</v>
      </c>
      <c r="M117" s="4">
        <v>3</v>
      </c>
      <c r="N117" s="4">
        <v>4</v>
      </c>
      <c r="O117" s="4">
        <v>1</v>
      </c>
      <c r="P117" s="4">
        <v>1</v>
      </c>
      <c r="Q117" s="4">
        <v>1</v>
      </c>
      <c r="R117" s="4">
        <v>1</v>
      </c>
      <c r="S117" s="4">
        <v>2</v>
      </c>
      <c r="T117" s="4">
        <v>1</v>
      </c>
      <c r="U117" s="4">
        <v>2</v>
      </c>
      <c r="V117" s="4">
        <v>1</v>
      </c>
      <c r="W117" s="4">
        <v>1</v>
      </c>
      <c r="X117" s="4">
        <v>1</v>
      </c>
      <c r="Y117" s="4">
        <v>1</v>
      </c>
      <c r="Z117" s="4">
        <v>2</v>
      </c>
      <c r="AA117" s="4">
        <v>2</v>
      </c>
      <c r="AB117" s="4">
        <v>2</v>
      </c>
      <c r="AC117" s="4">
        <v>1</v>
      </c>
      <c r="AD117" s="4">
        <v>1</v>
      </c>
      <c r="AE117" s="4">
        <v>1</v>
      </c>
      <c r="AF117" s="4">
        <v>1</v>
      </c>
      <c r="AG117" s="4">
        <v>1</v>
      </c>
      <c r="AH117" s="4">
        <v>0</v>
      </c>
      <c r="AI117" s="4">
        <v>0</v>
      </c>
      <c r="AJ117" s="4">
        <v>0</v>
      </c>
      <c r="AK117" s="4">
        <v>0</v>
      </c>
      <c r="AL117" s="4">
        <v>1</v>
      </c>
      <c r="AM117" s="4">
        <v>0</v>
      </c>
      <c r="AN117" s="4">
        <v>0</v>
      </c>
      <c r="AO117" s="4">
        <v>0</v>
      </c>
      <c r="AP117" s="4">
        <v>0</v>
      </c>
      <c r="AQ117" s="4">
        <v>1</v>
      </c>
      <c r="AR117" s="4">
        <v>0</v>
      </c>
      <c r="AS117" s="4">
        <v>0</v>
      </c>
      <c r="AT117" s="4">
        <v>0</v>
      </c>
      <c r="AU117" s="4">
        <v>0</v>
      </c>
      <c r="AV117" s="4">
        <v>0</v>
      </c>
      <c r="AW117" s="4">
        <v>0</v>
      </c>
      <c r="AX117" s="4">
        <v>0</v>
      </c>
      <c r="AY117" s="4">
        <v>1</v>
      </c>
      <c r="AZ117" s="4">
        <v>0</v>
      </c>
      <c r="BA117" s="4">
        <v>0</v>
      </c>
      <c r="BB117" s="4">
        <v>0</v>
      </c>
      <c r="BC117" s="4">
        <v>0</v>
      </c>
      <c r="BD117" s="4">
        <v>1</v>
      </c>
      <c r="BE117" s="4">
        <v>0</v>
      </c>
      <c r="BF117" s="4">
        <v>0</v>
      </c>
      <c r="BG117" s="4">
        <v>0</v>
      </c>
      <c r="BH117" s="4">
        <v>0</v>
      </c>
      <c r="BI117" s="4">
        <v>1</v>
      </c>
      <c r="BJ117" s="4">
        <v>0</v>
      </c>
      <c r="BK117" s="4">
        <v>0</v>
      </c>
      <c r="BL117" s="4">
        <v>0</v>
      </c>
      <c r="BM117" s="4">
        <v>0</v>
      </c>
      <c r="BN117" s="4">
        <v>1</v>
      </c>
      <c r="BO117" s="4">
        <v>0</v>
      </c>
    </row>
    <row r="118" spans="1:67" ht="15.95" customHeight="1">
      <c r="A118" s="2" t="s">
        <v>302</v>
      </c>
      <c r="B118" s="4">
        <v>1</v>
      </c>
      <c r="C118" s="4">
        <v>1</v>
      </c>
      <c r="D118" s="4">
        <v>5</v>
      </c>
      <c r="E118" s="4">
        <v>2</v>
      </c>
      <c r="F118" s="4">
        <v>5</v>
      </c>
      <c r="G118" s="4">
        <v>3</v>
      </c>
      <c r="H118" s="4">
        <v>1</v>
      </c>
      <c r="I118" s="4">
        <v>1</v>
      </c>
      <c r="J118" s="4">
        <v>2</v>
      </c>
      <c r="K118" s="4">
        <v>1</v>
      </c>
      <c r="L118" s="4">
        <v>2</v>
      </c>
      <c r="M118" s="4">
        <v>1</v>
      </c>
      <c r="N118" s="4">
        <v>2</v>
      </c>
      <c r="O118" s="4">
        <v>1</v>
      </c>
      <c r="P118" s="4">
        <v>1</v>
      </c>
      <c r="Q118" s="4">
        <v>1</v>
      </c>
      <c r="R118" s="4">
        <v>1</v>
      </c>
      <c r="S118" s="4">
        <v>3</v>
      </c>
      <c r="T118" s="4">
        <v>2</v>
      </c>
      <c r="U118" s="4">
        <v>3</v>
      </c>
      <c r="V118" s="4">
        <v>2</v>
      </c>
      <c r="W118" s="4">
        <v>3</v>
      </c>
      <c r="X118" s="4">
        <v>2</v>
      </c>
      <c r="Y118" s="4">
        <v>2</v>
      </c>
      <c r="Z118" s="4">
        <v>1</v>
      </c>
      <c r="AA118" s="4">
        <v>1</v>
      </c>
      <c r="AB118" s="4">
        <v>1</v>
      </c>
      <c r="AC118" s="4">
        <v>1</v>
      </c>
      <c r="AD118" s="4">
        <v>1</v>
      </c>
      <c r="AE118" s="4">
        <v>1</v>
      </c>
      <c r="AF118" s="4">
        <v>1</v>
      </c>
      <c r="AG118" s="4">
        <v>0</v>
      </c>
      <c r="AH118" s="4">
        <v>0</v>
      </c>
      <c r="AI118" s="4">
        <v>0</v>
      </c>
      <c r="AJ118" s="4">
        <v>0</v>
      </c>
      <c r="AK118" s="4">
        <v>1</v>
      </c>
      <c r="AL118" s="4">
        <v>0</v>
      </c>
      <c r="AM118" s="4">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4">
        <v>0</v>
      </c>
      <c r="BF118" s="4">
        <v>0</v>
      </c>
      <c r="BG118" s="4">
        <v>0</v>
      </c>
      <c r="BH118" s="4">
        <v>0</v>
      </c>
      <c r="BI118" s="4">
        <v>0</v>
      </c>
      <c r="BJ118" s="4">
        <v>0</v>
      </c>
      <c r="BK118" s="4">
        <v>0</v>
      </c>
      <c r="BL118" s="4">
        <v>0</v>
      </c>
      <c r="BM118" s="4">
        <v>0</v>
      </c>
      <c r="BN118" s="4">
        <v>0</v>
      </c>
      <c r="BO118" s="4">
        <v>0</v>
      </c>
    </row>
    <row r="119" spans="1:67" ht="15.95" customHeight="1">
      <c r="A119" s="2" t="s">
        <v>303</v>
      </c>
      <c r="B119" s="4">
        <v>1</v>
      </c>
      <c r="C119" s="4">
        <v>2</v>
      </c>
      <c r="D119" s="4">
        <v>4</v>
      </c>
      <c r="E119" s="4">
        <v>2</v>
      </c>
      <c r="F119" s="4">
        <v>5</v>
      </c>
      <c r="G119" s="4">
        <v>2</v>
      </c>
      <c r="H119" s="4">
        <v>2</v>
      </c>
      <c r="I119" s="4">
        <v>1</v>
      </c>
      <c r="J119" s="4">
        <v>1</v>
      </c>
      <c r="K119" s="4">
        <v>1</v>
      </c>
      <c r="L119" s="4">
        <v>3</v>
      </c>
      <c r="M119" s="4">
        <v>2</v>
      </c>
      <c r="N119" s="4">
        <v>3</v>
      </c>
      <c r="O119" s="4">
        <v>2</v>
      </c>
      <c r="P119" s="4">
        <v>3</v>
      </c>
      <c r="Q119" s="4">
        <v>1</v>
      </c>
      <c r="R119" s="4">
        <v>2</v>
      </c>
      <c r="S119" s="4">
        <v>5</v>
      </c>
      <c r="T119" s="4">
        <v>5</v>
      </c>
      <c r="U119" s="4">
        <v>5</v>
      </c>
      <c r="V119" s="4">
        <v>5</v>
      </c>
      <c r="W119" s="4">
        <v>5</v>
      </c>
      <c r="X119" s="4">
        <v>5</v>
      </c>
      <c r="Y119" s="4">
        <v>5</v>
      </c>
      <c r="Z119" s="4">
        <v>2</v>
      </c>
      <c r="AA119" s="4">
        <v>5</v>
      </c>
      <c r="AB119" s="4">
        <v>2</v>
      </c>
      <c r="AC119" s="4">
        <v>2</v>
      </c>
      <c r="AD119" s="4">
        <v>1</v>
      </c>
      <c r="AE119" s="4">
        <v>5</v>
      </c>
      <c r="AF119" s="4">
        <v>5</v>
      </c>
      <c r="AG119" s="4">
        <v>0</v>
      </c>
      <c r="AH119" s="4">
        <v>0</v>
      </c>
      <c r="AI119" s="4">
        <v>0</v>
      </c>
      <c r="AJ119" s="4">
        <v>0</v>
      </c>
      <c r="AK119" s="4">
        <v>0</v>
      </c>
      <c r="AL119" s="4">
        <v>0</v>
      </c>
      <c r="AM119" s="4">
        <v>0</v>
      </c>
      <c r="AN119" s="4">
        <v>0</v>
      </c>
      <c r="AO119" s="4">
        <v>0</v>
      </c>
      <c r="AP119" s="4">
        <v>0</v>
      </c>
      <c r="AQ119" s="4">
        <v>0</v>
      </c>
      <c r="AR119" s="4">
        <v>0</v>
      </c>
      <c r="AS119" s="4">
        <v>0</v>
      </c>
      <c r="AT119" s="4">
        <v>0</v>
      </c>
      <c r="AU119" s="4">
        <v>0</v>
      </c>
      <c r="AV119" s="4">
        <v>1</v>
      </c>
      <c r="AW119" s="4">
        <v>0</v>
      </c>
      <c r="AX119" s="4">
        <v>0</v>
      </c>
      <c r="AY119" s="4">
        <v>0</v>
      </c>
      <c r="AZ119" s="4">
        <v>0</v>
      </c>
      <c r="BA119" s="4">
        <v>1</v>
      </c>
      <c r="BB119" s="4">
        <v>0</v>
      </c>
      <c r="BC119" s="4">
        <v>0</v>
      </c>
      <c r="BD119" s="4">
        <v>0</v>
      </c>
      <c r="BE119" s="4">
        <v>0</v>
      </c>
      <c r="BF119" s="4">
        <v>1</v>
      </c>
      <c r="BG119" s="4">
        <v>0</v>
      </c>
      <c r="BH119" s="4">
        <v>0</v>
      </c>
      <c r="BI119" s="4">
        <v>0</v>
      </c>
      <c r="BJ119" s="4">
        <v>0</v>
      </c>
      <c r="BK119" s="4">
        <v>0</v>
      </c>
      <c r="BL119" s="4">
        <v>0</v>
      </c>
      <c r="BM119" s="4">
        <v>0</v>
      </c>
      <c r="BN119" s="4">
        <v>0</v>
      </c>
      <c r="BO119" s="4">
        <v>0</v>
      </c>
    </row>
    <row r="120" spans="1:67" ht="15.95" customHeight="1">
      <c r="A120" s="2" t="s">
        <v>304</v>
      </c>
      <c r="B120" s="4">
        <v>1</v>
      </c>
      <c r="C120" s="4">
        <v>2</v>
      </c>
      <c r="D120" s="4">
        <v>5</v>
      </c>
      <c r="E120" s="4">
        <v>3</v>
      </c>
      <c r="F120" s="4">
        <v>5</v>
      </c>
      <c r="G120" s="4">
        <v>2</v>
      </c>
      <c r="H120" s="4">
        <v>2</v>
      </c>
      <c r="I120" s="4">
        <v>1</v>
      </c>
      <c r="J120" s="4">
        <v>2</v>
      </c>
      <c r="K120" s="4">
        <v>1</v>
      </c>
      <c r="L120" s="4">
        <v>5</v>
      </c>
      <c r="M120" s="4">
        <v>1</v>
      </c>
      <c r="N120" s="4">
        <v>5</v>
      </c>
      <c r="O120" s="4">
        <v>1</v>
      </c>
      <c r="P120" s="4">
        <v>5</v>
      </c>
      <c r="Q120" s="4">
        <v>2</v>
      </c>
      <c r="R120" s="4">
        <v>1</v>
      </c>
      <c r="S120" s="4">
        <v>1</v>
      </c>
      <c r="T120" s="4">
        <v>5</v>
      </c>
      <c r="U120" s="4">
        <v>5</v>
      </c>
      <c r="V120" s="4">
        <v>1</v>
      </c>
      <c r="W120" s="4">
        <v>2</v>
      </c>
      <c r="X120" s="4">
        <v>5</v>
      </c>
      <c r="Y120" s="4">
        <v>1</v>
      </c>
      <c r="Z120" s="4">
        <v>1</v>
      </c>
      <c r="AA120" s="4">
        <v>1</v>
      </c>
      <c r="AB120" s="4">
        <v>3</v>
      </c>
      <c r="AC120" s="4">
        <v>1</v>
      </c>
      <c r="AD120" s="4">
        <v>3</v>
      </c>
      <c r="AE120" s="4">
        <v>1</v>
      </c>
      <c r="AF120" s="4">
        <v>5</v>
      </c>
      <c r="AG120" s="4">
        <v>1</v>
      </c>
      <c r="AH120" s="4">
        <v>0</v>
      </c>
      <c r="AI120" s="4">
        <v>0</v>
      </c>
      <c r="AJ120" s="4">
        <v>0</v>
      </c>
      <c r="AK120" s="4">
        <v>0</v>
      </c>
      <c r="AL120" s="4">
        <v>0</v>
      </c>
      <c r="AM120" s="4">
        <v>0</v>
      </c>
      <c r="AN120" s="4">
        <v>0</v>
      </c>
      <c r="AO120" s="4">
        <v>0</v>
      </c>
      <c r="AP120" s="4">
        <v>0</v>
      </c>
      <c r="AQ120" s="4">
        <v>1</v>
      </c>
      <c r="AR120" s="4">
        <v>0</v>
      </c>
      <c r="AS120" s="4">
        <v>0</v>
      </c>
      <c r="AT120" s="4">
        <v>0</v>
      </c>
      <c r="AU120" s="4">
        <v>0</v>
      </c>
      <c r="AV120" s="4">
        <v>0</v>
      </c>
      <c r="AW120" s="4">
        <v>0</v>
      </c>
      <c r="AX120" s="4">
        <v>0</v>
      </c>
      <c r="AY120" s="4">
        <v>0</v>
      </c>
      <c r="AZ120" s="4">
        <v>0</v>
      </c>
      <c r="BA120" s="4">
        <v>1</v>
      </c>
      <c r="BB120" s="4">
        <v>0</v>
      </c>
      <c r="BC120" s="4">
        <v>0</v>
      </c>
      <c r="BD120" s="4">
        <v>0</v>
      </c>
      <c r="BE120" s="4">
        <v>0</v>
      </c>
      <c r="BF120" s="4">
        <v>1</v>
      </c>
      <c r="BG120" s="4">
        <v>0</v>
      </c>
      <c r="BH120" s="4">
        <v>0</v>
      </c>
      <c r="BI120" s="4">
        <v>0</v>
      </c>
      <c r="BJ120" s="4">
        <v>0</v>
      </c>
      <c r="BK120" s="4">
        <v>0</v>
      </c>
      <c r="BL120" s="4">
        <v>0</v>
      </c>
      <c r="BM120" s="4">
        <v>0</v>
      </c>
      <c r="BN120" s="4">
        <v>0</v>
      </c>
      <c r="BO120" s="4">
        <v>0</v>
      </c>
    </row>
    <row r="121" spans="1:67" ht="15.95" customHeight="1">
      <c r="A121" s="2" t="s">
        <v>305</v>
      </c>
      <c r="B121" s="4">
        <v>1</v>
      </c>
      <c r="C121" s="4">
        <v>2</v>
      </c>
      <c r="D121" s="4">
        <v>5</v>
      </c>
      <c r="E121" s="4">
        <v>2</v>
      </c>
      <c r="F121" s="4">
        <v>4</v>
      </c>
      <c r="G121" s="4">
        <v>4</v>
      </c>
      <c r="H121" s="4">
        <v>1</v>
      </c>
      <c r="I121" s="4">
        <v>1</v>
      </c>
      <c r="J121" s="4">
        <v>2</v>
      </c>
      <c r="K121" s="4">
        <v>1</v>
      </c>
      <c r="L121" s="4">
        <v>2</v>
      </c>
      <c r="M121" s="4">
        <v>2</v>
      </c>
      <c r="N121" s="4">
        <v>2</v>
      </c>
      <c r="O121" s="4">
        <v>2</v>
      </c>
      <c r="P121" s="4">
        <v>2</v>
      </c>
      <c r="Q121" s="4">
        <v>2</v>
      </c>
      <c r="R121" s="4">
        <v>1</v>
      </c>
      <c r="S121" s="4">
        <v>1</v>
      </c>
      <c r="T121" s="4">
        <v>1</v>
      </c>
      <c r="U121" s="4">
        <v>1</v>
      </c>
      <c r="V121" s="4">
        <v>1</v>
      </c>
      <c r="W121" s="4">
        <v>1</v>
      </c>
      <c r="X121" s="4">
        <v>1</v>
      </c>
      <c r="Y121" s="4">
        <v>1</v>
      </c>
      <c r="Z121" s="4">
        <v>5</v>
      </c>
      <c r="AA121" s="4">
        <v>5</v>
      </c>
      <c r="AB121" s="4">
        <v>5</v>
      </c>
      <c r="AC121" s="4">
        <v>5</v>
      </c>
      <c r="AD121" s="4">
        <v>3</v>
      </c>
      <c r="AE121" s="4">
        <v>5</v>
      </c>
      <c r="AF121" s="4">
        <v>5</v>
      </c>
      <c r="AG121" s="4">
        <v>0</v>
      </c>
      <c r="AH121" s="4">
        <v>0</v>
      </c>
      <c r="AI121" s="4">
        <v>0</v>
      </c>
      <c r="AJ121" s="4">
        <v>0</v>
      </c>
      <c r="AK121" s="4">
        <v>0</v>
      </c>
      <c r="AL121" s="4">
        <v>0</v>
      </c>
      <c r="AM121" s="4">
        <v>0</v>
      </c>
      <c r="AN121" s="4">
        <v>0</v>
      </c>
      <c r="AO121" s="4">
        <v>0</v>
      </c>
      <c r="AP121" s="4">
        <v>0</v>
      </c>
      <c r="AQ121" s="4">
        <v>0</v>
      </c>
      <c r="AR121" s="4">
        <v>0</v>
      </c>
      <c r="AS121" s="4">
        <v>0</v>
      </c>
      <c r="AT121" s="4">
        <v>0</v>
      </c>
      <c r="AU121" s="4">
        <v>0</v>
      </c>
      <c r="AV121" s="4">
        <v>0</v>
      </c>
      <c r="AW121" s="4">
        <v>0</v>
      </c>
      <c r="AX121" s="4">
        <v>0</v>
      </c>
      <c r="AY121" s="4">
        <v>0</v>
      </c>
      <c r="AZ121" s="4">
        <v>0</v>
      </c>
      <c r="BA121" s="4">
        <v>1</v>
      </c>
      <c r="BB121" s="4">
        <v>1</v>
      </c>
      <c r="BC121" s="4">
        <v>0</v>
      </c>
      <c r="BD121" s="4">
        <v>0</v>
      </c>
      <c r="BE121" s="4">
        <v>0</v>
      </c>
      <c r="BF121" s="4">
        <v>0</v>
      </c>
      <c r="BG121" s="4">
        <v>0</v>
      </c>
      <c r="BH121" s="4">
        <v>0</v>
      </c>
      <c r="BI121" s="4">
        <v>0</v>
      </c>
      <c r="BJ121" s="4">
        <v>0</v>
      </c>
      <c r="BK121" s="4">
        <v>0</v>
      </c>
      <c r="BL121" s="4">
        <v>0</v>
      </c>
      <c r="BM121" s="4">
        <v>0</v>
      </c>
      <c r="BN121" s="4">
        <v>0</v>
      </c>
      <c r="BO121" s="4">
        <v>0</v>
      </c>
    </row>
    <row r="122" spans="1:67" ht="15.95" customHeight="1">
      <c r="A122" s="2" t="s">
        <v>306</v>
      </c>
      <c r="B122" s="4">
        <v>1</v>
      </c>
      <c r="C122" s="4">
        <v>1</v>
      </c>
      <c r="D122" s="4">
        <v>4</v>
      </c>
      <c r="E122" s="4">
        <v>3</v>
      </c>
      <c r="F122" s="4">
        <v>5</v>
      </c>
      <c r="G122" s="4">
        <v>5</v>
      </c>
      <c r="H122" s="4">
        <v>2</v>
      </c>
      <c r="I122" s="4">
        <v>2</v>
      </c>
      <c r="J122" s="4">
        <v>1</v>
      </c>
      <c r="K122" s="4">
        <v>1</v>
      </c>
      <c r="L122" s="4">
        <v>4</v>
      </c>
      <c r="M122" s="4">
        <v>2</v>
      </c>
      <c r="N122" s="4">
        <v>2</v>
      </c>
      <c r="O122" s="4">
        <v>4</v>
      </c>
      <c r="P122" s="4">
        <v>1</v>
      </c>
      <c r="Q122" s="4">
        <v>2</v>
      </c>
      <c r="R122" s="4">
        <v>1</v>
      </c>
      <c r="S122" s="4">
        <v>1</v>
      </c>
      <c r="T122" s="4">
        <v>1</v>
      </c>
      <c r="U122" s="4">
        <v>1</v>
      </c>
      <c r="V122" s="4">
        <v>1</v>
      </c>
      <c r="W122" s="4">
        <v>4</v>
      </c>
      <c r="X122" s="4">
        <v>1</v>
      </c>
      <c r="Y122" s="4">
        <v>1</v>
      </c>
      <c r="Z122" s="4">
        <v>2</v>
      </c>
      <c r="AA122" s="4">
        <v>1</v>
      </c>
      <c r="AB122" s="4">
        <v>1</v>
      </c>
      <c r="AC122" s="4">
        <v>2</v>
      </c>
      <c r="AD122" s="4">
        <v>1</v>
      </c>
      <c r="AE122" s="4">
        <v>1</v>
      </c>
      <c r="AF122" s="4">
        <v>1</v>
      </c>
      <c r="AG122" s="4">
        <v>0</v>
      </c>
      <c r="AH122" s="4">
        <v>0</v>
      </c>
      <c r="AI122" s="4">
        <v>0</v>
      </c>
      <c r="AJ122" s="4">
        <v>0</v>
      </c>
      <c r="AK122" s="4">
        <v>1</v>
      </c>
      <c r="AL122" s="4">
        <v>1</v>
      </c>
      <c r="AM122" s="4">
        <v>0</v>
      </c>
      <c r="AN122" s="4">
        <v>0</v>
      </c>
      <c r="AO122" s="4">
        <v>0</v>
      </c>
      <c r="AP122" s="4">
        <v>0</v>
      </c>
      <c r="AQ122" s="4">
        <v>0</v>
      </c>
      <c r="AR122" s="4">
        <v>0</v>
      </c>
      <c r="AS122" s="4">
        <v>0</v>
      </c>
      <c r="AT122" s="4">
        <v>0</v>
      </c>
      <c r="AU122" s="4">
        <v>1</v>
      </c>
      <c r="AV122" s="4">
        <v>0</v>
      </c>
      <c r="AW122" s="4">
        <v>0</v>
      </c>
      <c r="AX122" s="4">
        <v>0</v>
      </c>
      <c r="AY122" s="4">
        <v>0</v>
      </c>
      <c r="AZ122" s="4">
        <v>1</v>
      </c>
      <c r="BA122" s="4">
        <v>0</v>
      </c>
      <c r="BB122" s="4">
        <v>0</v>
      </c>
      <c r="BC122" s="4">
        <v>0</v>
      </c>
      <c r="BD122" s="4">
        <v>1</v>
      </c>
      <c r="BE122" s="4">
        <v>0</v>
      </c>
      <c r="BF122" s="4">
        <v>0</v>
      </c>
      <c r="BG122" s="4">
        <v>0</v>
      </c>
      <c r="BH122" s="4">
        <v>1</v>
      </c>
      <c r="BI122" s="4">
        <v>0</v>
      </c>
      <c r="BJ122" s="4">
        <v>0</v>
      </c>
      <c r="BK122" s="4">
        <v>0</v>
      </c>
      <c r="BL122" s="4">
        <v>0</v>
      </c>
      <c r="BM122" s="4">
        <v>0</v>
      </c>
      <c r="BN122" s="4">
        <v>0</v>
      </c>
      <c r="BO122" s="4">
        <v>1</v>
      </c>
    </row>
    <row r="123" spans="1:67" ht="15.95" customHeight="1">
      <c r="A123" s="2" t="s">
        <v>307</v>
      </c>
      <c r="B123" s="4">
        <v>1</v>
      </c>
      <c r="C123" s="4">
        <v>2</v>
      </c>
      <c r="D123" s="4">
        <v>3</v>
      </c>
      <c r="E123" s="4">
        <v>1</v>
      </c>
      <c r="F123" s="4">
        <v>5</v>
      </c>
      <c r="G123" s="4">
        <v>2</v>
      </c>
      <c r="H123" s="4">
        <v>1</v>
      </c>
      <c r="I123" s="4">
        <v>1</v>
      </c>
      <c r="J123" s="4">
        <v>2</v>
      </c>
      <c r="K123" s="4">
        <v>1</v>
      </c>
      <c r="L123" s="4">
        <v>2</v>
      </c>
      <c r="M123" s="4">
        <v>1</v>
      </c>
      <c r="N123" s="4">
        <v>2</v>
      </c>
      <c r="O123" s="4">
        <v>1</v>
      </c>
      <c r="P123" s="4">
        <v>1</v>
      </c>
      <c r="Q123" s="4">
        <v>1</v>
      </c>
      <c r="R123" s="4">
        <v>1</v>
      </c>
      <c r="S123" s="4">
        <v>5</v>
      </c>
      <c r="T123" s="4">
        <v>1</v>
      </c>
      <c r="U123" s="4">
        <v>5</v>
      </c>
      <c r="V123" s="4">
        <v>1</v>
      </c>
      <c r="W123" s="4">
        <v>5</v>
      </c>
      <c r="X123" s="4">
        <v>1</v>
      </c>
      <c r="Y123" s="4">
        <v>1</v>
      </c>
      <c r="Z123" s="4">
        <v>1</v>
      </c>
      <c r="AA123" s="4">
        <v>5</v>
      </c>
      <c r="AB123" s="4">
        <v>1</v>
      </c>
      <c r="AC123" s="4">
        <v>5</v>
      </c>
      <c r="AD123" s="4">
        <v>5</v>
      </c>
      <c r="AE123" s="4">
        <v>5</v>
      </c>
      <c r="AF123" s="4">
        <v>0</v>
      </c>
      <c r="AG123" s="4">
        <v>0</v>
      </c>
      <c r="AH123" s="4">
        <v>0</v>
      </c>
      <c r="AI123" s="4">
        <v>0</v>
      </c>
      <c r="AJ123" s="4">
        <v>0</v>
      </c>
      <c r="AK123" s="4">
        <v>0</v>
      </c>
      <c r="AL123" s="4">
        <v>1</v>
      </c>
      <c r="AM123" s="4">
        <v>0</v>
      </c>
      <c r="AN123" s="4">
        <v>0</v>
      </c>
      <c r="AO123" s="4">
        <v>0</v>
      </c>
      <c r="AP123" s="4">
        <v>0</v>
      </c>
      <c r="AQ123" s="4">
        <v>0</v>
      </c>
      <c r="AR123" s="4">
        <v>0</v>
      </c>
      <c r="AS123" s="4">
        <v>0</v>
      </c>
      <c r="AT123" s="4">
        <v>0</v>
      </c>
      <c r="AU123" s="4">
        <v>0</v>
      </c>
      <c r="AV123" s="4">
        <v>1</v>
      </c>
      <c r="AW123" s="4">
        <v>0</v>
      </c>
      <c r="AX123" s="4">
        <v>0</v>
      </c>
      <c r="AY123" s="4">
        <v>0</v>
      </c>
      <c r="AZ123" s="4">
        <v>0</v>
      </c>
      <c r="BA123" s="4">
        <v>0</v>
      </c>
      <c r="BB123" s="4">
        <v>0</v>
      </c>
      <c r="BC123" s="4">
        <v>0</v>
      </c>
      <c r="BD123" s="4">
        <v>0</v>
      </c>
      <c r="BE123" s="4">
        <v>0</v>
      </c>
      <c r="BF123" s="4">
        <v>1</v>
      </c>
      <c r="BG123" s="4">
        <v>0</v>
      </c>
      <c r="BH123" s="4">
        <v>0</v>
      </c>
      <c r="BI123" s="4">
        <v>0</v>
      </c>
      <c r="BJ123" s="4">
        <v>0</v>
      </c>
      <c r="BK123" s="4">
        <v>0</v>
      </c>
      <c r="BL123" s="4">
        <v>0</v>
      </c>
      <c r="BM123" s="4">
        <v>0</v>
      </c>
      <c r="BN123" s="4">
        <v>0</v>
      </c>
      <c r="BO123" s="4">
        <v>0</v>
      </c>
    </row>
    <row r="124" spans="1:67" ht="15.95" customHeight="1">
      <c r="A124" s="2" t="s">
        <v>308</v>
      </c>
      <c r="B124" s="4">
        <v>1</v>
      </c>
      <c r="C124" s="4">
        <v>1</v>
      </c>
      <c r="D124" s="4">
        <v>3</v>
      </c>
      <c r="E124" s="4">
        <v>1</v>
      </c>
      <c r="F124" s="4">
        <v>5</v>
      </c>
      <c r="G124" s="4">
        <v>5</v>
      </c>
      <c r="H124" s="4">
        <v>2</v>
      </c>
      <c r="I124" s="4">
        <v>1</v>
      </c>
      <c r="J124" s="4">
        <v>3</v>
      </c>
      <c r="K124" s="4">
        <v>1</v>
      </c>
      <c r="L124" s="4">
        <v>2</v>
      </c>
      <c r="M124" s="4">
        <v>3</v>
      </c>
      <c r="N124" s="4">
        <v>5</v>
      </c>
      <c r="O124" s="4">
        <v>1</v>
      </c>
      <c r="P124" s="4">
        <v>2</v>
      </c>
      <c r="Q124" s="4">
        <v>4</v>
      </c>
      <c r="R124" s="4">
        <v>1</v>
      </c>
      <c r="S124" s="4">
        <v>2</v>
      </c>
      <c r="T124" s="4">
        <v>2</v>
      </c>
      <c r="U124" s="4">
        <v>2</v>
      </c>
      <c r="V124" s="4">
        <v>1</v>
      </c>
      <c r="W124" s="4">
        <v>2</v>
      </c>
      <c r="X124" s="4">
        <v>1</v>
      </c>
      <c r="Y124" s="4">
        <v>1</v>
      </c>
      <c r="Z124" s="4">
        <v>1</v>
      </c>
      <c r="AA124" s="4">
        <v>2</v>
      </c>
      <c r="AB124" s="4">
        <v>4</v>
      </c>
      <c r="AC124" s="4">
        <v>1</v>
      </c>
      <c r="AD124" s="4">
        <v>1</v>
      </c>
      <c r="AE124" s="4">
        <v>3</v>
      </c>
      <c r="AF124" s="4">
        <v>1</v>
      </c>
      <c r="AG124" s="4">
        <v>0</v>
      </c>
      <c r="AH124" s="4">
        <v>0</v>
      </c>
      <c r="AI124" s="4">
        <v>0</v>
      </c>
      <c r="AJ124" s="4">
        <v>0</v>
      </c>
      <c r="AK124" s="4">
        <v>1</v>
      </c>
      <c r="AL124" s="4">
        <v>0</v>
      </c>
      <c r="AM124" s="4">
        <v>0</v>
      </c>
      <c r="AN124" s="4">
        <v>0</v>
      </c>
      <c r="AO124" s="4">
        <v>0</v>
      </c>
      <c r="AP124" s="4">
        <v>1</v>
      </c>
      <c r="AQ124" s="4">
        <v>1</v>
      </c>
      <c r="AR124" s="4">
        <v>1</v>
      </c>
      <c r="AS124" s="4">
        <v>1</v>
      </c>
      <c r="AT124" s="4">
        <v>0</v>
      </c>
      <c r="AU124" s="4">
        <v>0</v>
      </c>
      <c r="AV124" s="4">
        <v>0</v>
      </c>
      <c r="AW124" s="4">
        <v>0</v>
      </c>
      <c r="AX124" s="4">
        <v>0</v>
      </c>
      <c r="AY124" s="4">
        <v>1</v>
      </c>
      <c r="AZ124" s="4">
        <v>0</v>
      </c>
      <c r="BA124" s="4">
        <v>0</v>
      </c>
      <c r="BB124" s="4">
        <v>1</v>
      </c>
      <c r="BC124" s="4">
        <v>1</v>
      </c>
      <c r="BD124" s="4">
        <v>0</v>
      </c>
      <c r="BE124" s="4">
        <v>0</v>
      </c>
      <c r="BF124" s="4">
        <v>0</v>
      </c>
      <c r="BG124" s="4">
        <v>0</v>
      </c>
      <c r="BH124" s="4">
        <v>0</v>
      </c>
      <c r="BI124" s="4">
        <v>1</v>
      </c>
      <c r="BJ124" s="4">
        <v>1</v>
      </c>
      <c r="BK124" s="4">
        <v>1</v>
      </c>
      <c r="BL124" s="4">
        <v>0</v>
      </c>
      <c r="BM124" s="4">
        <v>0</v>
      </c>
      <c r="BN124" s="4">
        <v>0</v>
      </c>
      <c r="BO124" s="4">
        <v>0</v>
      </c>
    </row>
    <row r="125" spans="1:67" ht="15.95" customHeight="1">
      <c r="A125" s="2" t="s">
        <v>309</v>
      </c>
      <c r="B125" s="4">
        <v>1</v>
      </c>
      <c r="C125" s="4">
        <v>2</v>
      </c>
      <c r="D125" s="4">
        <v>6</v>
      </c>
      <c r="E125" s="4">
        <v>4</v>
      </c>
      <c r="F125" s="4">
        <v>2</v>
      </c>
      <c r="G125" s="4">
        <v>1</v>
      </c>
      <c r="H125" s="4">
        <v>1</v>
      </c>
      <c r="I125" s="4">
        <v>1</v>
      </c>
      <c r="J125" s="4">
        <v>2</v>
      </c>
      <c r="K125" s="4">
        <v>1</v>
      </c>
      <c r="L125" s="4">
        <v>1</v>
      </c>
      <c r="M125" s="4">
        <v>1</v>
      </c>
      <c r="N125" s="4">
        <v>1</v>
      </c>
      <c r="O125" s="4">
        <v>1</v>
      </c>
      <c r="P125" s="4">
        <v>1</v>
      </c>
      <c r="Q125" s="4">
        <v>1</v>
      </c>
      <c r="R125" s="4">
        <v>1</v>
      </c>
      <c r="S125" s="4">
        <v>5</v>
      </c>
      <c r="T125" s="4">
        <v>5</v>
      </c>
      <c r="U125" s="4">
        <v>5</v>
      </c>
      <c r="V125" s="4">
        <v>5</v>
      </c>
      <c r="W125" s="4">
        <v>5</v>
      </c>
      <c r="X125" s="4">
        <v>5</v>
      </c>
      <c r="Y125" s="4">
        <v>5</v>
      </c>
      <c r="Z125" s="4">
        <v>1</v>
      </c>
      <c r="AA125" s="4">
        <v>1</v>
      </c>
      <c r="AB125" s="4">
        <v>1</v>
      </c>
      <c r="AC125" s="4">
        <v>1</v>
      </c>
      <c r="AD125" s="4">
        <v>1</v>
      </c>
      <c r="AE125" s="4">
        <v>1</v>
      </c>
      <c r="AF125" s="4">
        <v>1</v>
      </c>
      <c r="AG125" s="4">
        <v>0</v>
      </c>
      <c r="AH125" s="4">
        <v>0</v>
      </c>
      <c r="AI125" s="4">
        <v>0</v>
      </c>
      <c r="AJ125" s="4">
        <v>0</v>
      </c>
      <c r="AK125" s="4">
        <v>0</v>
      </c>
      <c r="AL125" s="4">
        <v>0</v>
      </c>
      <c r="AM125" s="4">
        <v>0</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4">
        <v>0</v>
      </c>
      <c r="BF125" s="4">
        <v>0</v>
      </c>
      <c r="BG125" s="4">
        <v>0</v>
      </c>
      <c r="BH125" s="4">
        <v>0</v>
      </c>
      <c r="BI125" s="4">
        <v>0</v>
      </c>
      <c r="BJ125" s="4">
        <v>0</v>
      </c>
      <c r="BK125" s="4">
        <v>0</v>
      </c>
      <c r="BL125" s="4">
        <v>0</v>
      </c>
      <c r="BM125" s="4">
        <v>0</v>
      </c>
      <c r="BN125" s="4">
        <v>0</v>
      </c>
      <c r="BO125" s="4">
        <v>0</v>
      </c>
    </row>
    <row r="126" spans="1:67" ht="15.95" customHeight="1">
      <c r="A126" s="2" t="s">
        <v>310</v>
      </c>
      <c r="B126" s="4">
        <v>1</v>
      </c>
      <c r="C126" s="4">
        <v>2</v>
      </c>
      <c r="D126" s="4">
        <v>5</v>
      </c>
      <c r="E126" s="4">
        <v>3</v>
      </c>
      <c r="F126" s="4">
        <v>5</v>
      </c>
      <c r="G126" s="4">
        <v>4</v>
      </c>
      <c r="H126" s="4">
        <v>1</v>
      </c>
      <c r="I126" s="4">
        <v>2</v>
      </c>
      <c r="J126" s="4">
        <v>3</v>
      </c>
      <c r="K126" s="4">
        <v>1</v>
      </c>
      <c r="L126" s="4">
        <v>3</v>
      </c>
      <c r="M126" s="4">
        <v>3</v>
      </c>
      <c r="N126" s="4">
        <v>4</v>
      </c>
      <c r="O126" s="4">
        <v>2</v>
      </c>
      <c r="P126" s="4">
        <v>3</v>
      </c>
      <c r="Q126" s="4">
        <v>2</v>
      </c>
      <c r="R126" s="4">
        <v>1</v>
      </c>
      <c r="S126" s="4">
        <v>2</v>
      </c>
      <c r="T126" s="4">
        <v>2</v>
      </c>
      <c r="U126" s="4">
        <v>2</v>
      </c>
      <c r="V126" s="4">
        <v>1</v>
      </c>
      <c r="W126" s="4">
        <v>2</v>
      </c>
      <c r="X126" s="4">
        <v>2</v>
      </c>
      <c r="Y126" s="4">
        <v>1</v>
      </c>
      <c r="Z126" s="4">
        <v>2</v>
      </c>
      <c r="AA126" s="4">
        <v>3</v>
      </c>
      <c r="AB126" s="4">
        <v>2</v>
      </c>
      <c r="AC126" s="4">
        <v>1</v>
      </c>
      <c r="AD126" s="4">
        <v>3</v>
      </c>
      <c r="AE126" s="4">
        <v>2</v>
      </c>
      <c r="AF126" s="4">
        <v>1</v>
      </c>
      <c r="AG126" s="4">
        <v>0</v>
      </c>
      <c r="AH126" s="4">
        <v>0</v>
      </c>
      <c r="AI126" s="4">
        <v>0</v>
      </c>
      <c r="AJ126" s="4">
        <v>0</v>
      </c>
      <c r="AK126" s="4">
        <v>1</v>
      </c>
      <c r="AL126" s="4">
        <v>0</v>
      </c>
      <c r="AM126" s="4">
        <v>0</v>
      </c>
      <c r="AN126" s="4">
        <v>0</v>
      </c>
      <c r="AO126" s="4">
        <v>0</v>
      </c>
      <c r="AP126" s="4">
        <v>1</v>
      </c>
      <c r="AQ126" s="4">
        <v>0</v>
      </c>
      <c r="AR126" s="4">
        <v>0</v>
      </c>
      <c r="AS126" s="4">
        <v>0</v>
      </c>
      <c r="AT126" s="4">
        <v>0</v>
      </c>
      <c r="AU126" s="4">
        <v>1</v>
      </c>
      <c r="AV126" s="4">
        <v>0</v>
      </c>
      <c r="AW126" s="4">
        <v>0</v>
      </c>
      <c r="AX126" s="4">
        <v>0</v>
      </c>
      <c r="AY126" s="4">
        <v>0</v>
      </c>
      <c r="AZ126" s="4">
        <v>1</v>
      </c>
      <c r="BA126" s="4">
        <v>0</v>
      </c>
      <c r="BB126" s="4">
        <v>0</v>
      </c>
      <c r="BC126" s="4">
        <v>1</v>
      </c>
      <c r="BD126" s="4">
        <v>1</v>
      </c>
      <c r="BE126" s="4">
        <v>0</v>
      </c>
      <c r="BF126" s="4">
        <v>0</v>
      </c>
      <c r="BG126" s="4">
        <v>0</v>
      </c>
      <c r="BH126" s="4">
        <v>0</v>
      </c>
      <c r="BI126" s="4">
        <v>0</v>
      </c>
      <c r="BJ126" s="4">
        <v>1</v>
      </c>
      <c r="BK126" s="4">
        <v>0</v>
      </c>
      <c r="BL126" s="4">
        <v>0</v>
      </c>
      <c r="BM126" s="4">
        <v>0</v>
      </c>
      <c r="BN126" s="4">
        <v>0</v>
      </c>
      <c r="BO126" s="4">
        <v>0</v>
      </c>
    </row>
    <row r="127" spans="1:67" ht="15.95" customHeight="1">
      <c r="A127" s="2" t="s">
        <v>311</v>
      </c>
      <c r="B127" s="4">
        <v>1</v>
      </c>
      <c r="C127" s="4">
        <v>1</v>
      </c>
      <c r="D127" s="4">
        <v>6</v>
      </c>
      <c r="E127" s="4">
        <v>3</v>
      </c>
      <c r="F127" s="4">
        <v>5</v>
      </c>
      <c r="G127" s="4">
        <v>5</v>
      </c>
      <c r="H127" s="4">
        <v>1</v>
      </c>
      <c r="I127" s="4">
        <v>1</v>
      </c>
      <c r="J127" s="4">
        <v>2</v>
      </c>
      <c r="K127" s="4">
        <v>1</v>
      </c>
      <c r="L127" s="4">
        <v>2</v>
      </c>
      <c r="M127" s="4">
        <v>1</v>
      </c>
      <c r="N127" s="4">
        <v>1</v>
      </c>
      <c r="O127" s="4">
        <v>1</v>
      </c>
      <c r="P127" s="4">
        <v>2</v>
      </c>
      <c r="Q127" s="4">
        <v>1</v>
      </c>
      <c r="R127" s="4">
        <v>1</v>
      </c>
      <c r="S127" s="4">
        <v>1</v>
      </c>
      <c r="T127" s="4">
        <v>1</v>
      </c>
      <c r="U127" s="4">
        <v>1</v>
      </c>
      <c r="V127" s="4">
        <v>1</v>
      </c>
      <c r="W127" s="4">
        <v>2</v>
      </c>
      <c r="X127" s="4">
        <v>1</v>
      </c>
      <c r="Y127" s="4">
        <v>1</v>
      </c>
      <c r="Z127" s="4">
        <v>1</v>
      </c>
      <c r="AA127" s="4">
        <v>1</v>
      </c>
      <c r="AB127" s="4">
        <v>1</v>
      </c>
      <c r="AC127" s="4">
        <v>1</v>
      </c>
      <c r="AD127" s="4">
        <v>1</v>
      </c>
      <c r="AE127" s="4">
        <v>1</v>
      </c>
      <c r="AF127" s="4">
        <v>1</v>
      </c>
      <c r="AG127" s="4">
        <v>1</v>
      </c>
      <c r="AH127" s="4">
        <v>1</v>
      </c>
      <c r="AI127" s="4">
        <v>0</v>
      </c>
      <c r="AJ127" s="4">
        <v>0</v>
      </c>
      <c r="AK127" s="4">
        <v>0</v>
      </c>
      <c r="AL127" s="4">
        <v>1</v>
      </c>
      <c r="AM127" s="4">
        <v>1</v>
      </c>
      <c r="AN127" s="4">
        <v>0</v>
      </c>
      <c r="AO127" s="4">
        <v>0</v>
      </c>
      <c r="AP127" s="4">
        <v>0</v>
      </c>
      <c r="AQ127" s="4">
        <v>1</v>
      </c>
      <c r="AR127" s="4">
        <v>1</v>
      </c>
      <c r="AS127" s="4">
        <v>0</v>
      </c>
      <c r="AT127" s="4">
        <v>0</v>
      </c>
      <c r="AU127" s="4">
        <v>0</v>
      </c>
      <c r="AV127" s="4">
        <v>1</v>
      </c>
      <c r="AW127" s="4">
        <v>1</v>
      </c>
      <c r="AX127" s="4">
        <v>0</v>
      </c>
      <c r="AY127" s="4">
        <v>0</v>
      </c>
      <c r="AZ127" s="4">
        <v>0</v>
      </c>
      <c r="BA127" s="4">
        <v>1</v>
      </c>
      <c r="BB127" s="4">
        <v>1</v>
      </c>
      <c r="BC127" s="4">
        <v>0</v>
      </c>
      <c r="BD127" s="4">
        <v>0</v>
      </c>
      <c r="BE127" s="4">
        <v>0</v>
      </c>
      <c r="BF127" s="4">
        <v>1</v>
      </c>
      <c r="BG127" s="4">
        <v>1</v>
      </c>
      <c r="BH127" s="4">
        <v>0</v>
      </c>
      <c r="BI127" s="4">
        <v>0</v>
      </c>
      <c r="BJ127" s="4">
        <v>0</v>
      </c>
      <c r="BK127" s="4">
        <v>1</v>
      </c>
      <c r="BL127" s="4">
        <v>1</v>
      </c>
      <c r="BM127" s="4">
        <v>0</v>
      </c>
      <c r="BN127" s="4">
        <v>0</v>
      </c>
      <c r="BO127" s="4">
        <v>0</v>
      </c>
    </row>
    <row r="128" spans="1:67" ht="15.95" customHeight="1">
      <c r="A128" s="2" t="s">
        <v>312</v>
      </c>
      <c r="B128" s="4">
        <v>1</v>
      </c>
      <c r="C128" s="4">
        <v>1</v>
      </c>
      <c r="D128" s="4">
        <v>5</v>
      </c>
      <c r="E128" s="4">
        <v>3</v>
      </c>
      <c r="F128" s="4">
        <v>5</v>
      </c>
      <c r="G128" s="4">
        <v>5</v>
      </c>
      <c r="H128" s="4">
        <v>3</v>
      </c>
      <c r="I128" s="4">
        <v>1</v>
      </c>
      <c r="J128" s="4">
        <v>2</v>
      </c>
      <c r="K128" s="4">
        <v>1</v>
      </c>
      <c r="L128" s="4">
        <v>1</v>
      </c>
      <c r="M128" s="4">
        <v>2</v>
      </c>
      <c r="N128" s="4">
        <v>2</v>
      </c>
      <c r="O128" s="4">
        <v>1</v>
      </c>
      <c r="P128" s="4">
        <v>2</v>
      </c>
      <c r="Q128" s="4">
        <v>1</v>
      </c>
      <c r="R128" s="4">
        <v>1</v>
      </c>
      <c r="S128" s="4">
        <v>2</v>
      </c>
      <c r="T128" s="4">
        <v>1</v>
      </c>
      <c r="U128" s="4">
        <v>2</v>
      </c>
      <c r="V128" s="4">
        <v>1</v>
      </c>
      <c r="W128" s="4">
        <v>2</v>
      </c>
      <c r="X128" s="4">
        <v>1</v>
      </c>
      <c r="Y128" s="4">
        <v>1</v>
      </c>
      <c r="Z128" s="4">
        <v>1</v>
      </c>
      <c r="AA128" s="4">
        <v>1</v>
      </c>
      <c r="AB128" s="4">
        <v>1</v>
      </c>
      <c r="AC128" s="4">
        <v>1</v>
      </c>
      <c r="AD128" s="4">
        <v>1</v>
      </c>
      <c r="AE128" s="4">
        <v>1</v>
      </c>
      <c r="AF128" s="4">
        <v>1</v>
      </c>
      <c r="AG128" s="4">
        <v>0</v>
      </c>
      <c r="AH128" s="4">
        <v>0</v>
      </c>
      <c r="AI128" s="4">
        <v>0</v>
      </c>
      <c r="AJ128" s="4">
        <v>0</v>
      </c>
      <c r="AK128" s="4">
        <v>1</v>
      </c>
      <c r="AL128" s="4">
        <v>0</v>
      </c>
      <c r="AM128" s="4">
        <v>0</v>
      </c>
      <c r="AN128" s="4">
        <v>0</v>
      </c>
      <c r="AO128" s="4">
        <v>0</v>
      </c>
      <c r="AP128" s="4">
        <v>1</v>
      </c>
      <c r="AQ128" s="4">
        <v>0</v>
      </c>
      <c r="AR128" s="4">
        <v>0</v>
      </c>
      <c r="AS128" s="4">
        <v>0</v>
      </c>
      <c r="AT128" s="4">
        <v>0</v>
      </c>
      <c r="AU128" s="4">
        <v>1</v>
      </c>
      <c r="AV128" s="4">
        <v>0</v>
      </c>
      <c r="AW128" s="4">
        <v>0</v>
      </c>
      <c r="AX128" s="4">
        <v>0</v>
      </c>
      <c r="AY128" s="4">
        <v>0</v>
      </c>
      <c r="AZ128" s="4">
        <v>1</v>
      </c>
      <c r="BA128" s="4">
        <v>0</v>
      </c>
      <c r="BB128" s="4">
        <v>0</v>
      </c>
      <c r="BC128" s="4">
        <v>1</v>
      </c>
      <c r="BD128" s="4">
        <v>0</v>
      </c>
      <c r="BE128" s="4">
        <v>0</v>
      </c>
      <c r="BF128" s="4">
        <v>0</v>
      </c>
      <c r="BG128" s="4">
        <v>0</v>
      </c>
      <c r="BH128" s="4">
        <v>0</v>
      </c>
      <c r="BI128" s="4">
        <v>0</v>
      </c>
      <c r="BJ128" s="4">
        <v>1</v>
      </c>
      <c r="BK128" s="4">
        <v>0</v>
      </c>
      <c r="BL128" s="4">
        <v>0</v>
      </c>
      <c r="BM128" s="4">
        <v>0</v>
      </c>
      <c r="BN128" s="4">
        <v>0</v>
      </c>
      <c r="BO128" s="4">
        <v>1</v>
      </c>
    </row>
    <row r="129" spans="1:67" ht="15.95" customHeight="1">
      <c r="A129" s="2" t="s">
        <v>313</v>
      </c>
      <c r="B129" s="4">
        <v>1</v>
      </c>
      <c r="C129" s="4">
        <v>2</v>
      </c>
      <c r="D129" s="4">
        <v>5</v>
      </c>
      <c r="E129" s="4">
        <v>3</v>
      </c>
      <c r="F129" s="4">
        <v>5</v>
      </c>
      <c r="G129" s="4">
        <v>5</v>
      </c>
      <c r="H129" s="4">
        <v>2</v>
      </c>
      <c r="I129" s="4">
        <v>1</v>
      </c>
      <c r="J129" s="4">
        <v>3</v>
      </c>
      <c r="K129" s="4">
        <v>1</v>
      </c>
      <c r="L129" s="4">
        <v>1</v>
      </c>
      <c r="M129" s="4">
        <v>2</v>
      </c>
      <c r="N129" s="4">
        <v>2</v>
      </c>
      <c r="O129" s="4">
        <v>1</v>
      </c>
      <c r="P129" s="4">
        <v>2</v>
      </c>
      <c r="Q129" s="4">
        <v>1</v>
      </c>
      <c r="R129" s="4">
        <v>1</v>
      </c>
      <c r="S129" s="4">
        <v>1</v>
      </c>
      <c r="T129" s="4">
        <v>1</v>
      </c>
      <c r="U129" s="4">
        <v>1</v>
      </c>
      <c r="V129" s="4">
        <v>1</v>
      </c>
      <c r="W129" s="4">
        <v>1</v>
      </c>
      <c r="X129" s="4">
        <v>1</v>
      </c>
      <c r="Y129" s="4">
        <v>1</v>
      </c>
      <c r="Z129" s="4">
        <v>5</v>
      </c>
      <c r="AA129" s="4">
        <v>5</v>
      </c>
      <c r="AB129" s="4">
        <v>5</v>
      </c>
      <c r="AC129" s="4">
        <v>5</v>
      </c>
      <c r="AD129" s="4">
        <v>5</v>
      </c>
      <c r="AE129" s="4">
        <v>5</v>
      </c>
      <c r="AF129" s="4">
        <v>5</v>
      </c>
      <c r="AG129" s="4">
        <v>0</v>
      </c>
      <c r="AH129" s="4">
        <v>0</v>
      </c>
      <c r="AI129" s="4">
        <v>0</v>
      </c>
      <c r="AJ129" s="4">
        <v>0</v>
      </c>
      <c r="AK129" s="4">
        <v>0</v>
      </c>
      <c r="AL129" s="4">
        <v>1</v>
      </c>
      <c r="AM129" s="4">
        <v>0</v>
      </c>
      <c r="AN129" s="4">
        <v>0</v>
      </c>
      <c r="AO129" s="4">
        <v>0</v>
      </c>
      <c r="AP129" s="4">
        <v>0</v>
      </c>
      <c r="AQ129" s="4">
        <v>1</v>
      </c>
      <c r="AR129" s="4">
        <v>0</v>
      </c>
      <c r="AS129" s="4">
        <v>0</v>
      </c>
      <c r="AT129" s="4">
        <v>0</v>
      </c>
      <c r="AU129" s="4">
        <v>0</v>
      </c>
      <c r="AV129" s="4">
        <v>1</v>
      </c>
      <c r="AW129" s="4">
        <v>0</v>
      </c>
      <c r="AX129" s="4">
        <v>0</v>
      </c>
      <c r="AY129" s="4">
        <v>0</v>
      </c>
      <c r="AZ129" s="4">
        <v>0</v>
      </c>
      <c r="BA129" s="4">
        <v>1</v>
      </c>
      <c r="BB129" s="4">
        <v>0</v>
      </c>
      <c r="BC129" s="4">
        <v>0</v>
      </c>
      <c r="BD129" s="4">
        <v>0</v>
      </c>
      <c r="BE129" s="4">
        <v>0</v>
      </c>
      <c r="BF129" s="4">
        <v>1</v>
      </c>
      <c r="BG129" s="4">
        <v>0</v>
      </c>
      <c r="BH129" s="4">
        <v>0</v>
      </c>
      <c r="BI129" s="4">
        <v>0</v>
      </c>
      <c r="BJ129" s="4">
        <v>0</v>
      </c>
      <c r="BK129" s="4">
        <v>1</v>
      </c>
      <c r="BL129" s="4">
        <v>0</v>
      </c>
      <c r="BM129" s="4">
        <v>0</v>
      </c>
      <c r="BN129" s="4">
        <v>0</v>
      </c>
      <c r="BO129" s="4">
        <v>0</v>
      </c>
    </row>
    <row r="130" spans="1:67" ht="15.95" customHeight="1">
      <c r="A130" s="2" t="s">
        <v>314</v>
      </c>
      <c r="B130" s="4">
        <v>1</v>
      </c>
      <c r="C130" s="4">
        <v>2</v>
      </c>
      <c r="D130" s="4">
        <v>5</v>
      </c>
      <c r="E130" s="4">
        <v>3</v>
      </c>
      <c r="F130" s="4">
        <v>2</v>
      </c>
      <c r="G130" s="4">
        <v>5</v>
      </c>
      <c r="H130" s="4">
        <v>2</v>
      </c>
      <c r="I130" s="4">
        <v>1</v>
      </c>
      <c r="J130" s="4">
        <v>2</v>
      </c>
      <c r="K130" s="4">
        <v>1</v>
      </c>
      <c r="L130" s="4">
        <v>1</v>
      </c>
      <c r="M130" s="4">
        <v>1</v>
      </c>
      <c r="N130" s="4">
        <v>1</v>
      </c>
      <c r="O130" s="4">
        <v>1</v>
      </c>
      <c r="P130" s="4">
        <v>5</v>
      </c>
      <c r="Q130" s="4">
        <v>1</v>
      </c>
      <c r="R130" s="4">
        <v>1</v>
      </c>
      <c r="S130" s="4">
        <v>5</v>
      </c>
      <c r="T130" s="4">
        <v>5</v>
      </c>
      <c r="U130" s="4">
        <v>5</v>
      </c>
      <c r="V130" s="4">
        <v>5</v>
      </c>
      <c r="W130" s="4">
        <v>3</v>
      </c>
      <c r="X130" s="4">
        <v>5</v>
      </c>
      <c r="Y130" s="4">
        <v>5</v>
      </c>
      <c r="Z130" s="4">
        <v>5</v>
      </c>
      <c r="AA130" s="4">
        <v>5</v>
      </c>
      <c r="AB130" s="4">
        <v>5</v>
      </c>
      <c r="AC130" s="4">
        <v>5</v>
      </c>
      <c r="AD130" s="4">
        <v>4</v>
      </c>
      <c r="AE130" s="4">
        <v>5</v>
      </c>
      <c r="AF130" s="4">
        <v>5</v>
      </c>
      <c r="AG130" s="4">
        <v>1</v>
      </c>
      <c r="AH130" s="4">
        <v>1</v>
      </c>
      <c r="AI130" s="4">
        <v>1</v>
      </c>
      <c r="AJ130" s="4">
        <v>1</v>
      </c>
      <c r="AK130" s="4">
        <v>0</v>
      </c>
      <c r="AL130" s="4">
        <v>1</v>
      </c>
      <c r="AM130" s="4">
        <v>1</v>
      </c>
      <c r="AN130" s="4">
        <v>1</v>
      </c>
      <c r="AO130" s="4">
        <v>0</v>
      </c>
      <c r="AP130" s="4">
        <v>0</v>
      </c>
      <c r="AQ130" s="4">
        <v>1</v>
      </c>
      <c r="AR130" s="4">
        <v>1</v>
      </c>
      <c r="AS130" s="4">
        <v>1</v>
      </c>
      <c r="AT130" s="4">
        <v>0</v>
      </c>
      <c r="AU130" s="4">
        <v>0</v>
      </c>
      <c r="AV130" s="4">
        <v>1</v>
      </c>
      <c r="AW130" s="4">
        <v>1</v>
      </c>
      <c r="AX130" s="4">
        <v>1</v>
      </c>
      <c r="AY130" s="4">
        <v>0</v>
      </c>
      <c r="AZ130" s="4">
        <v>0</v>
      </c>
      <c r="BA130" s="4">
        <v>1</v>
      </c>
      <c r="BB130" s="4">
        <v>1</v>
      </c>
      <c r="BC130" s="4">
        <v>1</v>
      </c>
      <c r="BD130" s="4">
        <v>0</v>
      </c>
      <c r="BE130" s="4">
        <v>0</v>
      </c>
      <c r="BF130" s="4">
        <v>1</v>
      </c>
      <c r="BG130" s="4">
        <v>0</v>
      </c>
      <c r="BH130" s="4">
        <v>0</v>
      </c>
      <c r="BI130" s="4">
        <v>0</v>
      </c>
      <c r="BJ130" s="4">
        <v>0</v>
      </c>
      <c r="BK130" s="4">
        <v>1</v>
      </c>
      <c r="BL130" s="4">
        <v>1</v>
      </c>
      <c r="BM130" s="4">
        <v>1</v>
      </c>
      <c r="BN130" s="4">
        <v>0</v>
      </c>
      <c r="BO130" s="4">
        <v>0</v>
      </c>
    </row>
    <row r="131" spans="1:67" ht="15.95" customHeight="1">
      <c r="A131" s="2" t="s">
        <v>315</v>
      </c>
      <c r="B131" s="4">
        <v>1</v>
      </c>
      <c r="C131" s="4">
        <v>2</v>
      </c>
      <c r="D131" s="4">
        <v>3</v>
      </c>
      <c r="E131" s="4">
        <v>3</v>
      </c>
      <c r="F131" s="4">
        <v>5</v>
      </c>
      <c r="G131" s="4">
        <v>2</v>
      </c>
      <c r="H131" s="4">
        <v>2</v>
      </c>
      <c r="I131" s="4">
        <v>2</v>
      </c>
      <c r="J131" s="4">
        <v>1</v>
      </c>
      <c r="K131" s="4">
        <v>1</v>
      </c>
      <c r="L131" s="4">
        <v>4</v>
      </c>
      <c r="M131" s="4">
        <v>2</v>
      </c>
      <c r="N131" s="4">
        <v>5</v>
      </c>
      <c r="O131" s="4">
        <v>3</v>
      </c>
      <c r="P131" s="4">
        <v>5</v>
      </c>
      <c r="Q131" s="4">
        <v>3</v>
      </c>
      <c r="R131" s="4">
        <v>3</v>
      </c>
      <c r="S131" s="4">
        <v>2</v>
      </c>
      <c r="T131" s="4">
        <v>0</v>
      </c>
      <c r="U131" s="4">
        <v>2</v>
      </c>
      <c r="V131" s="4">
        <v>1</v>
      </c>
      <c r="W131" s="4">
        <v>2</v>
      </c>
      <c r="X131" s="4">
        <v>5</v>
      </c>
      <c r="Y131" s="4">
        <v>1</v>
      </c>
      <c r="Z131" s="4">
        <v>2</v>
      </c>
      <c r="AA131" s="4">
        <v>5</v>
      </c>
      <c r="AB131" s="4">
        <v>3</v>
      </c>
      <c r="AC131" s="4">
        <v>1</v>
      </c>
      <c r="AD131" s="4">
        <v>4</v>
      </c>
      <c r="AE131" s="4">
        <v>1</v>
      </c>
      <c r="AF131" s="4">
        <v>5</v>
      </c>
      <c r="AG131" s="4">
        <v>0</v>
      </c>
      <c r="AH131" s="4">
        <v>1</v>
      </c>
      <c r="AI131" s="4">
        <v>1</v>
      </c>
      <c r="AJ131" s="4">
        <v>1</v>
      </c>
      <c r="AK131" s="4">
        <v>1</v>
      </c>
      <c r="AL131" s="4">
        <v>0</v>
      </c>
      <c r="AM131" s="4">
        <v>0</v>
      </c>
      <c r="AN131" s="4">
        <v>0</v>
      </c>
      <c r="AO131" s="4">
        <v>0</v>
      </c>
      <c r="AP131" s="4">
        <v>0</v>
      </c>
      <c r="AQ131" s="4">
        <v>0</v>
      </c>
      <c r="AR131" s="4">
        <v>1</v>
      </c>
      <c r="AS131" s="4">
        <v>1</v>
      </c>
      <c r="AT131" s="4">
        <v>1</v>
      </c>
      <c r="AU131" s="4">
        <v>1</v>
      </c>
      <c r="AV131" s="4">
        <v>0</v>
      </c>
      <c r="AW131" s="4">
        <v>0</v>
      </c>
      <c r="AX131" s="4">
        <v>0</v>
      </c>
      <c r="AY131" s="4">
        <v>0</v>
      </c>
      <c r="AZ131" s="4">
        <v>0</v>
      </c>
      <c r="BA131" s="4">
        <v>0</v>
      </c>
      <c r="BB131" s="4">
        <v>1</v>
      </c>
      <c r="BC131" s="4">
        <v>1</v>
      </c>
      <c r="BD131" s="4">
        <v>1</v>
      </c>
      <c r="BE131" s="4">
        <v>1</v>
      </c>
      <c r="BF131" s="4">
        <v>0</v>
      </c>
      <c r="BG131" s="4">
        <v>0</v>
      </c>
      <c r="BH131" s="4">
        <v>0</v>
      </c>
      <c r="BI131" s="4">
        <v>0</v>
      </c>
      <c r="BJ131" s="4">
        <v>0</v>
      </c>
      <c r="BK131" s="4">
        <v>0</v>
      </c>
      <c r="BL131" s="4">
        <v>0</v>
      </c>
      <c r="BM131" s="4">
        <v>0</v>
      </c>
      <c r="BN131" s="4">
        <v>0</v>
      </c>
      <c r="BO131" s="4">
        <v>0</v>
      </c>
    </row>
    <row r="132" spans="1:67" ht="15.95" customHeight="1">
      <c r="A132" s="2" t="s">
        <v>316</v>
      </c>
      <c r="B132" s="4">
        <v>1</v>
      </c>
      <c r="C132" s="4">
        <v>2</v>
      </c>
      <c r="D132" s="4">
        <v>5</v>
      </c>
      <c r="E132" s="4">
        <v>3</v>
      </c>
      <c r="F132" s="4">
        <v>3</v>
      </c>
      <c r="G132" s="4">
        <v>2</v>
      </c>
      <c r="H132" s="4">
        <v>1</v>
      </c>
      <c r="I132" s="4">
        <v>1</v>
      </c>
      <c r="J132" s="4">
        <v>1</v>
      </c>
      <c r="K132" s="4">
        <v>1</v>
      </c>
      <c r="L132" s="4">
        <v>3</v>
      </c>
      <c r="M132" s="4">
        <v>1</v>
      </c>
      <c r="N132" s="4">
        <v>3</v>
      </c>
      <c r="O132" s="4">
        <v>1</v>
      </c>
      <c r="P132" s="4">
        <v>1</v>
      </c>
      <c r="Q132" s="4">
        <v>1</v>
      </c>
      <c r="R132" s="4">
        <v>1</v>
      </c>
      <c r="S132" s="4">
        <v>1</v>
      </c>
      <c r="T132" s="4">
        <v>1</v>
      </c>
      <c r="U132" s="4">
        <v>1</v>
      </c>
      <c r="V132" s="4">
        <v>1</v>
      </c>
      <c r="W132" s="4">
        <v>1</v>
      </c>
      <c r="X132" s="4">
        <v>1</v>
      </c>
      <c r="Y132" s="4">
        <v>1</v>
      </c>
      <c r="Z132" s="4">
        <v>5</v>
      </c>
      <c r="AA132" s="4">
        <v>5</v>
      </c>
      <c r="AB132" s="4">
        <v>5</v>
      </c>
      <c r="AC132" s="4">
        <v>5</v>
      </c>
      <c r="AD132" s="4">
        <v>5</v>
      </c>
      <c r="AE132" s="4">
        <v>5</v>
      </c>
      <c r="AF132" s="4">
        <v>5</v>
      </c>
      <c r="AG132" s="4">
        <v>1</v>
      </c>
      <c r="AH132" s="4">
        <v>0</v>
      </c>
      <c r="AI132" s="4">
        <v>0</v>
      </c>
      <c r="AJ132" s="4">
        <v>0</v>
      </c>
      <c r="AK132" s="4">
        <v>0</v>
      </c>
      <c r="AL132" s="4">
        <v>1</v>
      </c>
      <c r="AM132" s="4">
        <v>0</v>
      </c>
      <c r="AN132" s="4">
        <v>0</v>
      </c>
      <c r="AO132" s="4">
        <v>0</v>
      </c>
      <c r="AP132" s="4">
        <v>0</v>
      </c>
      <c r="AQ132" s="4">
        <v>1</v>
      </c>
      <c r="AR132" s="4">
        <v>0</v>
      </c>
      <c r="AS132" s="4">
        <v>0</v>
      </c>
      <c r="AT132" s="4">
        <v>0</v>
      </c>
      <c r="AU132" s="4">
        <v>0</v>
      </c>
      <c r="AV132" s="4">
        <v>1</v>
      </c>
      <c r="AW132" s="4">
        <v>0</v>
      </c>
      <c r="AX132" s="4">
        <v>0</v>
      </c>
      <c r="AY132" s="4">
        <v>0</v>
      </c>
      <c r="AZ132" s="4">
        <v>0</v>
      </c>
      <c r="BA132" s="4">
        <v>1</v>
      </c>
      <c r="BB132" s="4">
        <v>0</v>
      </c>
      <c r="BC132" s="4">
        <v>0</v>
      </c>
      <c r="BD132" s="4">
        <v>0</v>
      </c>
      <c r="BE132" s="4">
        <v>0</v>
      </c>
      <c r="BF132" s="4">
        <v>1</v>
      </c>
      <c r="BG132" s="4">
        <v>0</v>
      </c>
      <c r="BH132" s="4">
        <v>0</v>
      </c>
      <c r="BI132" s="4">
        <v>0</v>
      </c>
      <c r="BJ132" s="4">
        <v>0</v>
      </c>
      <c r="BK132" s="4">
        <v>1</v>
      </c>
      <c r="BL132" s="4">
        <v>0</v>
      </c>
      <c r="BM132" s="4">
        <v>0</v>
      </c>
      <c r="BN132" s="4">
        <v>0</v>
      </c>
      <c r="BO132" s="4">
        <v>0</v>
      </c>
    </row>
    <row r="133" spans="1:67" ht="15.95" customHeight="1">
      <c r="A133" s="2" t="s">
        <v>317</v>
      </c>
      <c r="B133" s="4">
        <v>1</v>
      </c>
      <c r="C133" s="4">
        <v>1</v>
      </c>
      <c r="D133" s="4">
        <v>4</v>
      </c>
      <c r="E133" s="4">
        <v>3</v>
      </c>
      <c r="F133" s="4">
        <v>5</v>
      </c>
      <c r="G133" s="4">
        <v>3</v>
      </c>
      <c r="H133" s="4">
        <v>2</v>
      </c>
      <c r="I133" s="4">
        <v>1</v>
      </c>
      <c r="J133" s="4">
        <v>4</v>
      </c>
      <c r="K133" s="4">
        <v>1</v>
      </c>
      <c r="L133" s="4">
        <v>3</v>
      </c>
      <c r="M133" s="4">
        <v>2</v>
      </c>
      <c r="N133" s="4">
        <v>3</v>
      </c>
      <c r="O133" s="4">
        <v>1</v>
      </c>
      <c r="P133" s="4">
        <v>4</v>
      </c>
      <c r="Q133" s="4">
        <v>1</v>
      </c>
      <c r="R133" s="4">
        <v>1</v>
      </c>
      <c r="S133" s="4">
        <v>5</v>
      </c>
      <c r="T133" s="4">
        <v>1</v>
      </c>
      <c r="U133" s="4">
        <v>1</v>
      </c>
      <c r="V133" s="4">
        <v>5</v>
      </c>
      <c r="W133" s="4">
        <v>1</v>
      </c>
      <c r="X133" s="4">
        <v>5</v>
      </c>
      <c r="Y133" s="4">
        <v>1</v>
      </c>
      <c r="Z133" s="4">
        <v>1</v>
      </c>
      <c r="AA133" s="4">
        <v>1</v>
      </c>
      <c r="AB133" s="4">
        <v>1</v>
      </c>
      <c r="AC133" s="4">
        <v>5</v>
      </c>
      <c r="AD133" s="4">
        <v>1</v>
      </c>
      <c r="AE133" s="4">
        <v>5</v>
      </c>
      <c r="AF133" s="4">
        <v>5</v>
      </c>
      <c r="AG133" s="4">
        <v>0</v>
      </c>
      <c r="AH133" s="4">
        <v>0</v>
      </c>
      <c r="AI133" s="4">
        <v>1</v>
      </c>
      <c r="AJ133" s="4">
        <v>1</v>
      </c>
      <c r="AK133" s="4">
        <v>0</v>
      </c>
      <c r="AL133" s="4">
        <v>0</v>
      </c>
      <c r="AM133" s="4">
        <v>0</v>
      </c>
      <c r="AN133" s="4">
        <v>1</v>
      </c>
      <c r="AO133" s="4">
        <v>1</v>
      </c>
      <c r="AP133" s="4">
        <v>0</v>
      </c>
      <c r="AQ133" s="4">
        <v>0</v>
      </c>
      <c r="AR133" s="4">
        <v>0</v>
      </c>
      <c r="AS133" s="4">
        <v>1</v>
      </c>
      <c r="AT133" s="4">
        <v>1</v>
      </c>
      <c r="AU133" s="4">
        <v>0</v>
      </c>
      <c r="AV133" s="4">
        <v>0</v>
      </c>
      <c r="AW133" s="4">
        <v>0</v>
      </c>
      <c r="AX133" s="4">
        <v>0</v>
      </c>
      <c r="AY133" s="4">
        <v>0</v>
      </c>
      <c r="AZ133" s="4">
        <v>0</v>
      </c>
      <c r="BA133" s="4">
        <v>0</v>
      </c>
      <c r="BB133" s="4">
        <v>0</v>
      </c>
      <c r="BC133" s="4">
        <v>1</v>
      </c>
      <c r="BD133" s="4">
        <v>1</v>
      </c>
      <c r="BE133" s="4">
        <v>0</v>
      </c>
      <c r="BF133" s="4">
        <v>0</v>
      </c>
      <c r="BG133" s="4">
        <v>0</v>
      </c>
      <c r="BH133" s="4">
        <v>0</v>
      </c>
      <c r="BI133" s="4">
        <v>0</v>
      </c>
      <c r="BJ133" s="4">
        <v>0</v>
      </c>
      <c r="BK133" s="4">
        <v>0</v>
      </c>
      <c r="BL133" s="4">
        <v>0</v>
      </c>
      <c r="BM133" s="4">
        <v>0</v>
      </c>
      <c r="BN133" s="4">
        <v>0</v>
      </c>
      <c r="BO133" s="4">
        <v>0</v>
      </c>
    </row>
    <row r="134" spans="1:67" ht="15.95" customHeight="1">
      <c r="A134" s="2" t="s">
        <v>318</v>
      </c>
      <c r="B134" s="4">
        <v>1</v>
      </c>
      <c r="C134" s="4">
        <v>1</v>
      </c>
      <c r="D134" s="4">
        <v>5</v>
      </c>
      <c r="E134" s="4">
        <v>3</v>
      </c>
      <c r="F134" s="4">
        <v>5</v>
      </c>
      <c r="G134" s="4">
        <v>5</v>
      </c>
      <c r="H134" s="4">
        <v>2</v>
      </c>
      <c r="I134" s="4">
        <v>2</v>
      </c>
      <c r="J134" s="4">
        <v>3</v>
      </c>
      <c r="K134" s="4">
        <v>1</v>
      </c>
      <c r="L134" s="4">
        <v>2</v>
      </c>
      <c r="M134" s="4">
        <v>2</v>
      </c>
      <c r="N134" s="4">
        <v>2</v>
      </c>
      <c r="O134" s="4">
        <v>1</v>
      </c>
      <c r="P134" s="4">
        <v>2</v>
      </c>
      <c r="Q134" s="4">
        <v>1</v>
      </c>
      <c r="R134" s="4">
        <v>1</v>
      </c>
      <c r="S134" s="4">
        <v>2</v>
      </c>
      <c r="T134" s="4">
        <v>1</v>
      </c>
      <c r="U134" s="4">
        <v>2</v>
      </c>
      <c r="V134" s="4">
        <v>1</v>
      </c>
      <c r="W134" s="4">
        <v>2</v>
      </c>
      <c r="X134" s="4">
        <v>1</v>
      </c>
      <c r="Y134" s="4">
        <v>1</v>
      </c>
      <c r="Z134" s="4">
        <v>1</v>
      </c>
      <c r="AA134" s="4">
        <v>1</v>
      </c>
      <c r="AB134" s="4">
        <v>1</v>
      </c>
      <c r="AC134" s="4">
        <v>5</v>
      </c>
      <c r="AD134" s="4">
        <v>2</v>
      </c>
      <c r="AE134" s="4">
        <v>1</v>
      </c>
      <c r="AF134" s="4">
        <v>1</v>
      </c>
      <c r="AG134" s="4">
        <v>0</v>
      </c>
      <c r="AH134" s="4">
        <v>0</v>
      </c>
      <c r="AI134" s="4">
        <v>0</v>
      </c>
      <c r="AJ134" s="4">
        <v>0</v>
      </c>
      <c r="AK134" s="4">
        <v>0</v>
      </c>
      <c r="AL134" s="4">
        <v>0</v>
      </c>
      <c r="AM134" s="4">
        <v>0</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4">
        <v>0</v>
      </c>
      <c r="BF134" s="4">
        <v>0</v>
      </c>
      <c r="BG134" s="4">
        <v>0</v>
      </c>
      <c r="BH134" s="4">
        <v>0</v>
      </c>
      <c r="BI134" s="4">
        <v>0</v>
      </c>
      <c r="BJ134" s="4">
        <v>0</v>
      </c>
      <c r="BK134" s="4">
        <v>0</v>
      </c>
      <c r="BL134" s="4">
        <v>0</v>
      </c>
      <c r="BM134" s="4">
        <v>0</v>
      </c>
      <c r="BN134" s="4">
        <v>0</v>
      </c>
      <c r="BO134" s="4">
        <v>0</v>
      </c>
    </row>
    <row r="135" spans="1:67" ht="15.95" customHeight="1">
      <c r="A135" s="2" t="s">
        <v>319</v>
      </c>
      <c r="B135" s="4">
        <v>1</v>
      </c>
      <c r="C135" s="4">
        <v>2</v>
      </c>
      <c r="D135" s="4">
        <v>6</v>
      </c>
      <c r="E135" s="4">
        <v>3</v>
      </c>
      <c r="F135" s="4">
        <v>5</v>
      </c>
      <c r="G135" s="4">
        <v>2</v>
      </c>
      <c r="H135" s="4">
        <v>1</v>
      </c>
      <c r="I135" s="4">
        <v>1</v>
      </c>
      <c r="J135" s="4">
        <v>3</v>
      </c>
      <c r="K135" s="4">
        <v>1</v>
      </c>
      <c r="L135" s="4">
        <v>2</v>
      </c>
      <c r="M135" s="4">
        <v>1</v>
      </c>
      <c r="N135" s="4">
        <v>2</v>
      </c>
      <c r="O135" s="4">
        <v>1</v>
      </c>
      <c r="P135" s="4">
        <v>1</v>
      </c>
      <c r="Q135" s="4">
        <v>1</v>
      </c>
      <c r="R135" s="4">
        <v>1</v>
      </c>
      <c r="S135" s="4">
        <v>1</v>
      </c>
      <c r="T135" s="4">
        <v>1</v>
      </c>
      <c r="U135" s="4">
        <v>1</v>
      </c>
      <c r="V135" s="4">
        <v>1</v>
      </c>
      <c r="W135" s="4">
        <v>2</v>
      </c>
      <c r="X135" s="4">
        <v>1</v>
      </c>
      <c r="Y135" s="4">
        <v>1</v>
      </c>
      <c r="Z135" s="4">
        <v>1</v>
      </c>
      <c r="AA135" s="4">
        <v>1</v>
      </c>
      <c r="AB135" s="4">
        <v>1</v>
      </c>
      <c r="AC135" s="4">
        <v>1</v>
      </c>
      <c r="AD135" s="4">
        <v>1</v>
      </c>
      <c r="AE135" s="4">
        <v>1</v>
      </c>
      <c r="AF135" s="4">
        <v>1</v>
      </c>
      <c r="AG135" s="4">
        <v>0</v>
      </c>
      <c r="AH135" s="4">
        <v>0</v>
      </c>
      <c r="AI135" s="4">
        <v>0</v>
      </c>
      <c r="AJ135" s="4">
        <v>0</v>
      </c>
      <c r="AK135" s="4">
        <v>0</v>
      </c>
      <c r="AL135" s="4">
        <v>0</v>
      </c>
      <c r="AM135" s="4">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4">
        <v>0</v>
      </c>
      <c r="BF135" s="4">
        <v>0</v>
      </c>
      <c r="BG135" s="4">
        <v>0</v>
      </c>
      <c r="BH135" s="4">
        <v>0</v>
      </c>
      <c r="BI135" s="4">
        <v>0</v>
      </c>
      <c r="BJ135" s="4">
        <v>0</v>
      </c>
      <c r="BK135" s="4">
        <v>0</v>
      </c>
      <c r="BL135" s="4">
        <v>0</v>
      </c>
      <c r="BM135" s="4">
        <v>0</v>
      </c>
      <c r="BN135" s="4">
        <v>0</v>
      </c>
      <c r="BO135" s="4">
        <v>0</v>
      </c>
    </row>
    <row r="136" spans="1:67" ht="15.95" customHeight="1">
      <c r="A136" s="2" t="s">
        <v>320</v>
      </c>
      <c r="B136" s="4">
        <v>0</v>
      </c>
      <c r="C136" s="4">
        <v>0</v>
      </c>
      <c r="D136" s="4">
        <v>0</v>
      </c>
      <c r="E136" s="4">
        <v>0</v>
      </c>
      <c r="F136" s="4">
        <v>0</v>
      </c>
      <c r="G136" s="4">
        <v>0</v>
      </c>
      <c r="H136" s="4">
        <v>0</v>
      </c>
      <c r="I136" s="4">
        <v>0</v>
      </c>
      <c r="J136" s="4">
        <v>0</v>
      </c>
      <c r="K136" s="4">
        <v>0</v>
      </c>
      <c r="L136" s="4">
        <v>0</v>
      </c>
      <c r="M136" s="4">
        <v>0</v>
      </c>
      <c r="N136" s="4">
        <v>0</v>
      </c>
      <c r="O136" s="4">
        <v>0</v>
      </c>
      <c r="P136" s="4">
        <v>0</v>
      </c>
      <c r="Q136" s="4">
        <v>0</v>
      </c>
      <c r="R136" s="4">
        <v>3</v>
      </c>
      <c r="S136" s="4">
        <v>0</v>
      </c>
      <c r="T136" s="4">
        <v>0</v>
      </c>
      <c r="U136" s="4">
        <v>0</v>
      </c>
      <c r="V136" s="4">
        <v>0</v>
      </c>
      <c r="W136" s="4">
        <v>0</v>
      </c>
      <c r="X136" s="4">
        <v>0</v>
      </c>
      <c r="Y136" s="4">
        <v>0</v>
      </c>
      <c r="Z136" s="4">
        <v>0</v>
      </c>
      <c r="AA136" s="4">
        <v>0</v>
      </c>
      <c r="AB136" s="4">
        <v>0</v>
      </c>
      <c r="AC136" s="4">
        <v>0</v>
      </c>
      <c r="AD136" s="4">
        <v>0</v>
      </c>
      <c r="AE136" s="4">
        <v>0</v>
      </c>
      <c r="AF136" s="4">
        <v>0</v>
      </c>
      <c r="AG136" s="4">
        <v>0</v>
      </c>
      <c r="AH136" s="4">
        <v>0</v>
      </c>
      <c r="AI136" s="4">
        <v>0</v>
      </c>
      <c r="AJ136" s="4">
        <v>0</v>
      </c>
      <c r="AK136" s="4">
        <v>0</v>
      </c>
      <c r="AL136" s="4">
        <v>0</v>
      </c>
      <c r="AM136" s="4">
        <v>0</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4">
        <v>0</v>
      </c>
      <c r="BF136" s="4">
        <v>0</v>
      </c>
      <c r="BG136" s="4">
        <v>0</v>
      </c>
      <c r="BH136" s="4">
        <v>0</v>
      </c>
      <c r="BI136" s="4">
        <v>0</v>
      </c>
      <c r="BJ136" s="4">
        <v>0</v>
      </c>
      <c r="BK136" s="4">
        <v>0</v>
      </c>
      <c r="BL136" s="4">
        <v>0</v>
      </c>
      <c r="BM136" s="4">
        <v>0</v>
      </c>
      <c r="BN136" s="4">
        <v>1</v>
      </c>
      <c r="BO136" s="4">
        <v>0</v>
      </c>
    </row>
    <row r="137" spans="1:67" ht="15.95" customHeight="1">
      <c r="A137" s="2" t="s">
        <v>321</v>
      </c>
      <c r="B137" s="4">
        <v>0</v>
      </c>
      <c r="C137" s="4">
        <v>0</v>
      </c>
      <c r="D137" s="4">
        <v>0</v>
      </c>
      <c r="E137" s="4">
        <v>0</v>
      </c>
      <c r="F137" s="4">
        <v>0</v>
      </c>
      <c r="G137" s="4">
        <v>0</v>
      </c>
      <c r="H137" s="4">
        <v>0</v>
      </c>
      <c r="I137" s="4">
        <v>0</v>
      </c>
      <c r="J137" s="4">
        <v>0</v>
      </c>
      <c r="K137" s="4">
        <v>0</v>
      </c>
      <c r="L137" s="4">
        <v>0</v>
      </c>
      <c r="M137" s="4">
        <v>0</v>
      </c>
      <c r="N137" s="4">
        <v>0</v>
      </c>
      <c r="O137" s="4">
        <v>0</v>
      </c>
      <c r="P137" s="4">
        <v>0</v>
      </c>
      <c r="Q137" s="4">
        <v>0</v>
      </c>
      <c r="R137" s="4">
        <v>0</v>
      </c>
      <c r="S137" s="4">
        <v>0</v>
      </c>
      <c r="T137" s="4">
        <v>0</v>
      </c>
      <c r="U137" s="4">
        <v>0</v>
      </c>
      <c r="V137" s="4">
        <v>0</v>
      </c>
      <c r="W137" s="4">
        <v>0</v>
      </c>
      <c r="X137" s="4">
        <v>0</v>
      </c>
      <c r="Y137" s="4">
        <v>0</v>
      </c>
      <c r="Z137" s="4">
        <v>0</v>
      </c>
      <c r="AA137" s="4">
        <v>0</v>
      </c>
      <c r="AB137" s="4">
        <v>0</v>
      </c>
      <c r="AC137" s="4">
        <v>0</v>
      </c>
      <c r="AD137" s="4">
        <v>0</v>
      </c>
      <c r="AE137" s="4">
        <v>0</v>
      </c>
      <c r="AF137" s="4">
        <v>0</v>
      </c>
      <c r="AG137" s="4">
        <v>0</v>
      </c>
      <c r="AH137" s="4">
        <v>0</v>
      </c>
      <c r="AI137" s="4">
        <v>0</v>
      </c>
      <c r="AJ137" s="4">
        <v>0</v>
      </c>
      <c r="AK137" s="4">
        <v>0</v>
      </c>
      <c r="AL137" s="4">
        <v>0</v>
      </c>
      <c r="AM137" s="4">
        <v>0</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4">
        <v>0</v>
      </c>
      <c r="BF137" s="4">
        <v>0</v>
      </c>
      <c r="BG137" s="4">
        <v>0</v>
      </c>
      <c r="BH137" s="4">
        <v>0</v>
      </c>
      <c r="BI137" s="4">
        <v>0</v>
      </c>
      <c r="BJ137" s="4">
        <v>0</v>
      </c>
      <c r="BK137" s="4">
        <v>0</v>
      </c>
      <c r="BL137" s="4">
        <v>0</v>
      </c>
      <c r="BM137" s="4">
        <v>0</v>
      </c>
      <c r="BN137" s="4">
        <v>0</v>
      </c>
      <c r="BO137" s="4">
        <v>0</v>
      </c>
    </row>
    <row r="138" spans="1:67" ht="15.95" customHeight="1">
      <c r="A138" s="2" t="s">
        <v>322</v>
      </c>
      <c r="B138" s="4">
        <v>0</v>
      </c>
      <c r="C138" s="4">
        <v>0</v>
      </c>
      <c r="D138" s="4">
        <v>0</v>
      </c>
      <c r="E138" s="4">
        <v>0</v>
      </c>
      <c r="F138" s="4">
        <v>0</v>
      </c>
      <c r="G138" s="4">
        <v>0</v>
      </c>
      <c r="H138" s="4">
        <v>0</v>
      </c>
      <c r="I138" s="4">
        <v>0</v>
      </c>
      <c r="J138" s="4">
        <v>0</v>
      </c>
      <c r="K138" s="4">
        <v>0</v>
      </c>
      <c r="L138" s="4">
        <v>0</v>
      </c>
      <c r="M138" s="4">
        <v>0</v>
      </c>
      <c r="N138" s="4">
        <v>0</v>
      </c>
      <c r="O138" s="4">
        <v>4</v>
      </c>
      <c r="P138" s="4">
        <v>0</v>
      </c>
      <c r="Q138" s="4">
        <v>0</v>
      </c>
      <c r="R138" s="4">
        <v>0</v>
      </c>
      <c r="S138" s="4">
        <v>0</v>
      </c>
      <c r="T138" s="4">
        <v>0</v>
      </c>
      <c r="U138" s="4">
        <v>0</v>
      </c>
      <c r="V138" s="4">
        <v>0</v>
      </c>
      <c r="W138" s="4">
        <v>0</v>
      </c>
      <c r="X138" s="4">
        <v>0</v>
      </c>
      <c r="Y138" s="4">
        <v>0</v>
      </c>
      <c r="Z138" s="4">
        <v>0</v>
      </c>
      <c r="AA138" s="4">
        <v>0</v>
      </c>
      <c r="AB138" s="4">
        <v>0</v>
      </c>
      <c r="AC138" s="4">
        <v>0</v>
      </c>
      <c r="AD138" s="4">
        <v>0</v>
      </c>
      <c r="AE138" s="4">
        <v>0</v>
      </c>
      <c r="AF138" s="4">
        <v>0</v>
      </c>
      <c r="AG138" s="4">
        <v>0</v>
      </c>
      <c r="AH138" s="4">
        <v>0</v>
      </c>
      <c r="AI138" s="4">
        <v>0</v>
      </c>
      <c r="AJ138" s="4">
        <v>0</v>
      </c>
      <c r="AK138" s="4">
        <v>0</v>
      </c>
      <c r="AL138" s="4">
        <v>0</v>
      </c>
      <c r="AM138" s="4">
        <v>0</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4">
        <v>0</v>
      </c>
      <c r="BF138" s="4">
        <v>0</v>
      </c>
      <c r="BG138" s="4">
        <v>0</v>
      </c>
      <c r="BH138" s="4">
        <v>0</v>
      </c>
      <c r="BI138" s="4">
        <v>0</v>
      </c>
      <c r="BJ138" s="4">
        <v>0</v>
      </c>
      <c r="BK138" s="4">
        <v>0</v>
      </c>
      <c r="BL138" s="4">
        <v>0</v>
      </c>
      <c r="BM138" s="4">
        <v>0</v>
      </c>
      <c r="BN138" s="4">
        <v>0</v>
      </c>
      <c r="BO138" s="4">
        <v>0</v>
      </c>
    </row>
    <row r="139" spans="1:67" ht="15.95" customHeight="1">
      <c r="A139" s="2" t="s">
        <v>323</v>
      </c>
      <c r="B139" s="4">
        <v>1</v>
      </c>
      <c r="C139" s="4">
        <v>2</v>
      </c>
      <c r="D139" s="4">
        <v>5</v>
      </c>
      <c r="E139" s="4">
        <v>2</v>
      </c>
      <c r="F139" s="4">
        <v>1</v>
      </c>
      <c r="G139" s="4">
        <v>4</v>
      </c>
      <c r="H139" s="4">
        <v>1</v>
      </c>
      <c r="I139" s="4">
        <v>1</v>
      </c>
      <c r="J139" s="4">
        <v>5</v>
      </c>
      <c r="K139" s="4">
        <v>1</v>
      </c>
      <c r="L139" s="4">
        <v>2</v>
      </c>
      <c r="M139" s="4">
        <v>2</v>
      </c>
      <c r="N139" s="4">
        <v>3</v>
      </c>
      <c r="O139" s="4">
        <v>1</v>
      </c>
      <c r="P139" s="4">
        <v>2</v>
      </c>
      <c r="Q139" s="4">
        <v>1</v>
      </c>
      <c r="R139" s="4">
        <v>1</v>
      </c>
      <c r="S139" s="4">
        <v>5</v>
      </c>
      <c r="T139" s="4">
        <v>5</v>
      </c>
      <c r="U139" s="4">
        <v>5</v>
      </c>
      <c r="V139" s="4">
        <v>1</v>
      </c>
      <c r="W139" s="4">
        <v>2</v>
      </c>
      <c r="X139" s="4">
        <v>5</v>
      </c>
      <c r="Y139" s="4">
        <v>1</v>
      </c>
      <c r="Z139" s="4">
        <v>1</v>
      </c>
      <c r="AA139" s="4">
        <v>3</v>
      </c>
      <c r="AB139" s="4">
        <v>3</v>
      </c>
      <c r="AC139" s="4">
        <v>5</v>
      </c>
      <c r="AD139" s="4">
        <v>1</v>
      </c>
      <c r="AE139" s="4">
        <v>5</v>
      </c>
      <c r="AF139" s="4">
        <v>5</v>
      </c>
      <c r="AG139" s="4">
        <v>0</v>
      </c>
      <c r="AH139" s="4">
        <v>0</v>
      </c>
      <c r="AI139" s="4">
        <v>0</v>
      </c>
      <c r="AJ139" s="4">
        <v>0</v>
      </c>
      <c r="AK139" s="4">
        <v>1</v>
      </c>
      <c r="AL139" s="4">
        <v>0</v>
      </c>
      <c r="AM139" s="4">
        <v>1</v>
      </c>
      <c r="AN139" s="4">
        <v>0</v>
      </c>
      <c r="AO139" s="4">
        <v>0</v>
      </c>
      <c r="AP139" s="4">
        <v>1</v>
      </c>
      <c r="AQ139" s="4">
        <v>0</v>
      </c>
      <c r="AR139" s="4">
        <v>0</v>
      </c>
      <c r="AS139" s="4">
        <v>0</v>
      </c>
      <c r="AT139" s="4">
        <v>0</v>
      </c>
      <c r="AU139" s="4">
        <v>1</v>
      </c>
      <c r="AV139" s="4">
        <v>0</v>
      </c>
      <c r="AW139" s="4">
        <v>0</v>
      </c>
      <c r="AX139" s="4">
        <v>0</v>
      </c>
      <c r="AY139" s="4">
        <v>0</v>
      </c>
      <c r="AZ139" s="4">
        <v>0</v>
      </c>
      <c r="BA139" s="4">
        <v>0</v>
      </c>
      <c r="BB139" s="4">
        <v>1</v>
      </c>
      <c r="BC139" s="4">
        <v>0</v>
      </c>
      <c r="BD139" s="4">
        <v>0</v>
      </c>
      <c r="BE139" s="4">
        <v>0</v>
      </c>
      <c r="BF139" s="4">
        <v>0</v>
      </c>
      <c r="BG139" s="4">
        <v>0</v>
      </c>
      <c r="BH139" s="4">
        <v>0</v>
      </c>
      <c r="BI139" s="4">
        <v>0</v>
      </c>
      <c r="BJ139" s="4">
        <v>1</v>
      </c>
      <c r="BK139" s="4">
        <v>0</v>
      </c>
      <c r="BL139" s="4">
        <v>0</v>
      </c>
      <c r="BM139" s="4">
        <v>0</v>
      </c>
      <c r="BN139" s="4">
        <v>0</v>
      </c>
      <c r="BO139" s="4">
        <v>0</v>
      </c>
    </row>
    <row r="140" spans="1:67" ht="15.95" customHeight="1">
      <c r="A140" s="2" t="s">
        <v>324</v>
      </c>
      <c r="B140" s="4">
        <v>0</v>
      </c>
      <c r="C140" s="4">
        <v>1</v>
      </c>
      <c r="D140" s="4">
        <v>3</v>
      </c>
      <c r="E140" s="4">
        <v>1</v>
      </c>
      <c r="F140" s="4">
        <v>5</v>
      </c>
      <c r="G140" s="4">
        <v>2</v>
      </c>
      <c r="H140" s="4">
        <v>2</v>
      </c>
      <c r="I140" s="4">
        <v>2</v>
      </c>
      <c r="J140" s="4">
        <v>3</v>
      </c>
      <c r="K140" s="4">
        <v>0</v>
      </c>
      <c r="L140" s="4">
        <v>0</v>
      </c>
      <c r="M140" s="4">
        <v>1</v>
      </c>
      <c r="N140" s="4">
        <v>0</v>
      </c>
      <c r="O140" s="4">
        <v>0</v>
      </c>
      <c r="P140" s="4">
        <v>0</v>
      </c>
      <c r="Q140" s="4">
        <v>0</v>
      </c>
      <c r="R140" s="4">
        <v>4</v>
      </c>
      <c r="S140" s="4">
        <v>0</v>
      </c>
      <c r="T140" s="4">
        <v>1</v>
      </c>
      <c r="U140" s="4">
        <v>0</v>
      </c>
      <c r="V140" s="4">
        <v>0</v>
      </c>
      <c r="W140" s="4">
        <v>0</v>
      </c>
      <c r="X140" s="4">
        <v>0</v>
      </c>
      <c r="Y140" s="4">
        <v>2</v>
      </c>
      <c r="Z140" s="4">
        <v>0</v>
      </c>
      <c r="AA140" s="4">
        <v>0</v>
      </c>
      <c r="AB140" s="4">
        <v>0</v>
      </c>
      <c r="AC140" s="4">
        <v>0</v>
      </c>
      <c r="AD140" s="4">
        <v>0</v>
      </c>
      <c r="AE140" s="4">
        <v>0</v>
      </c>
      <c r="AF140" s="4">
        <v>3</v>
      </c>
      <c r="AG140" s="4">
        <v>0</v>
      </c>
      <c r="AH140" s="4">
        <v>0</v>
      </c>
      <c r="AI140" s="4">
        <v>0</v>
      </c>
      <c r="AJ140" s="4">
        <v>0</v>
      </c>
      <c r="AK140" s="4">
        <v>0</v>
      </c>
      <c r="AL140" s="4">
        <v>0</v>
      </c>
      <c r="AM140" s="4">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4">
        <v>0</v>
      </c>
      <c r="BF140" s="4">
        <v>0</v>
      </c>
      <c r="BG140" s="4">
        <v>0</v>
      </c>
      <c r="BH140" s="4">
        <v>0</v>
      </c>
      <c r="BI140" s="4">
        <v>0</v>
      </c>
      <c r="BJ140" s="4">
        <v>0</v>
      </c>
      <c r="BK140" s="4">
        <v>1</v>
      </c>
      <c r="BL140" s="4">
        <v>0</v>
      </c>
      <c r="BM140" s="4">
        <v>0</v>
      </c>
      <c r="BN140" s="4">
        <v>0</v>
      </c>
      <c r="BO140" s="4">
        <v>0</v>
      </c>
    </row>
    <row r="141" spans="1:67" ht="15.95" customHeight="1">
      <c r="A141" s="2" t="s">
        <v>325</v>
      </c>
      <c r="B141" s="4">
        <v>1</v>
      </c>
      <c r="C141" s="4">
        <v>2</v>
      </c>
      <c r="D141" s="4">
        <v>2</v>
      </c>
      <c r="E141" s="4">
        <v>3</v>
      </c>
      <c r="F141" s="4">
        <v>5</v>
      </c>
      <c r="G141" s="4">
        <v>2</v>
      </c>
      <c r="H141" s="4">
        <v>2</v>
      </c>
      <c r="I141" s="4">
        <v>2</v>
      </c>
      <c r="J141" s="4">
        <v>4</v>
      </c>
      <c r="K141" s="4">
        <v>1</v>
      </c>
      <c r="L141" s="4">
        <v>3</v>
      </c>
      <c r="M141" s="4">
        <v>2</v>
      </c>
      <c r="N141" s="4">
        <v>2</v>
      </c>
      <c r="O141" s="4">
        <v>1</v>
      </c>
      <c r="P141" s="4">
        <v>2</v>
      </c>
      <c r="Q141" s="4">
        <v>2</v>
      </c>
      <c r="R141" s="4">
        <v>1</v>
      </c>
      <c r="S141" s="4">
        <v>2</v>
      </c>
      <c r="T141" s="4">
        <v>2</v>
      </c>
      <c r="U141" s="4">
        <v>2</v>
      </c>
      <c r="V141" s="4">
        <v>1</v>
      </c>
      <c r="W141" s="4">
        <v>2</v>
      </c>
      <c r="X141" s="4">
        <v>2</v>
      </c>
      <c r="Y141" s="4">
        <v>1</v>
      </c>
      <c r="Z141" s="4">
        <v>1</v>
      </c>
      <c r="AA141" s="4">
        <v>1</v>
      </c>
      <c r="AB141" s="4">
        <v>1</v>
      </c>
      <c r="AC141" s="4">
        <v>1</v>
      </c>
      <c r="AD141" s="4">
        <v>1</v>
      </c>
      <c r="AE141" s="4">
        <v>1</v>
      </c>
      <c r="AF141" s="4">
        <v>1</v>
      </c>
      <c r="AG141" s="4">
        <v>0</v>
      </c>
      <c r="AH141" s="4">
        <v>0</v>
      </c>
      <c r="AI141" s="4">
        <v>0</v>
      </c>
      <c r="AJ141" s="4">
        <v>0</v>
      </c>
      <c r="AK141" s="4">
        <v>0</v>
      </c>
      <c r="AL141" s="4">
        <v>0</v>
      </c>
      <c r="AM141" s="4">
        <v>0</v>
      </c>
      <c r="AN141" s="4">
        <v>0</v>
      </c>
      <c r="AO141" s="4">
        <v>0</v>
      </c>
      <c r="AP141" s="4">
        <v>1</v>
      </c>
      <c r="AQ141" s="4">
        <v>0</v>
      </c>
      <c r="AR141" s="4">
        <v>0</v>
      </c>
      <c r="AS141" s="4">
        <v>0</v>
      </c>
      <c r="AT141" s="4">
        <v>0</v>
      </c>
      <c r="AU141" s="4">
        <v>0</v>
      </c>
      <c r="AV141" s="4">
        <v>0</v>
      </c>
      <c r="AW141" s="4">
        <v>0</v>
      </c>
      <c r="AX141" s="4">
        <v>0</v>
      </c>
      <c r="AY141" s="4">
        <v>0</v>
      </c>
      <c r="AZ141" s="4">
        <v>0</v>
      </c>
      <c r="BA141" s="4">
        <v>0</v>
      </c>
      <c r="BB141" s="4">
        <v>1</v>
      </c>
      <c r="BC141" s="4">
        <v>1</v>
      </c>
      <c r="BD141" s="4">
        <v>1</v>
      </c>
      <c r="BE141" s="4">
        <v>0</v>
      </c>
      <c r="BF141" s="4">
        <v>0</v>
      </c>
      <c r="BG141" s="4">
        <v>0</v>
      </c>
      <c r="BH141" s="4">
        <v>0</v>
      </c>
      <c r="BI141" s="4">
        <v>0</v>
      </c>
      <c r="BJ141" s="4">
        <v>0</v>
      </c>
      <c r="BK141" s="4">
        <v>0</v>
      </c>
      <c r="BL141" s="4">
        <v>0</v>
      </c>
      <c r="BM141" s="4">
        <v>0</v>
      </c>
      <c r="BN141" s="4">
        <v>0</v>
      </c>
      <c r="BO141" s="4">
        <v>0</v>
      </c>
    </row>
    <row r="142" spans="1:67" ht="15.95" customHeight="1">
      <c r="A142" s="2" t="s">
        <v>326</v>
      </c>
      <c r="B142" s="4">
        <v>1</v>
      </c>
      <c r="C142" s="4">
        <v>2</v>
      </c>
      <c r="D142" s="4">
        <v>4</v>
      </c>
      <c r="E142" s="4">
        <v>2</v>
      </c>
      <c r="F142" s="4">
        <v>5</v>
      </c>
      <c r="G142" s="4">
        <v>3</v>
      </c>
      <c r="H142" s="4">
        <v>1</v>
      </c>
      <c r="I142" s="4">
        <v>1</v>
      </c>
      <c r="J142" s="4">
        <v>2</v>
      </c>
      <c r="K142" s="4">
        <v>1</v>
      </c>
      <c r="L142" s="4">
        <v>2</v>
      </c>
      <c r="M142" s="4">
        <v>2</v>
      </c>
      <c r="N142" s="4">
        <v>3</v>
      </c>
      <c r="O142" s="4">
        <v>1</v>
      </c>
      <c r="P142" s="4">
        <v>2</v>
      </c>
      <c r="Q142" s="4">
        <v>2</v>
      </c>
      <c r="R142" s="4">
        <v>1</v>
      </c>
      <c r="S142" s="4">
        <v>2</v>
      </c>
      <c r="T142" s="4">
        <v>2</v>
      </c>
      <c r="U142" s="4">
        <v>2</v>
      </c>
      <c r="V142" s="4">
        <v>1</v>
      </c>
      <c r="W142" s="4">
        <v>2</v>
      </c>
      <c r="X142" s="4">
        <v>1</v>
      </c>
      <c r="Y142" s="4">
        <v>1</v>
      </c>
      <c r="Z142" s="4">
        <v>1</v>
      </c>
      <c r="AA142" s="4">
        <v>1</v>
      </c>
      <c r="AB142" s="4">
        <v>2</v>
      </c>
      <c r="AC142" s="4">
        <v>1</v>
      </c>
      <c r="AD142" s="4">
        <v>1</v>
      </c>
      <c r="AE142" s="4">
        <v>2</v>
      </c>
      <c r="AF142" s="4">
        <v>1</v>
      </c>
      <c r="AG142" s="4">
        <v>0</v>
      </c>
      <c r="AH142" s="4">
        <v>0</v>
      </c>
      <c r="AI142" s="4">
        <v>0</v>
      </c>
      <c r="AJ142" s="4">
        <v>0</v>
      </c>
      <c r="AK142" s="4">
        <v>0</v>
      </c>
      <c r="AL142" s="4">
        <v>0</v>
      </c>
      <c r="AM142" s="4">
        <v>0</v>
      </c>
      <c r="AN142" s="4">
        <v>0</v>
      </c>
      <c r="AO142" s="4">
        <v>0</v>
      </c>
      <c r="AP142" s="4">
        <v>1</v>
      </c>
      <c r="AQ142" s="4">
        <v>1</v>
      </c>
      <c r="AR142" s="4">
        <v>1</v>
      </c>
      <c r="AS142" s="4">
        <v>0</v>
      </c>
      <c r="AT142" s="4">
        <v>0</v>
      </c>
      <c r="AU142" s="4">
        <v>0</v>
      </c>
      <c r="AV142" s="4">
        <v>1</v>
      </c>
      <c r="AW142" s="4">
        <v>0</v>
      </c>
      <c r="AX142" s="4">
        <v>0</v>
      </c>
      <c r="AY142" s="4">
        <v>0</v>
      </c>
      <c r="AZ142" s="4">
        <v>0</v>
      </c>
      <c r="BA142" s="4">
        <v>0</v>
      </c>
      <c r="BB142" s="4">
        <v>1</v>
      </c>
      <c r="BC142" s="4">
        <v>0</v>
      </c>
      <c r="BD142" s="4">
        <v>0</v>
      </c>
      <c r="BE142" s="4">
        <v>0</v>
      </c>
      <c r="BF142" s="4">
        <v>1</v>
      </c>
      <c r="BG142" s="4">
        <v>0</v>
      </c>
      <c r="BH142" s="4">
        <v>0</v>
      </c>
      <c r="BI142" s="4">
        <v>0</v>
      </c>
      <c r="BJ142" s="4">
        <v>0</v>
      </c>
      <c r="BK142" s="4">
        <v>0</v>
      </c>
      <c r="BL142" s="4">
        <v>0</v>
      </c>
      <c r="BM142" s="4">
        <v>0</v>
      </c>
      <c r="BN142" s="4">
        <v>0</v>
      </c>
      <c r="BO142" s="4">
        <v>0</v>
      </c>
    </row>
    <row r="143" spans="1:67" ht="15.95" customHeight="1">
      <c r="A143" s="2" t="s">
        <v>327</v>
      </c>
      <c r="B143" s="4">
        <v>0</v>
      </c>
      <c r="C143" s="4">
        <v>0</v>
      </c>
      <c r="D143" s="4">
        <v>0</v>
      </c>
      <c r="E143" s="4">
        <v>0</v>
      </c>
      <c r="F143" s="4">
        <v>0</v>
      </c>
      <c r="G143" s="4">
        <v>0</v>
      </c>
      <c r="H143" s="4">
        <v>0</v>
      </c>
      <c r="I143" s="4">
        <v>0</v>
      </c>
      <c r="J143" s="4">
        <v>0</v>
      </c>
      <c r="K143" s="4">
        <v>1</v>
      </c>
      <c r="L143" s="4">
        <v>0</v>
      </c>
      <c r="M143" s="4">
        <v>0</v>
      </c>
      <c r="N143" s="4">
        <v>0</v>
      </c>
      <c r="O143" s="4">
        <v>0</v>
      </c>
      <c r="P143" s="4">
        <v>0</v>
      </c>
      <c r="Q143" s="4">
        <v>0</v>
      </c>
      <c r="R143" s="4">
        <v>0</v>
      </c>
      <c r="S143" s="4">
        <v>0</v>
      </c>
      <c r="T143" s="4">
        <v>0</v>
      </c>
      <c r="U143" s="4">
        <v>0</v>
      </c>
      <c r="V143" s="4">
        <v>0</v>
      </c>
      <c r="W143" s="4">
        <v>0</v>
      </c>
      <c r="X143" s="4">
        <v>0</v>
      </c>
      <c r="Y143" s="4">
        <v>0</v>
      </c>
      <c r="Z143" s="4">
        <v>0</v>
      </c>
      <c r="AA143" s="4">
        <v>0</v>
      </c>
      <c r="AB143" s="4">
        <v>0</v>
      </c>
      <c r="AC143" s="4">
        <v>0</v>
      </c>
      <c r="AD143" s="4">
        <v>0</v>
      </c>
      <c r="AE143" s="4">
        <v>0</v>
      </c>
      <c r="AF143" s="4">
        <v>0</v>
      </c>
      <c r="AG143" s="4">
        <v>0</v>
      </c>
      <c r="AH143" s="4">
        <v>0</v>
      </c>
      <c r="AI143" s="4">
        <v>0</v>
      </c>
      <c r="AJ143" s="4">
        <v>0</v>
      </c>
      <c r="AK143" s="4">
        <v>0</v>
      </c>
      <c r="AL143" s="4">
        <v>0</v>
      </c>
      <c r="AM143" s="4">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4">
        <v>0</v>
      </c>
      <c r="BF143" s="4">
        <v>0</v>
      </c>
      <c r="BG143" s="4">
        <v>0</v>
      </c>
      <c r="BH143" s="4">
        <v>0</v>
      </c>
      <c r="BI143" s="4">
        <v>0</v>
      </c>
      <c r="BJ143" s="4">
        <v>0</v>
      </c>
      <c r="BK143" s="4">
        <v>0</v>
      </c>
      <c r="BL143" s="4">
        <v>0</v>
      </c>
      <c r="BM143" s="4">
        <v>0</v>
      </c>
      <c r="BN143" s="4">
        <v>0</v>
      </c>
      <c r="BO143" s="4">
        <v>0</v>
      </c>
    </row>
    <row r="144" spans="1:67" ht="15.95" customHeight="1">
      <c r="A144" s="2" t="s">
        <v>328</v>
      </c>
      <c r="B144" s="4">
        <v>0</v>
      </c>
      <c r="C144" s="4">
        <v>1</v>
      </c>
      <c r="D144" s="4">
        <v>4</v>
      </c>
      <c r="E144" s="4">
        <v>3</v>
      </c>
      <c r="F144" s="4">
        <v>0</v>
      </c>
      <c r="G144" s="4">
        <v>0</v>
      </c>
      <c r="H144" s="4">
        <v>0</v>
      </c>
      <c r="I144" s="4">
        <v>0</v>
      </c>
      <c r="J144" s="4">
        <v>0</v>
      </c>
      <c r="K144" s="4">
        <v>1</v>
      </c>
      <c r="L144" s="4">
        <v>0</v>
      </c>
      <c r="M144" s="4">
        <v>0</v>
      </c>
      <c r="N144" s="4">
        <v>0</v>
      </c>
      <c r="O144" s="4">
        <v>0</v>
      </c>
      <c r="P144" s="4">
        <v>0</v>
      </c>
      <c r="Q144" s="4">
        <v>0</v>
      </c>
      <c r="R144" s="4">
        <v>0</v>
      </c>
      <c r="S144" s="4">
        <v>0</v>
      </c>
      <c r="T144" s="4">
        <v>0</v>
      </c>
      <c r="U144" s="4">
        <v>0</v>
      </c>
      <c r="V144" s="4">
        <v>0</v>
      </c>
      <c r="W144" s="4">
        <v>0</v>
      </c>
      <c r="X144" s="4">
        <v>0</v>
      </c>
      <c r="Y144" s="4">
        <v>0</v>
      </c>
      <c r="Z144" s="4">
        <v>0</v>
      </c>
      <c r="AA144" s="4">
        <v>0</v>
      </c>
      <c r="AB144" s="4">
        <v>0</v>
      </c>
      <c r="AC144" s="4">
        <v>0</v>
      </c>
      <c r="AD144" s="4">
        <v>0</v>
      </c>
      <c r="AE144" s="4">
        <v>0</v>
      </c>
      <c r="AF144" s="4">
        <v>0</v>
      </c>
      <c r="AG144" s="4">
        <v>0</v>
      </c>
      <c r="AH144" s="4">
        <v>0</v>
      </c>
      <c r="AI144" s="4">
        <v>0</v>
      </c>
      <c r="AJ144" s="4">
        <v>0</v>
      </c>
      <c r="AK144" s="4">
        <v>0</v>
      </c>
      <c r="AL144" s="4">
        <v>0</v>
      </c>
      <c r="AM144" s="4">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4">
        <v>0</v>
      </c>
      <c r="BF144" s="4">
        <v>0</v>
      </c>
      <c r="BG144" s="4">
        <v>0</v>
      </c>
      <c r="BH144" s="4">
        <v>0</v>
      </c>
      <c r="BI144" s="4">
        <v>0</v>
      </c>
      <c r="BJ144" s="4">
        <v>0</v>
      </c>
      <c r="BK144" s="4">
        <v>0</v>
      </c>
      <c r="BL144" s="4">
        <v>0</v>
      </c>
      <c r="BM144" s="4">
        <v>0</v>
      </c>
      <c r="BN144" s="4">
        <v>0</v>
      </c>
      <c r="BO144" s="4">
        <v>0</v>
      </c>
    </row>
    <row r="145" spans="1:67" ht="15.95" customHeight="1">
      <c r="A145" s="2" t="s">
        <v>329</v>
      </c>
      <c r="B145" s="4">
        <v>0</v>
      </c>
      <c r="C145" s="4">
        <v>0</v>
      </c>
      <c r="D145" s="4">
        <v>0</v>
      </c>
      <c r="E145" s="4">
        <v>0</v>
      </c>
      <c r="F145" s="4">
        <v>0</v>
      </c>
      <c r="G145" s="4">
        <v>0</v>
      </c>
      <c r="H145" s="4">
        <v>0</v>
      </c>
      <c r="I145" s="4">
        <v>0</v>
      </c>
      <c r="J145" s="4">
        <v>0</v>
      </c>
      <c r="K145" s="4">
        <v>1</v>
      </c>
      <c r="L145" s="4">
        <v>0</v>
      </c>
      <c r="M145" s="4">
        <v>0</v>
      </c>
      <c r="N145" s="4">
        <v>0</v>
      </c>
      <c r="O145" s="4">
        <v>0</v>
      </c>
      <c r="P145" s="4">
        <v>0</v>
      </c>
      <c r="Q145" s="4">
        <v>0</v>
      </c>
      <c r="R145" s="4">
        <v>0</v>
      </c>
      <c r="S145" s="4">
        <v>0</v>
      </c>
      <c r="T145" s="4">
        <v>0</v>
      </c>
      <c r="U145" s="4">
        <v>0</v>
      </c>
      <c r="V145" s="4">
        <v>0</v>
      </c>
      <c r="W145" s="4">
        <v>0</v>
      </c>
      <c r="X145" s="4">
        <v>0</v>
      </c>
      <c r="Y145" s="4">
        <v>0</v>
      </c>
      <c r="Z145" s="4">
        <v>0</v>
      </c>
      <c r="AA145" s="4">
        <v>0</v>
      </c>
      <c r="AB145" s="4">
        <v>0</v>
      </c>
      <c r="AC145" s="4">
        <v>0</v>
      </c>
      <c r="AD145" s="4">
        <v>0</v>
      </c>
      <c r="AE145" s="4">
        <v>0</v>
      </c>
      <c r="AF145" s="4">
        <v>0</v>
      </c>
      <c r="AG145" s="4">
        <v>0</v>
      </c>
      <c r="AH145" s="4">
        <v>0</v>
      </c>
      <c r="AI145" s="4">
        <v>0</v>
      </c>
      <c r="AJ145" s="4">
        <v>0</v>
      </c>
      <c r="AK145" s="4">
        <v>0</v>
      </c>
      <c r="AL145" s="4">
        <v>0</v>
      </c>
      <c r="AM145" s="4">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4">
        <v>0</v>
      </c>
      <c r="BF145" s="4">
        <v>0</v>
      </c>
      <c r="BG145" s="4">
        <v>0</v>
      </c>
      <c r="BH145" s="4">
        <v>0</v>
      </c>
      <c r="BI145" s="4">
        <v>0</v>
      </c>
      <c r="BJ145" s="4">
        <v>0</v>
      </c>
      <c r="BK145" s="4">
        <v>0</v>
      </c>
      <c r="BL145" s="4">
        <v>0</v>
      </c>
      <c r="BM145" s="4">
        <v>0</v>
      </c>
      <c r="BN145" s="4">
        <v>0</v>
      </c>
      <c r="BO145" s="4">
        <v>0</v>
      </c>
    </row>
    <row r="146" spans="1:67" ht="15.95" customHeight="1">
      <c r="A146" s="2" t="s">
        <v>330</v>
      </c>
      <c r="B146" s="4">
        <v>0</v>
      </c>
      <c r="C146" s="4">
        <v>0</v>
      </c>
      <c r="D146" s="4">
        <v>0</v>
      </c>
      <c r="E146" s="4">
        <v>0</v>
      </c>
      <c r="F146" s="4">
        <v>0</v>
      </c>
      <c r="G146" s="4">
        <v>0</v>
      </c>
      <c r="H146" s="4">
        <v>0</v>
      </c>
      <c r="I146" s="4">
        <v>0</v>
      </c>
      <c r="J146" s="4">
        <v>0</v>
      </c>
      <c r="K146" s="4">
        <v>1</v>
      </c>
      <c r="L146" s="4">
        <v>4</v>
      </c>
      <c r="M146" s="4">
        <v>2</v>
      </c>
      <c r="N146" s="4">
        <v>3</v>
      </c>
      <c r="O146" s="4">
        <v>0</v>
      </c>
      <c r="P146" s="4">
        <v>0</v>
      </c>
      <c r="Q146" s="4">
        <v>2</v>
      </c>
      <c r="R146" s="4">
        <v>2</v>
      </c>
      <c r="S146" s="4">
        <v>2</v>
      </c>
      <c r="T146" s="4">
        <v>1</v>
      </c>
      <c r="U146" s="4">
        <v>4</v>
      </c>
      <c r="V146" s="4">
        <v>0</v>
      </c>
      <c r="W146" s="4">
        <v>0</v>
      </c>
      <c r="X146" s="4">
        <v>2</v>
      </c>
      <c r="Y146" s="4">
        <v>3</v>
      </c>
      <c r="Z146" s="4">
        <v>5</v>
      </c>
      <c r="AA146" s="4">
        <v>1</v>
      </c>
      <c r="AB146" s="4">
        <v>1</v>
      </c>
      <c r="AC146" s="4">
        <v>0</v>
      </c>
      <c r="AD146" s="4">
        <v>0</v>
      </c>
      <c r="AE146" s="4">
        <v>2</v>
      </c>
      <c r="AF146" s="4">
        <v>3</v>
      </c>
      <c r="AG146" s="4">
        <v>0</v>
      </c>
      <c r="AH146" s="4">
        <v>1</v>
      </c>
      <c r="AI146" s="4">
        <v>0</v>
      </c>
      <c r="AJ146" s="4">
        <v>0</v>
      </c>
      <c r="AK146" s="4">
        <v>0</v>
      </c>
      <c r="AL146" s="4">
        <v>0</v>
      </c>
      <c r="AM146" s="4">
        <v>1</v>
      </c>
      <c r="AN146" s="4">
        <v>0</v>
      </c>
      <c r="AO146" s="4">
        <v>0</v>
      </c>
      <c r="AP146" s="4">
        <v>0</v>
      </c>
      <c r="AQ146" s="4">
        <v>0</v>
      </c>
      <c r="AR146" s="4">
        <v>1</v>
      </c>
      <c r="AS146" s="4">
        <v>0</v>
      </c>
      <c r="AT146" s="4">
        <v>0</v>
      </c>
      <c r="AU146" s="4">
        <v>0</v>
      </c>
      <c r="AV146" s="4">
        <v>0</v>
      </c>
      <c r="AW146" s="4">
        <v>0</v>
      </c>
      <c r="AX146" s="4">
        <v>0</v>
      </c>
      <c r="AY146" s="4">
        <v>0</v>
      </c>
      <c r="AZ146" s="4">
        <v>0</v>
      </c>
      <c r="BA146" s="4">
        <v>0</v>
      </c>
      <c r="BB146" s="4">
        <v>0</v>
      </c>
      <c r="BC146" s="4">
        <v>0</v>
      </c>
      <c r="BD146" s="4">
        <v>0</v>
      </c>
      <c r="BE146" s="4">
        <v>0</v>
      </c>
      <c r="BF146" s="4">
        <v>1</v>
      </c>
      <c r="BG146" s="4">
        <v>0</v>
      </c>
      <c r="BH146" s="4">
        <v>0</v>
      </c>
      <c r="BI146" s="4">
        <v>0</v>
      </c>
      <c r="BJ146" s="4">
        <v>0</v>
      </c>
      <c r="BK146" s="4">
        <v>0</v>
      </c>
      <c r="BL146" s="4">
        <v>1</v>
      </c>
      <c r="BM146" s="4">
        <v>0</v>
      </c>
      <c r="BN146" s="4">
        <v>0</v>
      </c>
      <c r="BO146" s="4">
        <v>0</v>
      </c>
    </row>
    <row r="147" spans="1:67" ht="15.95" customHeight="1">
      <c r="A147" s="2" t="s">
        <v>331</v>
      </c>
      <c r="B147" s="4">
        <v>1</v>
      </c>
      <c r="C147" s="4">
        <v>2</v>
      </c>
      <c r="D147" s="4">
        <v>6</v>
      </c>
      <c r="E147" s="4">
        <v>3</v>
      </c>
      <c r="F147" s="4">
        <v>5</v>
      </c>
      <c r="G147" s="4">
        <v>2</v>
      </c>
      <c r="H147" s="4">
        <v>1</v>
      </c>
      <c r="I147" s="4">
        <v>1</v>
      </c>
      <c r="J147" s="4">
        <v>2</v>
      </c>
      <c r="K147" s="4">
        <v>1</v>
      </c>
      <c r="L147" s="4">
        <v>1</v>
      </c>
      <c r="M147" s="4">
        <v>1</v>
      </c>
      <c r="N147" s="4">
        <v>1</v>
      </c>
      <c r="O147" s="4">
        <v>1</v>
      </c>
      <c r="P147" s="4">
        <v>1</v>
      </c>
      <c r="Q147" s="4">
        <v>1</v>
      </c>
      <c r="R147" s="4">
        <v>1</v>
      </c>
      <c r="S147" s="4">
        <v>3</v>
      </c>
      <c r="T147" s="4">
        <v>2</v>
      </c>
      <c r="U147" s="4">
        <v>2</v>
      </c>
      <c r="V147" s="4">
        <v>1</v>
      </c>
      <c r="W147" s="4">
        <v>4</v>
      </c>
      <c r="X147" s="4">
        <v>1</v>
      </c>
      <c r="Y147" s="4">
        <v>1</v>
      </c>
      <c r="Z147" s="4">
        <v>0</v>
      </c>
      <c r="AA147" s="4">
        <v>0</v>
      </c>
      <c r="AB147" s="4">
        <v>0</v>
      </c>
      <c r="AC147" s="4">
        <v>0</v>
      </c>
      <c r="AD147" s="4">
        <v>0</v>
      </c>
      <c r="AE147" s="4">
        <v>0</v>
      </c>
      <c r="AF147" s="4">
        <v>0</v>
      </c>
      <c r="AG147" s="4">
        <v>0</v>
      </c>
      <c r="AH147" s="4">
        <v>0</v>
      </c>
      <c r="AI147" s="4">
        <v>0</v>
      </c>
      <c r="AJ147" s="4">
        <v>0</v>
      </c>
      <c r="AK147" s="4">
        <v>0</v>
      </c>
      <c r="AL147" s="4">
        <v>0</v>
      </c>
      <c r="AM147" s="4">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4">
        <v>0</v>
      </c>
      <c r="BF147" s="4">
        <v>0</v>
      </c>
      <c r="BG147" s="4">
        <v>0</v>
      </c>
      <c r="BH147" s="4">
        <v>0</v>
      </c>
      <c r="BI147" s="4">
        <v>0</v>
      </c>
      <c r="BJ147" s="4">
        <v>0</v>
      </c>
      <c r="BK147" s="4">
        <v>0</v>
      </c>
      <c r="BL147" s="4">
        <v>0</v>
      </c>
      <c r="BM147" s="4">
        <v>0</v>
      </c>
      <c r="BN147" s="4">
        <v>0</v>
      </c>
      <c r="BO147" s="4">
        <v>0</v>
      </c>
    </row>
    <row r="148" spans="1:67" ht="15.95" customHeight="1">
      <c r="A148" s="2" t="s">
        <v>332</v>
      </c>
      <c r="B148" s="4">
        <v>0</v>
      </c>
      <c r="C148" s="4">
        <v>0</v>
      </c>
      <c r="D148" s="4">
        <v>0</v>
      </c>
      <c r="E148" s="4">
        <v>0</v>
      </c>
      <c r="F148" s="4">
        <v>0</v>
      </c>
      <c r="G148" s="4">
        <v>0</v>
      </c>
      <c r="H148" s="4">
        <v>0</v>
      </c>
      <c r="I148" s="4">
        <v>0</v>
      </c>
      <c r="J148" s="4">
        <v>0</v>
      </c>
      <c r="K148" s="4">
        <v>1</v>
      </c>
      <c r="L148" s="4">
        <v>0</v>
      </c>
      <c r="M148" s="4">
        <v>0</v>
      </c>
      <c r="N148" s="4">
        <v>0</v>
      </c>
      <c r="O148" s="4">
        <v>0</v>
      </c>
      <c r="P148" s="4">
        <v>0</v>
      </c>
      <c r="Q148" s="4">
        <v>0</v>
      </c>
      <c r="R148" s="4">
        <v>0</v>
      </c>
      <c r="S148" s="4">
        <v>0</v>
      </c>
      <c r="T148" s="4">
        <v>0</v>
      </c>
      <c r="U148" s="4">
        <v>0</v>
      </c>
      <c r="V148" s="4">
        <v>0</v>
      </c>
      <c r="W148" s="4">
        <v>0</v>
      </c>
      <c r="X148" s="4">
        <v>0</v>
      </c>
      <c r="Y148" s="4">
        <v>0</v>
      </c>
      <c r="Z148" s="4">
        <v>0</v>
      </c>
      <c r="AA148" s="4">
        <v>0</v>
      </c>
      <c r="AB148" s="4">
        <v>0</v>
      </c>
      <c r="AC148" s="4">
        <v>0</v>
      </c>
      <c r="AD148" s="4">
        <v>0</v>
      </c>
      <c r="AE148" s="4">
        <v>0</v>
      </c>
      <c r="AF148" s="4">
        <v>0</v>
      </c>
      <c r="AG148" s="4">
        <v>0</v>
      </c>
      <c r="AH148" s="4">
        <v>0</v>
      </c>
      <c r="AI148" s="4">
        <v>0</v>
      </c>
      <c r="AJ148" s="4">
        <v>0</v>
      </c>
      <c r="AK148" s="4">
        <v>0</v>
      </c>
      <c r="AL148" s="4">
        <v>0</v>
      </c>
      <c r="AM148" s="4">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4">
        <v>0</v>
      </c>
      <c r="BF148" s="4">
        <v>0</v>
      </c>
      <c r="BG148" s="4">
        <v>0</v>
      </c>
      <c r="BH148" s="4">
        <v>0</v>
      </c>
      <c r="BI148" s="4">
        <v>0</v>
      </c>
      <c r="BJ148" s="4">
        <v>0</v>
      </c>
      <c r="BK148" s="4">
        <v>0</v>
      </c>
      <c r="BL148" s="4">
        <v>0</v>
      </c>
      <c r="BM148" s="4">
        <v>0</v>
      </c>
      <c r="BN148" s="4">
        <v>0</v>
      </c>
      <c r="BO148" s="4">
        <v>0</v>
      </c>
    </row>
    <row r="149" spans="1:67" ht="15.95" customHeight="1">
      <c r="A149" s="2" t="s">
        <v>333</v>
      </c>
      <c r="B149" s="4">
        <v>1</v>
      </c>
      <c r="C149" s="4">
        <v>1</v>
      </c>
      <c r="D149" s="4">
        <v>4</v>
      </c>
      <c r="E149" s="4">
        <v>3</v>
      </c>
      <c r="F149" s="4">
        <v>2</v>
      </c>
      <c r="G149" s="4">
        <v>2</v>
      </c>
      <c r="H149" s="4">
        <v>2</v>
      </c>
      <c r="I149" s="4">
        <v>1</v>
      </c>
      <c r="J149" s="4">
        <v>3</v>
      </c>
      <c r="K149" s="4">
        <v>1</v>
      </c>
      <c r="L149" s="4">
        <v>1</v>
      </c>
      <c r="M149" s="4">
        <v>1</v>
      </c>
      <c r="N149" s="4">
        <v>1</v>
      </c>
      <c r="O149" s="4">
        <v>1</v>
      </c>
      <c r="P149" s="4">
        <v>1</v>
      </c>
      <c r="Q149" s="4">
        <v>1</v>
      </c>
      <c r="R149" s="4">
        <v>1</v>
      </c>
      <c r="S149" s="4">
        <v>1</v>
      </c>
      <c r="T149" s="4">
        <v>1</v>
      </c>
      <c r="U149" s="4">
        <v>1</v>
      </c>
      <c r="V149" s="4">
        <v>1</v>
      </c>
      <c r="W149" s="4">
        <v>5</v>
      </c>
      <c r="X149" s="4">
        <v>1</v>
      </c>
      <c r="Y149" s="4">
        <v>1</v>
      </c>
      <c r="Z149" s="4">
        <v>1</v>
      </c>
      <c r="AA149" s="4">
        <v>1</v>
      </c>
      <c r="AB149" s="4">
        <v>1</v>
      </c>
      <c r="AC149" s="4">
        <v>1</v>
      </c>
      <c r="AD149" s="4">
        <v>1</v>
      </c>
      <c r="AE149" s="4">
        <v>1</v>
      </c>
      <c r="AF149" s="4">
        <v>1</v>
      </c>
      <c r="AG149" s="4">
        <v>0</v>
      </c>
      <c r="AH149" s="4">
        <v>0</v>
      </c>
      <c r="AI149" s="4">
        <v>0</v>
      </c>
      <c r="AJ149" s="4">
        <v>0</v>
      </c>
      <c r="AK149" s="4">
        <v>0</v>
      </c>
      <c r="AL149" s="4">
        <v>0</v>
      </c>
      <c r="AM149" s="4">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4">
        <v>0</v>
      </c>
      <c r="BF149" s="4">
        <v>0</v>
      </c>
      <c r="BG149" s="4">
        <v>0</v>
      </c>
      <c r="BH149" s="4">
        <v>0</v>
      </c>
      <c r="BI149" s="4">
        <v>0</v>
      </c>
      <c r="BJ149" s="4">
        <v>0</v>
      </c>
      <c r="BK149" s="4">
        <v>0</v>
      </c>
      <c r="BL149" s="4">
        <v>0</v>
      </c>
      <c r="BM149" s="4">
        <v>0</v>
      </c>
      <c r="BN149" s="4">
        <v>0</v>
      </c>
      <c r="BO149" s="4">
        <v>0</v>
      </c>
    </row>
    <row r="150" spans="1:67" ht="15.95" customHeight="1">
      <c r="A150" s="2" t="s">
        <v>334</v>
      </c>
      <c r="B150" s="4">
        <v>1</v>
      </c>
      <c r="C150" s="4">
        <v>1</v>
      </c>
      <c r="D150" s="4">
        <v>2</v>
      </c>
      <c r="E150" s="4">
        <v>1</v>
      </c>
      <c r="F150" s="4">
        <v>1</v>
      </c>
      <c r="G150" s="4">
        <v>2</v>
      </c>
      <c r="H150" s="4">
        <v>1</v>
      </c>
      <c r="I150" s="4">
        <v>1</v>
      </c>
      <c r="J150" s="4">
        <v>2</v>
      </c>
      <c r="K150" s="4">
        <v>1</v>
      </c>
      <c r="L150" s="4">
        <v>4</v>
      </c>
      <c r="M150" s="4">
        <v>4</v>
      </c>
      <c r="N150" s="4">
        <v>5</v>
      </c>
      <c r="O150" s="4">
        <v>4</v>
      </c>
      <c r="P150" s="4">
        <v>3</v>
      </c>
      <c r="Q150" s="4">
        <v>3</v>
      </c>
      <c r="R150" s="4">
        <v>2</v>
      </c>
      <c r="S150" s="4">
        <v>1</v>
      </c>
      <c r="T150" s="4">
        <v>1</v>
      </c>
      <c r="U150" s="4">
        <v>1</v>
      </c>
      <c r="V150" s="4">
        <v>1</v>
      </c>
      <c r="W150" s="4">
        <v>1</v>
      </c>
      <c r="X150" s="4">
        <v>1</v>
      </c>
      <c r="Y150" s="4">
        <v>1</v>
      </c>
      <c r="Z150" s="4">
        <v>3</v>
      </c>
      <c r="AA150" s="4">
        <v>4</v>
      </c>
      <c r="AB150" s="4">
        <v>3</v>
      </c>
      <c r="AC150" s="4">
        <v>4</v>
      </c>
      <c r="AD150" s="4">
        <v>3</v>
      </c>
      <c r="AE150" s="4">
        <v>2</v>
      </c>
      <c r="AF150" s="4">
        <v>2</v>
      </c>
      <c r="AG150" s="4">
        <v>1</v>
      </c>
      <c r="AH150" s="4">
        <v>1</v>
      </c>
      <c r="AI150" s="4">
        <v>1</v>
      </c>
      <c r="AJ150" s="4">
        <v>1</v>
      </c>
      <c r="AK150" s="4">
        <v>1</v>
      </c>
      <c r="AL150" s="4">
        <v>1</v>
      </c>
      <c r="AM150" s="4">
        <v>1</v>
      </c>
      <c r="AN150" s="4">
        <v>1</v>
      </c>
      <c r="AO150" s="4">
        <v>1</v>
      </c>
      <c r="AP150" s="4">
        <v>1</v>
      </c>
      <c r="AQ150" s="4">
        <v>1</v>
      </c>
      <c r="AR150" s="4">
        <v>1</v>
      </c>
      <c r="AS150" s="4">
        <v>1</v>
      </c>
      <c r="AT150" s="4">
        <v>1</v>
      </c>
      <c r="AU150" s="4">
        <v>1</v>
      </c>
      <c r="AV150" s="4">
        <v>1</v>
      </c>
      <c r="AW150" s="4">
        <v>1</v>
      </c>
      <c r="AX150" s="4">
        <v>1</v>
      </c>
      <c r="AY150" s="4">
        <v>1</v>
      </c>
      <c r="AZ150" s="4">
        <v>1</v>
      </c>
      <c r="BA150" s="4">
        <v>1</v>
      </c>
      <c r="BB150" s="4">
        <v>1</v>
      </c>
      <c r="BC150" s="4">
        <v>1</v>
      </c>
      <c r="BD150" s="4">
        <v>1</v>
      </c>
      <c r="BE150" s="4">
        <v>1</v>
      </c>
      <c r="BF150" s="4">
        <v>1</v>
      </c>
      <c r="BG150" s="4">
        <v>1</v>
      </c>
      <c r="BH150" s="4">
        <v>1</v>
      </c>
      <c r="BI150" s="4">
        <v>1</v>
      </c>
      <c r="BJ150" s="4">
        <v>1</v>
      </c>
      <c r="BK150" s="4">
        <v>1</v>
      </c>
      <c r="BL150" s="4">
        <v>1</v>
      </c>
      <c r="BM150" s="4">
        <v>1</v>
      </c>
      <c r="BN150" s="4">
        <v>1</v>
      </c>
      <c r="BO150" s="4">
        <v>1</v>
      </c>
    </row>
    <row r="151" spans="1:67" ht="15.95" customHeight="1">
      <c r="A151" s="2" t="s">
        <v>335</v>
      </c>
      <c r="B151" s="4">
        <v>0</v>
      </c>
      <c r="C151" s="4">
        <v>2</v>
      </c>
      <c r="D151" s="4">
        <v>3</v>
      </c>
      <c r="E151" s="4">
        <v>3</v>
      </c>
      <c r="F151" s="4">
        <v>3</v>
      </c>
      <c r="G151" s="4">
        <v>4</v>
      </c>
      <c r="H151" s="4">
        <v>2</v>
      </c>
      <c r="I151" s="4">
        <v>1</v>
      </c>
      <c r="J151" s="4">
        <v>2</v>
      </c>
      <c r="K151" s="4">
        <v>1</v>
      </c>
      <c r="L151" s="4">
        <v>0</v>
      </c>
      <c r="M151" s="4">
        <v>0</v>
      </c>
      <c r="N151" s="4">
        <v>0</v>
      </c>
      <c r="O151" s="4">
        <v>1</v>
      </c>
      <c r="P151" s="4">
        <v>0</v>
      </c>
      <c r="Q151" s="4">
        <v>0</v>
      </c>
      <c r="R151" s="4">
        <v>0</v>
      </c>
      <c r="S151" s="4">
        <v>0</v>
      </c>
      <c r="T151" s="4">
        <v>0</v>
      </c>
      <c r="U151" s="4">
        <v>0</v>
      </c>
      <c r="V151" s="4">
        <v>1</v>
      </c>
      <c r="W151" s="4">
        <v>0</v>
      </c>
      <c r="X151" s="4">
        <v>0</v>
      </c>
      <c r="Y151" s="4">
        <v>0</v>
      </c>
      <c r="Z151" s="4">
        <v>0</v>
      </c>
      <c r="AA151" s="4">
        <v>0</v>
      </c>
      <c r="AB151" s="4">
        <v>0</v>
      </c>
      <c r="AC151" s="4">
        <v>1</v>
      </c>
      <c r="AD151" s="4">
        <v>0</v>
      </c>
      <c r="AE151" s="4">
        <v>0</v>
      </c>
      <c r="AF151" s="4">
        <v>0</v>
      </c>
      <c r="AG151" s="4">
        <v>0</v>
      </c>
      <c r="AH151" s="4">
        <v>0</v>
      </c>
      <c r="AI151" s="4">
        <v>0</v>
      </c>
      <c r="AJ151" s="4">
        <v>0</v>
      </c>
      <c r="AK151" s="4">
        <v>0</v>
      </c>
      <c r="AL151" s="4">
        <v>0</v>
      </c>
      <c r="AM151" s="4">
        <v>0</v>
      </c>
      <c r="AN151" s="4">
        <v>0</v>
      </c>
      <c r="AO151" s="4">
        <v>0</v>
      </c>
      <c r="AP151" s="4">
        <v>0</v>
      </c>
      <c r="AQ151" s="4">
        <v>0</v>
      </c>
      <c r="AR151" s="4">
        <v>0</v>
      </c>
      <c r="AS151" s="4">
        <v>0</v>
      </c>
      <c r="AT151" s="4">
        <v>0</v>
      </c>
      <c r="AU151" s="4">
        <v>0</v>
      </c>
      <c r="AV151" s="4">
        <v>0</v>
      </c>
      <c r="AW151" s="4">
        <v>1</v>
      </c>
      <c r="AX151" s="4">
        <v>0</v>
      </c>
      <c r="AY151" s="4">
        <v>0</v>
      </c>
      <c r="AZ151" s="4">
        <v>0</v>
      </c>
      <c r="BA151" s="4">
        <v>0</v>
      </c>
      <c r="BB151" s="4">
        <v>0</v>
      </c>
      <c r="BC151" s="4">
        <v>0</v>
      </c>
      <c r="BD151" s="4">
        <v>0</v>
      </c>
      <c r="BE151" s="4">
        <v>0</v>
      </c>
      <c r="BF151" s="4">
        <v>0</v>
      </c>
      <c r="BG151" s="4">
        <v>0</v>
      </c>
      <c r="BH151" s="4">
        <v>0</v>
      </c>
      <c r="BI151" s="4">
        <v>0</v>
      </c>
      <c r="BJ151" s="4">
        <v>0</v>
      </c>
      <c r="BK151" s="4">
        <v>0</v>
      </c>
      <c r="BL151" s="4">
        <v>0</v>
      </c>
      <c r="BM151" s="4">
        <v>0</v>
      </c>
      <c r="BN151" s="4">
        <v>0</v>
      </c>
      <c r="BO151" s="4">
        <v>0</v>
      </c>
    </row>
    <row r="152" spans="1:67" ht="15.95" customHeight="1">
      <c r="A152" s="2" t="s">
        <v>336</v>
      </c>
      <c r="B152" s="4">
        <v>0</v>
      </c>
      <c r="C152" s="4">
        <v>1</v>
      </c>
      <c r="D152" s="4">
        <v>3</v>
      </c>
      <c r="E152" s="4">
        <v>3</v>
      </c>
      <c r="F152" s="4">
        <v>2</v>
      </c>
      <c r="G152" s="4">
        <v>2</v>
      </c>
      <c r="H152" s="4">
        <v>1</v>
      </c>
      <c r="I152" s="4">
        <v>1</v>
      </c>
      <c r="J152" s="4">
        <v>2</v>
      </c>
      <c r="K152" s="4">
        <v>1</v>
      </c>
      <c r="L152" s="4">
        <v>0</v>
      </c>
      <c r="M152" s="4">
        <v>2</v>
      </c>
      <c r="N152" s="4">
        <v>0</v>
      </c>
      <c r="O152" s="4">
        <v>0</v>
      </c>
      <c r="P152" s="4">
        <v>0</v>
      </c>
      <c r="Q152" s="4">
        <v>0</v>
      </c>
      <c r="R152" s="4">
        <v>0</v>
      </c>
      <c r="S152" s="4">
        <v>0</v>
      </c>
      <c r="T152" s="4">
        <v>1</v>
      </c>
      <c r="U152" s="4">
        <v>0</v>
      </c>
      <c r="V152" s="4">
        <v>0</v>
      </c>
      <c r="W152" s="4">
        <v>0</v>
      </c>
      <c r="X152" s="4">
        <v>0</v>
      </c>
      <c r="Y152" s="4">
        <v>0</v>
      </c>
      <c r="Z152" s="4">
        <v>0</v>
      </c>
      <c r="AA152" s="4">
        <v>5</v>
      </c>
      <c r="AB152" s="4">
        <v>0</v>
      </c>
      <c r="AC152" s="4">
        <v>0</v>
      </c>
      <c r="AD152" s="4">
        <v>0</v>
      </c>
      <c r="AE152" s="4">
        <v>0</v>
      </c>
      <c r="AF152" s="4">
        <v>0</v>
      </c>
      <c r="AG152" s="4">
        <v>0</v>
      </c>
      <c r="AH152" s="4">
        <v>0</v>
      </c>
      <c r="AI152" s="4">
        <v>0</v>
      </c>
      <c r="AJ152" s="4">
        <v>0</v>
      </c>
      <c r="AK152" s="4">
        <v>0</v>
      </c>
      <c r="AL152" s="4">
        <v>0</v>
      </c>
      <c r="AM152" s="4">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4">
        <v>0</v>
      </c>
      <c r="BF152" s="4">
        <v>0</v>
      </c>
      <c r="BG152" s="4">
        <v>0</v>
      </c>
      <c r="BH152" s="4">
        <v>0</v>
      </c>
      <c r="BI152" s="4">
        <v>0</v>
      </c>
      <c r="BJ152" s="4">
        <v>0</v>
      </c>
      <c r="BK152" s="4">
        <v>0</v>
      </c>
      <c r="BL152" s="4">
        <v>0</v>
      </c>
      <c r="BM152" s="4">
        <v>0</v>
      </c>
      <c r="BN152" s="4">
        <v>0</v>
      </c>
      <c r="BO152" s="4">
        <v>0</v>
      </c>
    </row>
  </sheetData>
  <dataValidations count="1">
    <dataValidation type="custom" showInputMessage="1" showErrorMessage="1" sqref="A129:E129" xr:uid="{00000000-0002-0000-0200-000000000000}">
      <formula1>IF(1,1,"WMDAU:1673118000")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A08D9-C132-4D1B-8D3A-5027DA33FFFA}">
  <dimension ref="A1:EV68"/>
  <sheetViews>
    <sheetView topLeftCell="A25" workbookViewId="0">
      <selection activeCell="A69" sqref="A69"/>
    </sheetView>
  </sheetViews>
  <sheetFormatPr defaultRowHeight="15"/>
  <cols>
    <col min="2" max="2" width="140.33203125" bestFit="1" customWidth="1"/>
  </cols>
  <sheetData>
    <row r="1" spans="1:152">
      <c r="A1" t="str" cm="1">
        <f t="array" ref="A1:EV67">TRANSPOSE(Data!A1:BO152)</f>
        <v>V1</v>
      </c>
      <c r="B1" t="str">
        <v>ResponseID</v>
      </c>
      <c r="C1" t="str">
        <v>R_1N3XDZzeYAGCpUg</v>
      </c>
      <c r="D1" t="str">
        <v>R_2hEs3JHZUXaaSYA</v>
      </c>
      <c r="E1" t="str">
        <v>R_38Jse9gTmty1CAI</v>
      </c>
      <c r="F1" t="str">
        <v>R_cYg4TVl3b3ixPOk</v>
      </c>
      <c r="G1" t="str">
        <v>R_5c0BDuZ4Tk7wbWc</v>
      </c>
      <c r="H1" t="str">
        <v>R_9QV62ZpbKRi2PE8</v>
      </c>
      <c r="I1" t="str">
        <v>R_6VF0PKQjBZfKr7S</v>
      </c>
      <c r="J1" t="str">
        <v>R_0P8INO0Tzq2zeQs</v>
      </c>
      <c r="K1" t="str">
        <v>R_81zLXDJMGXq9oFK</v>
      </c>
      <c r="L1" t="str">
        <v>R_3sLH9DHixuCE4u0</v>
      </c>
      <c r="M1" t="str">
        <v>R_8c8aknIt7HdgXbK</v>
      </c>
      <c r="N1" t="str">
        <v>R_e41NPQokSj4fakc</v>
      </c>
      <c r="O1" t="str">
        <v>R_b1xUJGNyS7QH1Xu</v>
      </c>
      <c r="P1" t="str">
        <v>R_2cvm1lfqDiLoOPy</v>
      </c>
      <c r="Q1" t="str">
        <v>R_8DgeiQSH8BnWYPG</v>
      </c>
      <c r="R1" t="str">
        <v>R_24v5y5vg3k101rm</v>
      </c>
      <c r="S1" t="str">
        <v>R_3atYTE9YIuhdrUg</v>
      </c>
      <c r="T1" t="str">
        <v>R_0Ta2p5cLJGvqnNq</v>
      </c>
      <c r="U1" t="str">
        <v>R_5bvAqWlkXN1AhJW</v>
      </c>
      <c r="V1" t="str">
        <v>R_2bntE3vTTPKdH3S</v>
      </c>
      <c r="W1" t="str">
        <v>R_0Sxutiqb3QjcyZm</v>
      </c>
      <c r="X1" t="str">
        <v>R_8H24QRDoYeaDMTW</v>
      </c>
      <c r="Y1" t="str">
        <v>R_8B7cJVT6LZHXbMM</v>
      </c>
      <c r="Z1" t="str">
        <v>R_blwhb0d7OLziQPa</v>
      </c>
      <c r="AA1" t="str">
        <v>R_5zI5C2Bd9JFIKVu</v>
      </c>
      <c r="AB1" t="str">
        <v>R_b9hO3njrSa4FNuQ</v>
      </c>
      <c r="AC1" t="str">
        <v>R_2tLzeYAyQ5chInq</v>
      </c>
      <c r="AD1" t="str">
        <v>R_7agsNu1aZdY1cyM</v>
      </c>
      <c r="AE1" t="str">
        <v>R_0fuAvuUUCSanXus</v>
      </c>
      <c r="AF1" t="str">
        <v>R_8HszmdgxRevFzYU</v>
      </c>
      <c r="AG1" t="str">
        <v>R_1Y3A7WrCN0C3x7S</v>
      </c>
      <c r="AH1" t="str">
        <v>R_5BgcvkVoFdlOvNW</v>
      </c>
      <c r="AI1" t="str">
        <v>R_8udbWXzDet0GKOg</v>
      </c>
      <c r="AJ1" t="str">
        <v>R_9pgVAOIS5RNdhic</v>
      </c>
      <c r="AK1" t="str">
        <v>R_d3XRGmoTiF255Jy</v>
      </c>
      <c r="AL1" t="str">
        <v>R_czLoMb4AAKU97GQ</v>
      </c>
      <c r="AM1" t="str">
        <v>R_3gehWHoeFWMPLs8</v>
      </c>
      <c r="AN1" t="str">
        <v>R_b2b1OI4mD4UlEhu</v>
      </c>
      <c r="AO1" t="str">
        <v>R_6VUIhHJpkrRC9Du</v>
      </c>
      <c r="AP1" t="str">
        <v>R_6MyPP6U8zBE80HG</v>
      </c>
      <c r="AQ1" t="str">
        <v>R_6RwhJiwW0fKQa1K</v>
      </c>
      <c r="AR1" t="str">
        <v>R_8BpNCF6KBdP3m7O</v>
      </c>
      <c r="AS1" t="str">
        <v>R_3sbA6J5E4f8yRU0</v>
      </c>
      <c r="AT1" t="str">
        <v>R_bf79r4tXx4ndude</v>
      </c>
      <c r="AU1" t="str">
        <v>R_1X1TsPn0lTbVmCw</v>
      </c>
      <c r="AV1" t="str">
        <v>R_3VikZb29icPCvRy</v>
      </c>
      <c r="AW1" t="str">
        <v>R_e5LkomApIs4Sitm</v>
      </c>
      <c r="AX1" t="str">
        <v>R_eaH8EuQxXHrtrso</v>
      </c>
      <c r="AY1" t="str">
        <v>R_cHfq2fHbMo6F0qg</v>
      </c>
      <c r="AZ1" t="str">
        <v>R_eIBW9Yii3HTXyeg</v>
      </c>
      <c r="BA1" t="str">
        <v>R_bdcCo2wzvtmI8G8</v>
      </c>
      <c r="BB1" t="str">
        <v>R_74mDVT83kC4s5UM</v>
      </c>
      <c r="BC1" t="str">
        <v>R_cMkCzG4DamjfAqw</v>
      </c>
      <c r="BD1" t="str">
        <v>R_bHj2OIkRe19SQ9S</v>
      </c>
      <c r="BE1" t="str">
        <v>R_82NFNR0WWrE0Lzu</v>
      </c>
      <c r="BF1" t="str">
        <v>R_esxLUjofDycprzm</v>
      </c>
      <c r="BG1" t="str">
        <v>R_1zEbqCS23INKnvS</v>
      </c>
      <c r="BH1" t="str">
        <v>R_cLRrEjkbHH11iUQ</v>
      </c>
      <c r="BI1" t="str">
        <v>R_6wXzlxTfNSeumUs</v>
      </c>
      <c r="BJ1" t="str">
        <v>R_80L6qhXQLvfFm4s</v>
      </c>
      <c r="BK1" t="str">
        <v>R_3RdepmZ1SgZPiuM</v>
      </c>
      <c r="BL1" t="str">
        <v>R_aWexD1nQGXTdKp6</v>
      </c>
      <c r="BM1" t="str">
        <v>R_06VgxzvQraMdZJ2</v>
      </c>
      <c r="BN1" t="str">
        <v>R_9FFltFTXURLadWQ</v>
      </c>
      <c r="BO1" t="str">
        <v>R_5t1UvoWhZ3rap7u</v>
      </c>
      <c r="BP1" t="str">
        <v>R_ezAKae3yPze4afa</v>
      </c>
      <c r="BQ1" t="str">
        <v>R_b9kKAmvhhpyP3bm</v>
      </c>
      <c r="BR1" t="str">
        <v>R_cIIlNTaBL37VVas</v>
      </c>
      <c r="BS1" t="str">
        <v>R_e4AXBJ3ggQ1H7Ug</v>
      </c>
      <c r="BT1" t="str">
        <v>R_enEvnNTbfaxLFUE</v>
      </c>
      <c r="BU1" t="str">
        <v>R_864phvpmcd9bi0k</v>
      </c>
      <c r="BV1" t="str">
        <v>R_4PCy0WvFyjBMBNi</v>
      </c>
      <c r="BW1" t="str">
        <v>R_b10feHU6ZvTf3U0</v>
      </c>
      <c r="BX1" t="str">
        <v>R_3POvwJStfLEFLM0</v>
      </c>
      <c r="BY1" t="str">
        <v>R_8qAeuyTFks9UrQw</v>
      </c>
      <c r="BZ1" t="str">
        <v>R_5irZgmwUdqYvx6Q</v>
      </c>
      <c r="CA1" t="str">
        <v>R_a027OiD81LmMu56</v>
      </c>
      <c r="CB1" t="str">
        <v>R_5pCZUHY1zaSfIuo</v>
      </c>
      <c r="CC1" t="str">
        <v>R_00O8YuoLCNshxCA</v>
      </c>
      <c r="CD1" t="str">
        <v>R_dfZf0Goz3qOxjr6</v>
      </c>
      <c r="CE1" t="str">
        <v>R_6J2J9DWFgn1qBuY</v>
      </c>
      <c r="CF1" t="str">
        <v>R_8B57zcoKnlEbji4</v>
      </c>
      <c r="CG1" t="str">
        <v>R_0x3BvWddMfjdcyw</v>
      </c>
      <c r="CH1" t="str">
        <v>R_2hkw3NSScgVFB8E</v>
      </c>
      <c r="CI1" t="str">
        <v>R_bI27yFNU2C7vXwg</v>
      </c>
      <c r="CJ1" t="str">
        <v>R_6DJswFlddUY8nKQ</v>
      </c>
      <c r="CK1" t="str">
        <v>R_6L3eGi1u7io5508</v>
      </c>
      <c r="CL1" t="str">
        <v>R_8HX9qQh2OBxDG2o</v>
      </c>
      <c r="CM1" t="str">
        <v>R_a5xxjAz6XSKNbec</v>
      </c>
      <c r="CN1" t="str">
        <v>R_1Zgz9bvERjY42e8</v>
      </c>
      <c r="CO1" t="str">
        <v>R_eVPstF5xi7m5AoY</v>
      </c>
      <c r="CP1" t="str">
        <v>R_2nx0Fbe6Ugd3e04</v>
      </c>
      <c r="CQ1" t="str">
        <v>R_2tU2uy4XHQXkAra</v>
      </c>
      <c r="CR1" t="str">
        <v>R_czROXkZA5goPSsI</v>
      </c>
      <c r="CS1" t="str">
        <v>R_eevGdaukcGRcx36</v>
      </c>
      <c r="CT1" t="str">
        <v>R_bawdK5I4Cs5sQIc</v>
      </c>
      <c r="CU1" t="str">
        <v>R_3qOi0AfW6wCZjQo</v>
      </c>
      <c r="CV1" t="str">
        <v>R_d70ASQYaSttavJO</v>
      </c>
      <c r="CW1" t="str">
        <v>R_0jPzFwj4JrKKdCY</v>
      </c>
      <c r="CX1" t="str">
        <v>R_d4NoisYdAoF2ZBa</v>
      </c>
      <c r="CY1" t="str">
        <v>R_77X2VAqww4Tp1s0</v>
      </c>
      <c r="CZ1" t="str">
        <v>R_bNHqRWLdOkEwc3a</v>
      </c>
      <c r="DA1" t="str">
        <v>R_0epDpaTVxgFwAFC</v>
      </c>
      <c r="DB1" t="str">
        <v>R_6XVBRIvEaZx84Sw</v>
      </c>
      <c r="DC1" t="str">
        <v>R_3W9XEbBEWQjWjKA</v>
      </c>
      <c r="DD1" t="str">
        <v>R_291oJLRttSa66uE</v>
      </c>
      <c r="DE1" t="str">
        <v>R_9WuxFw6R4KKNE56</v>
      </c>
      <c r="DF1" t="str">
        <v>R_0qCjfd73gqmseFe</v>
      </c>
      <c r="DG1" t="str">
        <v>R_cUYsP7IxAST4HxW</v>
      </c>
      <c r="DH1" t="str">
        <v>R_1NA8Sl16UkNjFqc</v>
      </c>
      <c r="DI1" t="str">
        <v>R_ebOUtv1eT91Vq2E</v>
      </c>
      <c r="DJ1" t="str">
        <v>R_a986RCZ8OoAtOug</v>
      </c>
      <c r="DK1" t="str">
        <v>R_9treiOri67f72HG</v>
      </c>
      <c r="DL1" t="str">
        <v>R_7QYlHE57IkUzaCM</v>
      </c>
      <c r="DM1" t="str">
        <v>R_3UZkukTCwax3znu</v>
      </c>
      <c r="DN1" t="str">
        <v>R_5zJylbBuLqE6aFe</v>
      </c>
      <c r="DO1" t="str">
        <v>R_ePVTJyPrMhG698g</v>
      </c>
      <c r="DP1" t="str">
        <v>R_aV7KpWXgDms8au8</v>
      </c>
      <c r="DQ1" t="str">
        <v>R_6FsGl1z2gF2B3ta</v>
      </c>
      <c r="DR1" t="str">
        <v>R_bdsv5Zn4Ulk8hGA</v>
      </c>
      <c r="DS1" t="str">
        <v>R_9FhttXpZmn5OtDK</v>
      </c>
      <c r="DT1" t="str">
        <v>R_8ifDrAk9rUU5wIQ</v>
      </c>
      <c r="DU1" t="str">
        <v>R_5pW1I9P2Qmu71Bi</v>
      </c>
      <c r="DV1" t="str">
        <v>R_bBDAihFpwSzZP0w</v>
      </c>
      <c r="DW1" t="str">
        <v>R_bvElC0HiBE6hkeE</v>
      </c>
      <c r="DX1" t="str">
        <v>R_5aPjJhwQEjKbqL2</v>
      </c>
      <c r="DY1" t="str">
        <v>R_bJVI898wPa1eR8g</v>
      </c>
      <c r="DZ1" t="str">
        <v>R_3PHfhGyp7KdjegA</v>
      </c>
      <c r="EA1" t="str">
        <v>R_2laPrFYGvYVtGuw</v>
      </c>
      <c r="EB1" t="str">
        <v>R_9yOCAZMKKmJFGVS</v>
      </c>
      <c r="EC1" t="str">
        <v>R_1GhiLP3NoBXsXXe</v>
      </c>
      <c r="ED1" t="str">
        <v>R_0d2n33Qs2deKxBG</v>
      </c>
      <c r="EE1" t="str">
        <v>R_e9u6cYN1Zy7YTBi</v>
      </c>
      <c r="EF1" t="str">
        <v>R_9pNFIbalbkjH35q</v>
      </c>
      <c r="EG1" t="str">
        <v>R_6L38v6AyBOP2uuo</v>
      </c>
      <c r="EH1" t="str">
        <v>R_cSmbUKOUcqKTjMw</v>
      </c>
      <c r="EI1" t="str">
        <v>R_cYM8umBzQs6rXDe</v>
      </c>
      <c r="EJ1" t="str">
        <v>R_0roEQqF3dEUD3bS</v>
      </c>
      <c r="EK1" t="str">
        <v>R_6ExAmbnXeLA4Kck</v>
      </c>
      <c r="EL1" t="str">
        <v>R_7UkPyCGhS3M0zEo</v>
      </c>
      <c r="EM1" t="str">
        <v>R_6VbgOBkZCrh8oFS</v>
      </c>
      <c r="EN1" t="str">
        <v>R_554amT6gLrJn31O</v>
      </c>
      <c r="EO1" t="str">
        <v>R_bNHCcEhS1DLYeOM</v>
      </c>
      <c r="EP1" t="str">
        <v>R_4TaaClNGEQOwYi8</v>
      </c>
      <c r="EQ1" t="str">
        <v>R_6mcDwONpiGXq7tO</v>
      </c>
      <c r="ER1" t="str">
        <v>R_40HI99JZAFdNVXu</v>
      </c>
      <c r="ES1" t="str">
        <v>R_0e0sxaucmV8dH7u</v>
      </c>
      <c r="ET1" t="str">
        <v>R_38cJSy405X3R9qs</v>
      </c>
      <c r="EU1" t="str">
        <v>R_8bRFlkMzBEsuiBC</v>
      </c>
      <c r="EV1" t="str">
        <v>R_7VSQFKreAYzM8HW</v>
      </c>
    </row>
    <row r="2" spans="1:152">
      <c r="A2" t="str">
        <v>V10</v>
      </c>
      <c r="B2" t="str">
        <v>Finished</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v>1</v>
      </c>
      <c r="AI2">
        <v>1</v>
      </c>
      <c r="AJ2">
        <v>1</v>
      </c>
      <c r="AK2">
        <v>1</v>
      </c>
      <c r="AL2">
        <v>1</v>
      </c>
      <c r="AM2">
        <v>1</v>
      </c>
      <c r="AN2">
        <v>1</v>
      </c>
      <c r="AO2">
        <v>1</v>
      </c>
      <c r="AP2">
        <v>1</v>
      </c>
      <c r="AQ2">
        <v>1</v>
      </c>
      <c r="AR2">
        <v>1</v>
      </c>
      <c r="AS2">
        <v>1</v>
      </c>
      <c r="AT2">
        <v>1</v>
      </c>
      <c r="AU2">
        <v>1</v>
      </c>
      <c r="AV2">
        <v>1</v>
      </c>
      <c r="AW2">
        <v>1</v>
      </c>
      <c r="AX2">
        <v>1</v>
      </c>
      <c r="AY2">
        <v>1</v>
      </c>
      <c r="AZ2">
        <v>1</v>
      </c>
      <c r="BA2">
        <v>1</v>
      </c>
      <c r="BB2">
        <v>1</v>
      </c>
      <c r="BC2">
        <v>1</v>
      </c>
      <c r="BD2">
        <v>1</v>
      </c>
      <c r="BE2">
        <v>1</v>
      </c>
      <c r="BF2">
        <v>1</v>
      </c>
      <c r="BG2">
        <v>1</v>
      </c>
      <c r="BH2">
        <v>1</v>
      </c>
      <c r="BI2">
        <v>1</v>
      </c>
      <c r="BJ2">
        <v>1</v>
      </c>
      <c r="BK2">
        <v>1</v>
      </c>
      <c r="BL2">
        <v>1</v>
      </c>
      <c r="BM2">
        <v>1</v>
      </c>
      <c r="BN2">
        <v>1</v>
      </c>
      <c r="BO2">
        <v>1</v>
      </c>
      <c r="BP2">
        <v>1</v>
      </c>
      <c r="BQ2">
        <v>1</v>
      </c>
      <c r="BR2">
        <v>1</v>
      </c>
      <c r="BS2">
        <v>1</v>
      </c>
      <c r="BT2">
        <v>1</v>
      </c>
      <c r="BU2">
        <v>1</v>
      </c>
      <c r="BV2">
        <v>1</v>
      </c>
      <c r="BW2">
        <v>1</v>
      </c>
      <c r="BX2">
        <v>1</v>
      </c>
      <c r="BY2">
        <v>1</v>
      </c>
      <c r="BZ2">
        <v>1</v>
      </c>
      <c r="CA2">
        <v>1</v>
      </c>
      <c r="CB2">
        <v>1</v>
      </c>
      <c r="CC2">
        <v>1</v>
      </c>
      <c r="CD2">
        <v>1</v>
      </c>
      <c r="CE2">
        <v>1</v>
      </c>
      <c r="CF2">
        <v>1</v>
      </c>
      <c r="CG2">
        <v>1</v>
      </c>
      <c r="CH2">
        <v>1</v>
      </c>
      <c r="CI2">
        <v>1</v>
      </c>
      <c r="CJ2">
        <v>1</v>
      </c>
      <c r="CK2">
        <v>1</v>
      </c>
      <c r="CL2">
        <v>1</v>
      </c>
      <c r="CM2">
        <v>1</v>
      </c>
      <c r="CN2">
        <v>1</v>
      </c>
      <c r="CO2">
        <v>1</v>
      </c>
      <c r="CP2">
        <v>1</v>
      </c>
      <c r="CQ2">
        <v>1</v>
      </c>
      <c r="CR2">
        <v>1</v>
      </c>
      <c r="CS2">
        <v>1</v>
      </c>
      <c r="CT2">
        <v>1</v>
      </c>
      <c r="CU2">
        <v>1</v>
      </c>
      <c r="CV2">
        <v>1</v>
      </c>
      <c r="CW2">
        <v>1</v>
      </c>
      <c r="CX2">
        <v>1</v>
      </c>
      <c r="CY2">
        <v>1</v>
      </c>
      <c r="CZ2">
        <v>1</v>
      </c>
      <c r="DA2">
        <v>1</v>
      </c>
      <c r="DB2">
        <v>1</v>
      </c>
      <c r="DC2">
        <v>1</v>
      </c>
      <c r="DD2">
        <v>1</v>
      </c>
      <c r="DE2">
        <v>1</v>
      </c>
      <c r="DF2">
        <v>1</v>
      </c>
      <c r="DG2">
        <v>1</v>
      </c>
      <c r="DH2">
        <v>1</v>
      </c>
      <c r="DI2">
        <v>1</v>
      </c>
      <c r="DJ2">
        <v>1</v>
      </c>
      <c r="DK2">
        <v>1</v>
      </c>
      <c r="DL2">
        <v>1</v>
      </c>
      <c r="DM2">
        <v>1</v>
      </c>
      <c r="DN2">
        <v>1</v>
      </c>
      <c r="DO2">
        <v>1</v>
      </c>
      <c r="DP2">
        <v>1</v>
      </c>
      <c r="DQ2">
        <v>1</v>
      </c>
      <c r="DR2">
        <v>1</v>
      </c>
      <c r="DS2">
        <v>1</v>
      </c>
      <c r="DT2">
        <v>1</v>
      </c>
      <c r="DU2">
        <v>1</v>
      </c>
      <c r="DV2">
        <v>1</v>
      </c>
      <c r="DW2">
        <v>1</v>
      </c>
      <c r="DX2">
        <v>1</v>
      </c>
      <c r="DY2">
        <v>1</v>
      </c>
      <c r="DZ2">
        <v>1</v>
      </c>
      <c r="EA2">
        <v>1</v>
      </c>
      <c r="EB2">
        <v>1</v>
      </c>
      <c r="EC2">
        <v>1</v>
      </c>
      <c r="ED2">
        <v>1</v>
      </c>
      <c r="EE2">
        <v>1</v>
      </c>
      <c r="EF2">
        <v>0</v>
      </c>
      <c r="EG2">
        <v>0</v>
      </c>
      <c r="EH2">
        <v>0</v>
      </c>
      <c r="EI2">
        <v>1</v>
      </c>
      <c r="EJ2">
        <v>0</v>
      </c>
      <c r="EK2">
        <v>1</v>
      </c>
      <c r="EL2">
        <v>1</v>
      </c>
      <c r="EM2">
        <v>0</v>
      </c>
      <c r="EN2">
        <v>0</v>
      </c>
      <c r="EO2">
        <v>0</v>
      </c>
      <c r="EP2">
        <v>0</v>
      </c>
      <c r="EQ2">
        <v>1</v>
      </c>
      <c r="ER2">
        <v>0</v>
      </c>
      <c r="ES2">
        <v>1</v>
      </c>
      <c r="ET2">
        <v>1</v>
      </c>
      <c r="EU2">
        <v>0</v>
      </c>
      <c r="EV2">
        <v>0</v>
      </c>
    </row>
    <row r="3" spans="1:152">
      <c r="A3" t="str">
        <v>GEN</v>
      </c>
      <c r="B3" t="str">
        <v>Background questions /  / Your gender?</v>
      </c>
      <c r="C3">
        <v>2</v>
      </c>
      <c r="D3">
        <v>1</v>
      </c>
      <c r="E3">
        <v>2</v>
      </c>
      <c r="F3">
        <v>1</v>
      </c>
      <c r="G3">
        <v>2</v>
      </c>
      <c r="H3">
        <v>2</v>
      </c>
      <c r="I3">
        <v>1</v>
      </c>
      <c r="J3">
        <v>1</v>
      </c>
      <c r="K3">
        <v>2</v>
      </c>
      <c r="L3">
        <v>2</v>
      </c>
      <c r="M3">
        <v>2</v>
      </c>
      <c r="N3">
        <v>2</v>
      </c>
      <c r="O3">
        <v>1</v>
      </c>
      <c r="P3">
        <v>2</v>
      </c>
      <c r="Q3">
        <v>2</v>
      </c>
      <c r="R3">
        <v>0</v>
      </c>
      <c r="S3">
        <v>1</v>
      </c>
      <c r="T3">
        <v>1</v>
      </c>
      <c r="U3">
        <v>1</v>
      </c>
      <c r="V3">
        <v>2</v>
      </c>
      <c r="W3">
        <v>2</v>
      </c>
      <c r="X3">
        <v>2</v>
      </c>
      <c r="Y3">
        <v>1</v>
      </c>
      <c r="Z3">
        <v>2</v>
      </c>
      <c r="AA3">
        <v>2</v>
      </c>
      <c r="AB3">
        <v>1</v>
      </c>
      <c r="AC3">
        <v>1</v>
      </c>
      <c r="AD3">
        <v>1</v>
      </c>
      <c r="AE3">
        <v>2</v>
      </c>
      <c r="AF3">
        <v>1</v>
      </c>
      <c r="AG3">
        <v>1</v>
      </c>
      <c r="AH3">
        <v>2</v>
      </c>
      <c r="AI3">
        <v>2</v>
      </c>
      <c r="AJ3">
        <v>2</v>
      </c>
      <c r="AK3">
        <v>2</v>
      </c>
      <c r="AL3">
        <v>1</v>
      </c>
      <c r="AM3">
        <v>2</v>
      </c>
      <c r="AN3">
        <v>2</v>
      </c>
      <c r="AO3">
        <v>2</v>
      </c>
      <c r="AP3">
        <v>2</v>
      </c>
      <c r="AQ3">
        <v>2</v>
      </c>
      <c r="AR3">
        <v>1</v>
      </c>
      <c r="AS3">
        <v>2</v>
      </c>
      <c r="AT3">
        <v>2</v>
      </c>
      <c r="AU3">
        <v>2</v>
      </c>
      <c r="AV3">
        <v>2</v>
      </c>
      <c r="AW3">
        <v>2</v>
      </c>
      <c r="AX3">
        <v>2</v>
      </c>
      <c r="AY3">
        <v>2</v>
      </c>
      <c r="AZ3">
        <v>2</v>
      </c>
      <c r="BA3">
        <v>1</v>
      </c>
      <c r="BB3">
        <v>2</v>
      </c>
      <c r="BC3">
        <v>1</v>
      </c>
      <c r="BD3">
        <v>2</v>
      </c>
      <c r="BE3">
        <v>2</v>
      </c>
      <c r="BF3">
        <v>2</v>
      </c>
      <c r="BG3">
        <v>2</v>
      </c>
      <c r="BH3">
        <v>2</v>
      </c>
      <c r="BI3">
        <v>2</v>
      </c>
      <c r="BJ3">
        <v>1</v>
      </c>
      <c r="BK3">
        <v>2</v>
      </c>
      <c r="BL3">
        <v>2</v>
      </c>
      <c r="BM3">
        <v>2</v>
      </c>
      <c r="BN3">
        <v>2</v>
      </c>
      <c r="BO3">
        <v>1</v>
      </c>
      <c r="BP3">
        <v>2</v>
      </c>
      <c r="BQ3">
        <v>2</v>
      </c>
      <c r="BR3">
        <v>2</v>
      </c>
      <c r="BS3">
        <v>2</v>
      </c>
      <c r="BT3">
        <v>1</v>
      </c>
      <c r="BU3">
        <v>2</v>
      </c>
      <c r="BV3">
        <v>2</v>
      </c>
      <c r="BW3">
        <v>2</v>
      </c>
      <c r="BX3">
        <v>2</v>
      </c>
      <c r="BY3">
        <v>1</v>
      </c>
      <c r="BZ3">
        <v>2</v>
      </c>
      <c r="CA3">
        <v>2</v>
      </c>
      <c r="CB3">
        <v>2</v>
      </c>
      <c r="CC3">
        <v>2</v>
      </c>
      <c r="CD3">
        <v>2</v>
      </c>
      <c r="CE3">
        <v>2</v>
      </c>
      <c r="CF3">
        <v>1</v>
      </c>
      <c r="CG3">
        <v>2</v>
      </c>
      <c r="CH3">
        <v>2</v>
      </c>
      <c r="CI3">
        <v>1</v>
      </c>
      <c r="CJ3">
        <v>2</v>
      </c>
      <c r="CK3">
        <v>2</v>
      </c>
      <c r="CL3">
        <v>2</v>
      </c>
      <c r="CM3">
        <v>2</v>
      </c>
      <c r="CN3">
        <v>2</v>
      </c>
      <c r="CO3">
        <v>2</v>
      </c>
      <c r="CP3">
        <v>2</v>
      </c>
      <c r="CQ3">
        <v>2</v>
      </c>
      <c r="CR3">
        <v>2</v>
      </c>
      <c r="CS3">
        <v>1</v>
      </c>
      <c r="CT3">
        <v>2</v>
      </c>
      <c r="CU3">
        <v>2</v>
      </c>
      <c r="CV3">
        <v>2</v>
      </c>
      <c r="CW3">
        <v>2</v>
      </c>
      <c r="CX3">
        <v>1</v>
      </c>
      <c r="CY3">
        <v>2</v>
      </c>
      <c r="CZ3">
        <v>2</v>
      </c>
      <c r="DA3">
        <v>1</v>
      </c>
      <c r="DB3">
        <v>2</v>
      </c>
      <c r="DC3">
        <v>1</v>
      </c>
      <c r="DD3">
        <v>1</v>
      </c>
      <c r="DE3">
        <v>1</v>
      </c>
      <c r="DF3">
        <v>2</v>
      </c>
      <c r="DG3">
        <v>2</v>
      </c>
      <c r="DH3">
        <v>2</v>
      </c>
      <c r="DI3">
        <v>2</v>
      </c>
      <c r="DJ3">
        <v>2</v>
      </c>
      <c r="DK3">
        <v>2</v>
      </c>
      <c r="DL3">
        <v>2</v>
      </c>
      <c r="DM3">
        <v>2</v>
      </c>
      <c r="DN3">
        <v>1</v>
      </c>
      <c r="DO3">
        <v>2</v>
      </c>
      <c r="DP3">
        <v>2</v>
      </c>
      <c r="DQ3">
        <v>2</v>
      </c>
      <c r="DR3">
        <v>1</v>
      </c>
      <c r="DS3">
        <v>2</v>
      </c>
      <c r="DT3">
        <v>1</v>
      </c>
      <c r="DU3">
        <v>2</v>
      </c>
      <c r="DV3">
        <v>2</v>
      </c>
      <c r="DW3">
        <v>1</v>
      </c>
      <c r="DX3">
        <v>1</v>
      </c>
      <c r="DY3">
        <v>2</v>
      </c>
      <c r="DZ3">
        <v>2</v>
      </c>
      <c r="EA3">
        <v>2</v>
      </c>
      <c r="EB3">
        <v>2</v>
      </c>
      <c r="EC3">
        <v>1</v>
      </c>
      <c r="ED3">
        <v>1</v>
      </c>
      <c r="EE3">
        <v>2</v>
      </c>
      <c r="EF3">
        <v>0</v>
      </c>
      <c r="EG3">
        <v>0</v>
      </c>
      <c r="EH3">
        <v>0</v>
      </c>
      <c r="EI3">
        <v>2</v>
      </c>
      <c r="EJ3">
        <v>1</v>
      </c>
      <c r="EK3">
        <v>2</v>
      </c>
      <c r="EL3">
        <v>2</v>
      </c>
      <c r="EM3">
        <v>0</v>
      </c>
      <c r="EN3">
        <v>1</v>
      </c>
      <c r="EO3">
        <v>0</v>
      </c>
      <c r="EP3">
        <v>0</v>
      </c>
      <c r="EQ3">
        <v>2</v>
      </c>
      <c r="ER3">
        <v>0</v>
      </c>
      <c r="ES3">
        <v>1</v>
      </c>
      <c r="ET3">
        <v>1</v>
      </c>
      <c r="EU3">
        <v>2</v>
      </c>
      <c r="EV3">
        <v>1</v>
      </c>
    </row>
    <row r="4" spans="1:152">
      <c r="A4" t="str">
        <v>AGE</v>
      </c>
      <c r="B4" t="str">
        <v>Your age?</v>
      </c>
      <c r="C4">
        <v>3</v>
      </c>
      <c r="D4">
        <v>4</v>
      </c>
      <c r="E4">
        <v>2</v>
      </c>
      <c r="F4">
        <v>4</v>
      </c>
      <c r="G4">
        <v>4</v>
      </c>
      <c r="H4">
        <v>5</v>
      </c>
      <c r="I4">
        <v>5</v>
      </c>
      <c r="J4">
        <v>4</v>
      </c>
      <c r="K4">
        <v>4</v>
      </c>
      <c r="L4">
        <v>4</v>
      </c>
      <c r="M4">
        <v>5</v>
      </c>
      <c r="N4">
        <v>4</v>
      </c>
      <c r="O4">
        <v>4</v>
      </c>
      <c r="P4">
        <v>2</v>
      </c>
      <c r="Q4">
        <v>3</v>
      </c>
      <c r="R4">
        <v>4</v>
      </c>
      <c r="S4">
        <v>4</v>
      </c>
      <c r="T4">
        <v>4</v>
      </c>
      <c r="U4">
        <v>5</v>
      </c>
      <c r="V4">
        <v>3</v>
      </c>
      <c r="W4">
        <v>2</v>
      </c>
      <c r="X4">
        <v>3</v>
      </c>
      <c r="Y4">
        <v>3</v>
      </c>
      <c r="Z4">
        <v>3</v>
      </c>
      <c r="AA4">
        <v>3</v>
      </c>
      <c r="AB4">
        <v>3</v>
      </c>
      <c r="AC4">
        <v>3</v>
      </c>
      <c r="AD4">
        <v>3</v>
      </c>
      <c r="AE4">
        <v>3</v>
      </c>
      <c r="AF4">
        <v>3</v>
      </c>
      <c r="AG4">
        <v>3</v>
      </c>
      <c r="AH4">
        <v>3</v>
      </c>
      <c r="AI4">
        <v>3</v>
      </c>
      <c r="AJ4">
        <v>3</v>
      </c>
      <c r="AK4">
        <v>3</v>
      </c>
      <c r="AL4">
        <v>3</v>
      </c>
      <c r="AM4">
        <v>4</v>
      </c>
      <c r="AN4">
        <v>4</v>
      </c>
      <c r="AO4">
        <v>4</v>
      </c>
      <c r="AP4">
        <v>2</v>
      </c>
      <c r="AQ4">
        <v>3</v>
      </c>
      <c r="AR4">
        <v>3</v>
      </c>
      <c r="AS4">
        <v>6</v>
      </c>
      <c r="AT4">
        <v>3</v>
      </c>
      <c r="AU4">
        <v>4</v>
      </c>
      <c r="AV4">
        <v>3</v>
      </c>
      <c r="AW4">
        <v>5</v>
      </c>
      <c r="AX4">
        <v>4</v>
      </c>
      <c r="AY4">
        <v>3</v>
      </c>
      <c r="AZ4">
        <v>3</v>
      </c>
      <c r="BA4">
        <v>3</v>
      </c>
      <c r="BB4">
        <v>3</v>
      </c>
      <c r="BC4">
        <v>3</v>
      </c>
      <c r="BD4">
        <v>4</v>
      </c>
      <c r="BE4">
        <v>4</v>
      </c>
      <c r="BF4">
        <v>4</v>
      </c>
      <c r="BG4">
        <v>3</v>
      </c>
      <c r="BH4">
        <v>4</v>
      </c>
      <c r="BI4">
        <v>4</v>
      </c>
      <c r="BJ4">
        <v>3</v>
      </c>
      <c r="BK4">
        <v>4</v>
      </c>
      <c r="BL4">
        <v>3</v>
      </c>
      <c r="BM4">
        <v>4</v>
      </c>
      <c r="BN4">
        <v>4</v>
      </c>
      <c r="BO4">
        <v>3</v>
      </c>
      <c r="BP4">
        <v>4</v>
      </c>
      <c r="BQ4">
        <v>4</v>
      </c>
      <c r="BR4">
        <v>3</v>
      </c>
      <c r="BS4">
        <v>5</v>
      </c>
      <c r="BT4">
        <v>3</v>
      </c>
      <c r="BU4">
        <v>5</v>
      </c>
      <c r="BV4">
        <v>5</v>
      </c>
      <c r="BW4">
        <v>4</v>
      </c>
      <c r="BX4">
        <v>5</v>
      </c>
      <c r="BY4">
        <v>4</v>
      </c>
      <c r="BZ4">
        <v>3</v>
      </c>
      <c r="CA4">
        <v>5</v>
      </c>
      <c r="CB4">
        <v>5</v>
      </c>
      <c r="CC4">
        <v>3</v>
      </c>
      <c r="CD4">
        <v>4</v>
      </c>
      <c r="CE4">
        <v>3</v>
      </c>
      <c r="CF4">
        <v>4</v>
      </c>
      <c r="CG4">
        <v>5</v>
      </c>
      <c r="CH4">
        <v>4</v>
      </c>
      <c r="CI4">
        <v>3</v>
      </c>
      <c r="CJ4">
        <v>3</v>
      </c>
      <c r="CK4">
        <v>3</v>
      </c>
      <c r="CL4">
        <v>4</v>
      </c>
      <c r="CM4">
        <v>3</v>
      </c>
      <c r="CN4">
        <v>5</v>
      </c>
      <c r="CO4">
        <v>4</v>
      </c>
      <c r="CP4">
        <v>5</v>
      </c>
      <c r="CQ4">
        <v>4</v>
      </c>
      <c r="CR4">
        <v>4</v>
      </c>
      <c r="CS4">
        <v>2</v>
      </c>
      <c r="CT4">
        <v>5</v>
      </c>
      <c r="CU4">
        <v>6</v>
      </c>
      <c r="CV4">
        <v>4</v>
      </c>
      <c r="CW4">
        <v>6</v>
      </c>
      <c r="CX4">
        <v>3</v>
      </c>
      <c r="CY4">
        <v>5</v>
      </c>
      <c r="CZ4">
        <v>5</v>
      </c>
      <c r="DA4">
        <v>5</v>
      </c>
      <c r="DB4">
        <v>3</v>
      </c>
      <c r="DC4">
        <v>3</v>
      </c>
      <c r="DD4">
        <v>5</v>
      </c>
      <c r="DE4">
        <v>5</v>
      </c>
      <c r="DF4">
        <v>5</v>
      </c>
      <c r="DG4">
        <v>3</v>
      </c>
      <c r="DH4">
        <v>4</v>
      </c>
      <c r="DI4">
        <v>5</v>
      </c>
      <c r="DJ4">
        <v>6</v>
      </c>
      <c r="DK4">
        <v>1</v>
      </c>
      <c r="DL4">
        <v>5</v>
      </c>
      <c r="DM4">
        <v>6</v>
      </c>
      <c r="DN4">
        <v>5</v>
      </c>
      <c r="DO4">
        <v>4</v>
      </c>
      <c r="DP4">
        <v>5</v>
      </c>
      <c r="DQ4">
        <v>5</v>
      </c>
      <c r="DR4">
        <v>4</v>
      </c>
      <c r="DS4">
        <v>3</v>
      </c>
      <c r="DT4">
        <v>3</v>
      </c>
      <c r="DU4">
        <v>6</v>
      </c>
      <c r="DV4">
        <v>5</v>
      </c>
      <c r="DW4">
        <v>6</v>
      </c>
      <c r="DX4">
        <v>5</v>
      </c>
      <c r="DY4">
        <v>5</v>
      </c>
      <c r="DZ4">
        <v>5</v>
      </c>
      <c r="EA4">
        <v>3</v>
      </c>
      <c r="EB4">
        <v>5</v>
      </c>
      <c r="EC4">
        <v>4</v>
      </c>
      <c r="ED4">
        <v>5</v>
      </c>
      <c r="EE4">
        <v>6</v>
      </c>
      <c r="EF4">
        <v>0</v>
      </c>
      <c r="EG4">
        <v>0</v>
      </c>
      <c r="EH4">
        <v>0</v>
      </c>
      <c r="EI4">
        <v>5</v>
      </c>
      <c r="EJ4">
        <v>3</v>
      </c>
      <c r="EK4">
        <v>2</v>
      </c>
      <c r="EL4">
        <v>4</v>
      </c>
      <c r="EM4">
        <v>0</v>
      </c>
      <c r="EN4">
        <v>4</v>
      </c>
      <c r="EO4">
        <v>0</v>
      </c>
      <c r="EP4">
        <v>0</v>
      </c>
      <c r="EQ4">
        <v>6</v>
      </c>
      <c r="ER4">
        <v>0</v>
      </c>
      <c r="ES4">
        <v>4</v>
      </c>
      <c r="ET4">
        <v>2</v>
      </c>
      <c r="EU4">
        <v>3</v>
      </c>
      <c r="EV4">
        <v>3</v>
      </c>
    </row>
    <row r="5" spans="1:152">
      <c r="A5" t="str">
        <v>EMP</v>
      </c>
      <c r="B5" t="str">
        <v>Employment status?</v>
      </c>
      <c r="C5">
        <v>1</v>
      </c>
      <c r="D5">
        <v>3</v>
      </c>
      <c r="E5">
        <v>3</v>
      </c>
      <c r="F5">
        <v>3</v>
      </c>
      <c r="G5">
        <v>2</v>
      </c>
      <c r="H5">
        <v>4</v>
      </c>
      <c r="I5">
        <v>3</v>
      </c>
      <c r="J5">
        <v>3</v>
      </c>
      <c r="K5">
        <v>4</v>
      </c>
      <c r="L5">
        <v>3</v>
      </c>
      <c r="M5">
        <v>0</v>
      </c>
      <c r="N5">
        <v>2</v>
      </c>
      <c r="O5">
        <v>3</v>
      </c>
      <c r="P5">
        <v>1</v>
      </c>
      <c r="Q5">
        <v>3</v>
      </c>
      <c r="R5">
        <v>3</v>
      </c>
      <c r="S5">
        <v>1</v>
      </c>
      <c r="T5">
        <v>3</v>
      </c>
      <c r="U5">
        <v>3</v>
      </c>
      <c r="V5">
        <v>1</v>
      </c>
      <c r="W5">
        <v>1</v>
      </c>
      <c r="X5">
        <v>1</v>
      </c>
      <c r="Y5">
        <v>3</v>
      </c>
      <c r="Z5">
        <v>1</v>
      </c>
      <c r="AA5">
        <v>1</v>
      </c>
      <c r="AB5">
        <v>3</v>
      </c>
      <c r="AC5">
        <v>3</v>
      </c>
      <c r="AD5">
        <v>3</v>
      </c>
      <c r="AE5">
        <v>1</v>
      </c>
      <c r="AF5">
        <v>1</v>
      </c>
      <c r="AG5">
        <v>1</v>
      </c>
      <c r="AH5">
        <v>1</v>
      </c>
      <c r="AI5">
        <v>3</v>
      </c>
      <c r="AJ5">
        <v>3</v>
      </c>
      <c r="AK5">
        <v>1</v>
      </c>
      <c r="AL5">
        <v>3</v>
      </c>
      <c r="AM5">
        <v>3</v>
      </c>
      <c r="AN5">
        <v>3</v>
      </c>
      <c r="AO5">
        <v>3</v>
      </c>
      <c r="AP5">
        <v>1</v>
      </c>
      <c r="AQ5">
        <v>3</v>
      </c>
      <c r="AR5">
        <v>3</v>
      </c>
      <c r="AS5">
        <v>3</v>
      </c>
      <c r="AT5">
        <v>1</v>
      </c>
      <c r="AU5">
        <v>3</v>
      </c>
      <c r="AV5">
        <v>1</v>
      </c>
      <c r="AW5">
        <v>3</v>
      </c>
      <c r="AX5">
        <v>3</v>
      </c>
      <c r="AY5">
        <v>2</v>
      </c>
      <c r="AZ5">
        <v>1</v>
      </c>
      <c r="BA5">
        <v>3</v>
      </c>
      <c r="BB5">
        <v>3</v>
      </c>
      <c r="BC5">
        <v>3</v>
      </c>
      <c r="BD5">
        <v>2</v>
      </c>
      <c r="BE5">
        <v>2</v>
      </c>
      <c r="BF5">
        <v>3</v>
      </c>
      <c r="BG5">
        <v>3</v>
      </c>
      <c r="BH5">
        <v>3</v>
      </c>
      <c r="BI5">
        <v>4</v>
      </c>
      <c r="BJ5">
        <v>3</v>
      </c>
      <c r="BK5">
        <v>2</v>
      </c>
      <c r="BL5">
        <v>2</v>
      </c>
      <c r="BM5">
        <v>3</v>
      </c>
      <c r="BN5">
        <v>3</v>
      </c>
      <c r="BO5">
        <v>3</v>
      </c>
      <c r="BP5">
        <v>2</v>
      </c>
      <c r="BQ5">
        <v>2</v>
      </c>
      <c r="BR5">
        <v>3</v>
      </c>
      <c r="BS5">
        <v>4</v>
      </c>
      <c r="BT5">
        <v>3</v>
      </c>
      <c r="BU5">
        <v>4</v>
      </c>
      <c r="BV5">
        <v>2</v>
      </c>
      <c r="BW5">
        <v>2</v>
      </c>
      <c r="BX5">
        <v>3</v>
      </c>
      <c r="BY5">
        <v>3</v>
      </c>
      <c r="BZ5">
        <v>3</v>
      </c>
      <c r="CA5">
        <v>3</v>
      </c>
      <c r="CB5">
        <v>4</v>
      </c>
      <c r="CC5">
        <v>3</v>
      </c>
      <c r="CD5">
        <v>3</v>
      </c>
      <c r="CE5">
        <v>1</v>
      </c>
      <c r="CF5">
        <v>3</v>
      </c>
      <c r="CG5">
        <v>2</v>
      </c>
      <c r="CH5">
        <v>3</v>
      </c>
      <c r="CI5">
        <v>4</v>
      </c>
      <c r="CJ5">
        <v>3</v>
      </c>
      <c r="CK5">
        <v>3</v>
      </c>
      <c r="CL5">
        <v>4</v>
      </c>
      <c r="CM5">
        <v>3</v>
      </c>
      <c r="CN5">
        <v>4</v>
      </c>
      <c r="CO5">
        <v>3</v>
      </c>
      <c r="CP5">
        <v>2</v>
      </c>
      <c r="CQ5">
        <v>2</v>
      </c>
      <c r="CR5">
        <v>2</v>
      </c>
      <c r="CS5">
        <v>1</v>
      </c>
      <c r="CT5">
        <v>4</v>
      </c>
      <c r="CU5">
        <v>3</v>
      </c>
      <c r="CV5">
        <v>3</v>
      </c>
      <c r="CW5">
        <v>4</v>
      </c>
      <c r="CX5">
        <v>3</v>
      </c>
      <c r="CY5">
        <v>4</v>
      </c>
      <c r="CZ5">
        <v>3</v>
      </c>
      <c r="DA5">
        <v>3</v>
      </c>
      <c r="DB5">
        <v>3</v>
      </c>
      <c r="DC5">
        <v>3</v>
      </c>
      <c r="DD5">
        <v>3</v>
      </c>
      <c r="DE5">
        <v>3</v>
      </c>
      <c r="DF5">
        <v>3</v>
      </c>
      <c r="DG5">
        <v>2</v>
      </c>
      <c r="DH5">
        <v>3</v>
      </c>
      <c r="DI5">
        <v>2</v>
      </c>
      <c r="DJ5">
        <v>3</v>
      </c>
      <c r="DK5">
        <v>1</v>
      </c>
      <c r="DL5">
        <v>3</v>
      </c>
      <c r="DM5">
        <v>4</v>
      </c>
      <c r="DN5">
        <v>2</v>
      </c>
      <c r="DO5">
        <v>2</v>
      </c>
      <c r="DP5">
        <v>3</v>
      </c>
      <c r="DQ5">
        <v>2</v>
      </c>
      <c r="DR5">
        <v>3</v>
      </c>
      <c r="DS5">
        <v>1</v>
      </c>
      <c r="DT5">
        <v>1</v>
      </c>
      <c r="DU5">
        <v>4</v>
      </c>
      <c r="DV5">
        <v>3</v>
      </c>
      <c r="DW5">
        <v>3</v>
      </c>
      <c r="DX5">
        <v>3</v>
      </c>
      <c r="DY5">
        <v>3</v>
      </c>
      <c r="DZ5">
        <v>3</v>
      </c>
      <c r="EA5">
        <v>3</v>
      </c>
      <c r="EB5">
        <v>3</v>
      </c>
      <c r="EC5">
        <v>3</v>
      </c>
      <c r="ED5">
        <v>3</v>
      </c>
      <c r="EE5">
        <v>3</v>
      </c>
      <c r="EF5">
        <v>0</v>
      </c>
      <c r="EG5">
        <v>0</v>
      </c>
      <c r="EH5">
        <v>0</v>
      </c>
      <c r="EI5">
        <v>2</v>
      </c>
      <c r="EJ5">
        <v>1</v>
      </c>
      <c r="EK5">
        <v>3</v>
      </c>
      <c r="EL5">
        <v>2</v>
      </c>
      <c r="EM5">
        <v>0</v>
      </c>
      <c r="EN5">
        <v>3</v>
      </c>
      <c r="EO5">
        <v>0</v>
      </c>
      <c r="EP5">
        <v>0</v>
      </c>
      <c r="EQ5">
        <v>3</v>
      </c>
      <c r="ER5">
        <v>0</v>
      </c>
      <c r="ES5">
        <v>3</v>
      </c>
      <c r="ET5">
        <v>1</v>
      </c>
      <c r="EU5">
        <v>3</v>
      </c>
      <c r="EV5">
        <v>3</v>
      </c>
    </row>
    <row r="6" spans="1:152">
      <c r="A6" t="str">
        <v>CUR-USE_1</v>
      </c>
      <c r="B6" t="str">
        <v>Rate your consumption for each of the following products:-Regular coffee or espresso, latte, cappuccino, etc (not decaffeinated)</v>
      </c>
      <c r="C6">
        <v>3</v>
      </c>
      <c r="D6">
        <v>5</v>
      </c>
      <c r="E6">
        <v>1</v>
      </c>
      <c r="F6">
        <v>5</v>
      </c>
      <c r="G6">
        <v>5</v>
      </c>
      <c r="H6">
        <v>4</v>
      </c>
      <c r="I6">
        <v>5</v>
      </c>
      <c r="J6">
        <v>5</v>
      </c>
      <c r="K6">
        <v>5</v>
      </c>
      <c r="L6">
        <v>5</v>
      </c>
      <c r="M6">
        <v>5</v>
      </c>
      <c r="N6">
        <v>4</v>
      </c>
      <c r="O6">
        <v>5</v>
      </c>
      <c r="P6">
        <v>2</v>
      </c>
      <c r="Q6">
        <v>5</v>
      </c>
      <c r="R6">
        <v>4</v>
      </c>
      <c r="S6">
        <v>3</v>
      </c>
      <c r="T6">
        <v>5</v>
      </c>
      <c r="U6">
        <v>4</v>
      </c>
      <c r="V6">
        <v>2</v>
      </c>
      <c r="W6">
        <v>5</v>
      </c>
      <c r="X6">
        <v>5</v>
      </c>
      <c r="Y6">
        <v>3</v>
      </c>
      <c r="Z6">
        <v>5</v>
      </c>
      <c r="AA6">
        <v>3</v>
      </c>
      <c r="AB6">
        <v>5</v>
      </c>
      <c r="AC6">
        <v>5</v>
      </c>
      <c r="AD6">
        <v>2</v>
      </c>
      <c r="AE6">
        <v>5</v>
      </c>
      <c r="AF6">
        <v>5</v>
      </c>
      <c r="AG6">
        <v>5</v>
      </c>
      <c r="AH6">
        <v>1</v>
      </c>
      <c r="AI6">
        <v>5</v>
      </c>
      <c r="AJ6">
        <v>4</v>
      </c>
      <c r="AK6">
        <v>5</v>
      </c>
      <c r="AL6">
        <v>5</v>
      </c>
      <c r="AM6">
        <v>2</v>
      </c>
      <c r="AN6">
        <v>2</v>
      </c>
      <c r="AO6">
        <v>4</v>
      </c>
      <c r="AP6">
        <v>5</v>
      </c>
      <c r="AQ6">
        <v>5</v>
      </c>
      <c r="AR6">
        <v>5</v>
      </c>
      <c r="AS6">
        <v>5</v>
      </c>
      <c r="AT6">
        <v>5</v>
      </c>
      <c r="AU6">
        <v>2</v>
      </c>
      <c r="AV6">
        <v>4</v>
      </c>
      <c r="AW6">
        <v>5</v>
      </c>
      <c r="AX6">
        <v>5</v>
      </c>
      <c r="AY6">
        <v>5</v>
      </c>
      <c r="AZ6">
        <v>5</v>
      </c>
      <c r="BA6">
        <v>5</v>
      </c>
      <c r="BB6">
        <v>1</v>
      </c>
      <c r="BC6">
        <v>3</v>
      </c>
      <c r="BD6">
        <v>5</v>
      </c>
      <c r="BE6">
        <v>5</v>
      </c>
      <c r="BF6">
        <v>2</v>
      </c>
      <c r="BG6">
        <v>4</v>
      </c>
      <c r="BH6">
        <v>5</v>
      </c>
      <c r="BI6">
        <v>5</v>
      </c>
      <c r="BJ6">
        <v>3</v>
      </c>
      <c r="BK6">
        <v>2</v>
      </c>
      <c r="BL6">
        <v>4</v>
      </c>
      <c r="BM6">
        <v>5</v>
      </c>
      <c r="BN6">
        <v>5</v>
      </c>
      <c r="BO6">
        <v>5</v>
      </c>
      <c r="BP6">
        <v>1</v>
      </c>
      <c r="BQ6">
        <v>4</v>
      </c>
      <c r="BR6">
        <v>4</v>
      </c>
      <c r="BS6">
        <v>5</v>
      </c>
      <c r="BT6">
        <v>4</v>
      </c>
      <c r="BU6">
        <v>1</v>
      </c>
      <c r="BV6">
        <v>5</v>
      </c>
      <c r="BW6">
        <v>3</v>
      </c>
      <c r="BX6">
        <v>3</v>
      </c>
      <c r="BY6">
        <v>5</v>
      </c>
      <c r="BZ6">
        <v>5</v>
      </c>
      <c r="CA6">
        <v>5</v>
      </c>
      <c r="CB6">
        <v>2</v>
      </c>
      <c r="CC6">
        <v>5</v>
      </c>
      <c r="CD6">
        <v>3</v>
      </c>
      <c r="CE6">
        <v>1</v>
      </c>
      <c r="CF6">
        <v>5</v>
      </c>
      <c r="CG6">
        <v>4</v>
      </c>
      <c r="CH6">
        <v>5</v>
      </c>
      <c r="CI6">
        <v>3</v>
      </c>
      <c r="CJ6">
        <v>1</v>
      </c>
      <c r="CK6">
        <v>5</v>
      </c>
      <c r="CL6">
        <v>4</v>
      </c>
      <c r="CM6">
        <v>2</v>
      </c>
      <c r="CN6">
        <v>1</v>
      </c>
      <c r="CO6">
        <v>3</v>
      </c>
      <c r="CP6">
        <v>5</v>
      </c>
      <c r="CQ6">
        <v>5</v>
      </c>
      <c r="CR6">
        <v>5</v>
      </c>
      <c r="CS6">
        <v>2</v>
      </c>
      <c r="CT6">
        <v>5</v>
      </c>
      <c r="CU6">
        <v>5</v>
      </c>
      <c r="CV6">
        <v>5</v>
      </c>
      <c r="CW6">
        <v>2</v>
      </c>
      <c r="CX6">
        <v>5</v>
      </c>
      <c r="CY6">
        <v>5</v>
      </c>
      <c r="CZ6">
        <v>5</v>
      </c>
      <c r="DA6">
        <v>5</v>
      </c>
      <c r="DB6">
        <v>4</v>
      </c>
      <c r="DC6">
        <v>2</v>
      </c>
      <c r="DD6">
        <v>5</v>
      </c>
      <c r="DE6">
        <v>2</v>
      </c>
      <c r="DF6">
        <v>5</v>
      </c>
      <c r="DG6">
        <v>5</v>
      </c>
      <c r="DH6">
        <v>5</v>
      </c>
      <c r="DI6">
        <v>4</v>
      </c>
      <c r="DJ6">
        <v>5</v>
      </c>
      <c r="DK6">
        <v>3</v>
      </c>
      <c r="DL6">
        <v>5</v>
      </c>
      <c r="DM6">
        <v>5</v>
      </c>
      <c r="DN6">
        <v>5</v>
      </c>
      <c r="DO6">
        <v>5</v>
      </c>
      <c r="DP6">
        <v>5</v>
      </c>
      <c r="DQ6">
        <v>4</v>
      </c>
      <c r="DR6">
        <v>5</v>
      </c>
      <c r="DS6">
        <v>5</v>
      </c>
      <c r="DT6">
        <v>5</v>
      </c>
      <c r="DU6">
        <v>2</v>
      </c>
      <c r="DV6">
        <v>5</v>
      </c>
      <c r="DW6">
        <v>5</v>
      </c>
      <c r="DX6">
        <v>5</v>
      </c>
      <c r="DY6">
        <v>5</v>
      </c>
      <c r="DZ6">
        <v>2</v>
      </c>
      <c r="EA6">
        <v>5</v>
      </c>
      <c r="EB6">
        <v>3</v>
      </c>
      <c r="EC6">
        <v>5</v>
      </c>
      <c r="ED6">
        <v>5</v>
      </c>
      <c r="EE6">
        <v>5</v>
      </c>
      <c r="EF6">
        <v>0</v>
      </c>
      <c r="EG6">
        <v>0</v>
      </c>
      <c r="EH6">
        <v>0</v>
      </c>
      <c r="EI6">
        <v>1</v>
      </c>
      <c r="EJ6">
        <v>5</v>
      </c>
      <c r="EK6">
        <v>5</v>
      </c>
      <c r="EL6">
        <v>5</v>
      </c>
      <c r="EM6">
        <v>0</v>
      </c>
      <c r="EN6">
        <v>0</v>
      </c>
      <c r="EO6">
        <v>0</v>
      </c>
      <c r="EP6">
        <v>0</v>
      </c>
      <c r="EQ6">
        <v>5</v>
      </c>
      <c r="ER6">
        <v>0</v>
      </c>
      <c r="ES6">
        <v>2</v>
      </c>
      <c r="ET6">
        <v>1</v>
      </c>
      <c r="EU6">
        <v>3</v>
      </c>
      <c r="EV6">
        <v>2</v>
      </c>
    </row>
    <row r="7" spans="1:152">
      <c r="A7" t="str">
        <v>CUR-USE_2</v>
      </c>
      <c r="B7" t="str">
        <v>Rate your consumption for each of the following products:-Caffeinated soda (examples: Coke, Pepsi, Mountain Dew)</v>
      </c>
      <c r="C7">
        <v>2</v>
      </c>
      <c r="D7">
        <v>2</v>
      </c>
      <c r="E7">
        <v>4</v>
      </c>
      <c r="F7">
        <v>5</v>
      </c>
      <c r="G7">
        <v>3</v>
      </c>
      <c r="H7">
        <v>3</v>
      </c>
      <c r="I7">
        <v>4</v>
      </c>
      <c r="J7">
        <v>3</v>
      </c>
      <c r="K7">
        <v>3</v>
      </c>
      <c r="L7">
        <v>5</v>
      </c>
      <c r="M7">
        <v>3</v>
      </c>
      <c r="N7">
        <v>4</v>
      </c>
      <c r="O7">
        <v>5</v>
      </c>
      <c r="P7">
        <v>2</v>
      </c>
      <c r="Q7">
        <v>3</v>
      </c>
      <c r="R7">
        <v>2</v>
      </c>
      <c r="S7">
        <v>2</v>
      </c>
      <c r="T7">
        <v>2</v>
      </c>
      <c r="U7">
        <v>2</v>
      </c>
      <c r="V7">
        <v>2</v>
      </c>
      <c r="W7">
        <v>1</v>
      </c>
      <c r="X7">
        <v>2</v>
      </c>
      <c r="Y7">
        <v>2</v>
      </c>
      <c r="Z7">
        <v>2</v>
      </c>
      <c r="AA7">
        <v>4</v>
      </c>
      <c r="AB7">
        <v>3</v>
      </c>
      <c r="AC7">
        <v>3</v>
      </c>
      <c r="AD7">
        <v>2</v>
      </c>
      <c r="AE7">
        <v>2</v>
      </c>
      <c r="AF7">
        <v>4</v>
      </c>
      <c r="AG7">
        <v>4</v>
      </c>
      <c r="AH7">
        <v>2</v>
      </c>
      <c r="AI7">
        <v>4</v>
      </c>
      <c r="AJ7">
        <v>3</v>
      </c>
      <c r="AK7">
        <v>3</v>
      </c>
      <c r="AL7">
        <v>4</v>
      </c>
      <c r="AM7">
        <v>5</v>
      </c>
      <c r="AN7">
        <v>2</v>
      </c>
      <c r="AO7">
        <v>4</v>
      </c>
      <c r="AP7">
        <v>4</v>
      </c>
      <c r="AQ7">
        <v>3</v>
      </c>
      <c r="AR7">
        <v>2</v>
      </c>
      <c r="AS7">
        <v>3</v>
      </c>
      <c r="AT7">
        <v>2</v>
      </c>
      <c r="AU7">
        <v>3</v>
      </c>
      <c r="AV7">
        <v>2</v>
      </c>
      <c r="AW7">
        <v>5</v>
      </c>
      <c r="AX7">
        <v>5</v>
      </c>
      <c r="AY7">
        <v>3</v>
      </c>
      <c r="AZ7">
        <v>2</v>
      </c>
      <c r="BA7">
        <v>2</v>
      </c>
      <c r="BB7">
        <v>2</v>
      </c>
      <c r="BC7">
        <v>2</v>
      </c>
      <c r="BD7">
        <v>2</v>
      </c>
      <c r="BE7">
        <v>5</v>
      </c>
      <c r="BF7">
        <v>2</v>
      </c>
      <c r="BG7">
        <v>2</v>
      </c>
      <c r="BH7">
        <v>2</v>
      </c>
      <c r="BI7">
        <v>4</v>
      </c>
      <c r="BJ7">
        <v>2</v>
      </c>
      <c r="BK7">
        <v>2</v>
      </c>
      <c r="BL7">
        <v>4</v>
      </c>
      <c r="BM7">
        <v>2</v>
      </c>
      <c r="BN7">
        <v>2</v>
      </c>
      <c r="BO7">
        <v>4</v>
      </c>
      <c r="BP7">
        <v>1</v>
      </c>
      <c r="BQ7">
        <v>2</v>
      </c>
      <c r="BR7">
        <v>3</v>
      </c>
      <c r="BS7">
        <v>2</v>
      </c>
      <c r="BT7">
        <v>5</v>
      </c>
      <c r="BU7">
        <v>2</v>
      </c>
      <c r="BV7">
        <v>5</v>
      </c>
      <c r="BW7">
        <v>3</v>
      </c>
      <c r="BX7">
        <v>3</v>
      </c>
      <c r="BY7">
        <v>2</v>
      </c>
      <c r="BZ7">
        <v>2</v>
      </c>
      <c r="CA7">
        <v>2</v>
      </c>
      <c r="CB7">
        <v>2</v>
      </c>
      <c r="CC7">
        <v>2</v>
      </c>
      <c r="CD7">
        <v>2</v>
      </c>
      <c r="CE7">
        <v>2</v>
      </c>
      <c r="CF7">
        <v>4</v>
      </c>
      <c r="CG7">
        <v>4</v>
      </c>
      <c r="CH7">
        <v>2</v>
      </c>
      <c r="CI7">
        <v>5</v>
      </c>
      <c r="CJ7">
        <v>3</v>
      </c>
      <c r="CK7">
        <v>4</v>
      </c>
      <c r="CL7">
        <v>5</v>
      </c>
      <c r="CM7">
        <v>3</v>
      </c>
      <c r="CN7">
        <v>3</v>
      </c>
      <c r="CO7">
        <v>2</v>
      </c>
      <c r="CP7">
        <v>4</v>
      </c>
      <c r="CQ7">
        <v>5</v>
      </c>
      <c r="CR7">
        <v>5</v>
      </c>
      <c r="CS7">
        <v>2</v>
      </c>
      <c r="CT7">
        <v>3</v>
      </c>
      <c r="CU7">
        <v>2</v>
      </c>
      <c r="CV7">
        <v>2</v>
      </c>
      <c r="CW7">
        <v>5</v>
      </c>
      <c r="CX7">
        <v>3</v>
      </c>
      <c r="CY7">
        <v>2</v>
      </c>
      <c r="CZ7">
        <v>5</v>
      </c>
      <c r="DA7">
        <v>5</v>
      </c>
      <c r="DB7">
        <v>3</v>
      </c>
      <c r="DC7">
        <v>2</v>
      </c>
      <c r="DD7">
        <v>2</v>
      </c>
      <c r="DE7">
        <v>2</v>
      </c>
      <c r="DF7">
        <v>5</v>
      </c>
      <c r="DG7">
        <v>4</v>
      </c>
      <c r="DH7">
        <v>5</v>
      </c>
      <c r="DI7">
        <v>4</v>
      </c>
      <c r="DJ7">
        <v>2</v>
      </c>
      <c r="DK7">
        <v>3</v>
      </c>
      <c r="DL7">
        <v>5</v>
      </c>
      <c r="DM7">
        <v>2</v>
      </c>
      <c r="DN7">
        <v>3</v>
      </c>
      <c r="DO7">
        <v>2</v>
      </c>
      <c r="DP7">
        <v>2</v>
      </c>
      <c r="DQ7">
        <v>4</v>
      </c>
      <c r="DR7">
        <v>5</v>
      </c>
      <c r="DS7">
        <v>2</v>
      </c>
      <c r="DT7">
        <v>5</v>
      </c>
      <c r="DU7">
        <v>1</v>
      </c>
      <c r="DV7">
        <v>4</v>
      </c>
      <c r="DW7">
        <v>5</v>
      </c>
      <c r="DX7">
        <v>5</v>
      </c>
      <c r="DY7">
        <v>5</v>
      </c>
      <c r="DZ7">
        <v>5</v>
      </c>
      <c r="EA7">
        <v>2</v>
      </c>
      <c r="EB7">
        <v>2</v>
      </c>
      <c r="EC7">
        <v>3</v>
      </c>
      <c r="ED7">
        <v>5</v>
      </c>
      <c r="EE7">
        <v>2</v>
      </c>
      <c r="EF7">
        <v>0</v>
      </c>
      <c r="EG7">
        <v>0</v>
      </c>
      <c r="EH7">
        <v>0</v>
      </c>
      <c r="EI7">
        <v>4</v>
      </c>
      <c r="EJ7">
        <v>2</v>
      </c>
      <c r="EK7">
        <v>2</v>
      </c>
      <c r="EL7">
        <v>3</v>
      </c>
      <c r="EM7">
        <v>0</v>
      </c>
      <c r="EN7">
        <v>0</v>
      </c>
      <c r="EO7">
        <v>0</v>
      </c>
      <c r="EP7">
        <v>0</v>
      </c>
      <c r="EQ7">
        <v>2</v>
      </c>
      <c r="ER7">
        <v>0</v>
      </c>
      <c r="ES7">
        <v>2</v>
      </c>
      <c r="ET7">
        <v>2</v>
      </c>
      <c r="EU7">
        <v>4</v>
      </c>
      <c r="EV7">
        <v>2</v>
      </c>
    </row>
    <row r="8" spans="1:152">
      <c r="A8" t="str">
        <v>CUR-USE_3</v>
      </c>
      <c r="B8" t="str">
        <v>Rate your consumption for each of the following products:-Any brand of caffeinated energy drink (examples: Monster, Rockstar, Red Bull)</v>
      </c>
      <c r="C8">
        <v>1</v>
      </c>
      <c r="D8">
        <v>1</v>
      </c>
      <c r="E8">
        <v>1</v>
      </c>
      <c r="F8">
        <v>2</v>
      </c>
      <c r="G8">
        <v>1</v>
      </c>
      <c r="H8">
        <v>1</v>
      </c>
      <c r="I8">
        <v>2</v>
      </c>
      <c r="J8">
        <v>2</v>
      </c>
      <c r="K8">
        <v>1</v>
      </c>
      <c r="L8">
        <v>1</v>
      </c>
      <c r="M8">
        <v>1</v>
      </c>
      <c r="N8">
        <v>1</v>
      </c>
      <c r="O8">
        <v>2</v>
      </c>
      <c r="P8">
        <v>2</v>
      </c>
      <c r="Q8">
        <v>2</v>
      </c>
      <c r="R8">
        <v>2</v>
      </c>
      <c r="S8">
        <v>2</v>
      </c>
      <c r="T8">
        <v>2</v>
      </c>
      <c r="U8">
        <v>1</v>
      </c>
      <c r="V8">
        <v>1</v>
      </c>
      <c r="W8">
        <v>1</v>
      </c>
      <c r="X8">
        <v>1</v>
      </c>
      <c r="Y8">
        <v>1</v>
      </c>
      <c r="Z8">
        <v>2</v>
      </c>
      <c r="AA8">
        <v>2</v>
      </c>
      <c r="AB8">
        <v>3</v>
      </c>
      <c r="AC8">
        <v>2</v>
      </c>
      <c r="AD8">
        <v>2</v>
      </c>
      <c r="AE8">
        <v>2</v>
      </c>
      <c r="AF8">
        <v>2</v>
      </c>
      <c r="AG8">
        <v>2</v>
      </c>
      <c r="AH8">
        <v>1</v>
      </c>
      <c r="AI8">
        <v>1</v>
      </c>
      <c r="AJ8">
        <v>2</v>
      </c>
      <c r="AK8">
        <v>2</v>
      </c>
      <c r="AL8">
        <v>4</v>
      </c>
      <c r="AM8">
        <v>2</v>
      </c>
      <c r="AN8">
        <v>2</v>
      </c>
      <c r="AO8">
        <v>1</v>
      </c>
      <c r="AP8">
        <v>1</v>
      </c>
      <c r="AQ8">
        <v>4</v>
      </c>
      <c r="AR8">
        <v>2</v>
      </c>
      <c r="AS8">
        <v>1</v>
      </c>
      <c r="AT8">
        <v>2</v>
      </c>
      <c r="AU8">
        <v>0</v>
      </c>
      <c r="AV8">
        <v>1</v>
      </c>
      <c r="AW8">
        <v>1</v>
      </c>
      <c r="AX8">
        <v>2</v>
      </c>
      <c r="AY8">
        <v>4</v>
      </c>
      <c r="AZ8">
        <v>2</v>
      </c>
      <c r="BA8">
        <v>2</v>
      </c>
      <c r="BB8">
        <v>1</v>
      </c>
      <c r="BC8">
        <v>2</v>
      </c>
      <c r="BD8">
        <v>1</v>
      </c>
      <c r="BE8">
        <v>1</v>
      </c>
      <c r="BF8">
        <v>1</v>
      </c>
      <c r="BG8">
        <v>2</v>
      </c>
      <c r="BH8">
        <v>2</v>
      </c>
      <c r="BI8">
        <v>1</v>
      </c>
      <c r="BJ8">
        <v>2</v>
      </c>
      <c r="BK8">
        <v>1</v>
      </c>
      <c r="BL8">
        <v>2</v>
      </c>
      <c r="BM8">
        <v>2</v>
      </c>
      <c r="BN8">
        <v>2</v>
      </c>
      <c r="BO8">
        <v>2</v>
      </c>
      <c r="BP8">
        <v>1</v>
      </c>
      <c r="BQ8">
        <v>1</v>
      </c>
      <c r="BR8">
        <v>2</v>
      </c>
      <c r="BS8">
        <v>1</v>
      </c>
      <c r="BT8">
        <v>4</v>
      </c>
      <c r="BU8">
        <v>1</v>
      </c>
      <c r="BV8">
        <v>1</v>
      </c>
      <c r="BW8">
        <v>1</v>
      </c>
      <c r="BX8">
        <v>1</v>
      </c>
      <c r="BY8">
        <v>1</v>
      </c>
      <c r="BZ8">
        <v>1</v>
      </c>
      <c r="CA8">
        <v>2</v>
      </c>
      <c r="CB8">
        <v>1</v>
      </c>
      <c r="CC8">
        <v>2</v>
      </c>
      <c r="CD8">
        <v>1</v>
      </c>
      <c r="CE8">
        <v>1</v>
      </c>
      <c r="CF8">
        <v>2</v>
      </c>
      <c r="CG8">
        <v>1</v>
      </c>
      <c r="CH8">
        <v>2</v>
      </c>
      <c r="CI8">
        <v>2</v>
      </c>
      <c r="CJ8">
        <v>2</v>
      </c>
      <c r="CK8">
        <v>2</v>
      </c>
      <c r="CL8">
        <v>1</v>
      </c>
      <c r="CM8">
        <v>1</v>
      </c>
      <c r="CN8">
        <v>1</v>
      </c>
      <c r="CO8">
        <v>2</v>
      </c>
      <c r="CP8">
        <v>1</v>
      </c>
      <c r="CQ8">
        <v>1</v>
      </c>
      <c r="CR8">
        <v>2</v>
      </c>
      <c r="CS8">
        <v>1</v>
      </c>
      <c r="CT8">
        <v>1</v>
      </c>
      <c r="CU8">
        <v>2</v>
      </c>
      <c r="CV8">
        <v>2</v>
      </c>
      <c r="CW8">
        <v>1</v>
      </c>
      <c r="CX8">
        <v>2</v>
      </c>
      <c r="CY8">
        <v>2</v>
      </c>
      <c r="CZ8">
        <v>1</v>
      </c>
      <c r="DA8">
        <v>2</v>
      </c>
      <c r="DB8">
        <v>1</v>
      </c>
      <c r="DC8">
        <v>2</v>
      </c>
      <c r="DD8">
        <v>2</v>
      </c>
      <c r="DE8">
        <v>1</v>
      </c>
      <c r="DF8">
        <v>1</v>
      </c>
      <c r="DG8">
        <v>1</v>
      </c>
      <c r="DH8">
        <v>2</v>
      </c>
      <c r="DI8">
        <v>2</v>
      </c>
      <c r="DJ8">
        <v>2</v>
      </c>
      <c r="DK8">
        <v>1</v>
      </c>
      <c r="DL8">
        <v>1</v>
      </c>
      <c r="DM8">
        <v>1</v>
      </c>
      <c r="DN8">
        <v>1</v>
      </c>
      <c r="DO8">
        <v>2</v>
      </c>
      <c r="DP8">
        <v>2</v>
      </c>
      <c r="DQ8">
        <v>1</v>
      </c>
      <c r="DR8">
        <v>2</v>
      </c>
      <c r="DS8">
        <v>1</v>
      </c>
      <c r="DT8">
        <v>2</v>
      </c>
      <c r="DU8">
        <v>1</v>
      </c>
      <c r="DV8">
        <v>1</v>
      </c>
      <c r="DW8">
        <v>1</v>
      </c>
      <c r="DX8">
        <v>3</v>
      </c>
      <c r="DY8">
        <v>2</v>
      </c>
      <c r="DZ8">
        <v>2</v>
      </c>
      <c r="EA8">
        <v>2</v>
      </c>
      <c r="EB8">
        <v>1</v>
      </c>
      <c r="EC8">
        <v>2</v>
      </c>
      <c r="ED8">
        <v>2</v>
      </c>
      <c r="EE8">
        <v>1</v>
      </c>
      <c r="EF8">
        <v>0</v>
      </c>
      <c r="EG8">
        <v>0</v>
      </c>
      <c r="EH8">
        <v>0</v>
      </c>
      <c r="EI8">
        <v>1</v>
      </c>
      <c r="EJ8">
        <v>2</v>
      </c>
      <c r="EK8">
        <v>2</v>
      </c>
      <c r="EL8">
        <v>1</v>
      </c>
      <c r="EM8">
        <v>0</v>
      </c>
      <c r="EN8">
        <v>0</v>
      </c>
      <c r="EO8">
        <v>0</v>
      </c>
      <c r="EP8">
        <v>0</v>
      </c>
      <c r="EQ8">
        <v>1</v>
      </c>
      <c r="ER8">
        <v>0</v>
      </c>
      <c r="ES8">
        <v>2</v>
      </c>
      <c r="ET8">
        <v>1</v>
      </c>
      <c r="EU8">
        <v>2</v>
      </c>
      <c r="EV8">
        <v>1</v>
      </c>
    </row>
    <row r="9" spans="1:152">
      <c r="A9" t="str">
        <v>CUR-USE_4</v>
      </c>
      <c r="B9" t="str">
        <v>Rate your consumption for each of the following products:-Any brand of energy shots (example: 5-hr energy)</v>
      </c>
      <c r="C9">
        <v>1</v>
      </c>
      <c r="D9">
        <v>1</v>
      </c>
      <c r="E9">
        <v>1</v>
      </c>
      <c r="F9">
        <v>1</v>
      </c>
      <c r="G9">
        <v>1</v>
      </c>
      <c r="H9">
        <v>1</v>
      </c>
      <c r="I9">
        <v>1</v>
      </c>
      <c r="J9">
        <v>1</v>
      </c>
      <c r="K9">
        <v>1</v>
      </c>
      <c r="L9">
        <v>1</v>
      </c>
      <c r="M9">
        <v>1</v>
      </c>
      <c r="N9">
        <v>1</v>
      </c>
      <c r="O9">
        <v>2</v>
      </c>
      <c r="P9">
        <v>1</v>
      </c>
      <c r="Q9">
        <v>2</v>
      </c>
      <c r="R9">
        <v>2</v>
      </c>
      <c r="S9">
        <v>2</v>
      </c>
      <c r="T9">
        <v>1</v>
      </c>
      <c r="U9">
        <v>1</v>
      </c>
      <c r="V9">
        <v>1</v>
      </c>
      <c r="W9">
        <v>1</v>
      </c>
      <c r="X9">
        <v>1</v>
      </c>
      <c r="Y9">
        <v>1</v>
      </c>
      <c r="Z9">
        <v>1</v>
      </c>
      <c r="AA9">
        <v>1</v>
      </c>
      <c r="AB9">
        <v>1</v>
      </c>
      <c r="AC9">
        <v>2</v>
      </c>
      <c r="AD9">
        <v>1</v>
      </c>
      <c r="AE9">
        <v>1</v>
      </c>
      <c r="AF9">
        <v>2</v>
      </c>
      <c r="AG9">
        <v>1</v>
      </c>
      <c r="AH9">
        <v>1</v>
      </c>
      <c r="AI9">
        <v>1</v>
      </c>
      <c r="AJ9">
        <v>2</v>
      </c>
      <c r="AK9">
        <v>1</v>
      </c>
      <c r="AL9">
        <v>4</v>
      </c>
      <c r="AM9">
        <v>1</v>
      </c>
      <c r="AN9">
        <v>2</v>
      </c>
      <c r="AO9">
        <v>1</v>
      </c>
      <c r="AP9">
        <v>1</v>
      </c>
      <c r="AQ9">
        <v>3</v>
      </c>
      <c r="AR9">
        <v>2</v>
      </c>
      <c r="AS9">
        <v>1</v>
      </c>
      <c r="AT9">
        <v>2</v>
      </c>
      <c r="AU9">
        <v>1</v>
      </c>
      <c r="AV9">
        <v>1</v>
      </c>
      <c r="AW9">
        <v>1</v>
      </c>
      <c r="AX9">
        <v>2</v>
      </c>
      <c r="AY9">
        <v>1</v>
      </c>
      <c r="AZ9">
        <v>2</v>
      </c>
      <c r="BA9">
        <v>2</v>
      </c>
      <c r="BB9">
        <v>1</v>
      </c>
      <c r="BC9">
        <v>1</v>
      </c>
      <c r="BD9">
        <v>1</v>
      </c>
      <c r="BE9">
        <v>1</v>
      </c>
      <c r="BF9">
        <v>1</v>
      </c>
      <c r="BG9">
        <v>2</v>
      </c>
      <c r="BH9">
        <v>2</v>
      </c>
      <c r="BI9">
        <v>1</v>
      </c>
      <c r="BJ9">
        <v>1</v>
      </c>
      <c r="BK9">
        <v>1</v>
      </c>
      <c r="BL9">
        <v>1</v>
      </c>
      <c r="BM9">
        <v>1</v>
      </c>
      <c r="BN9">
        <v>2</v>
      </c>
      <c r="BO9">
        <v>1</v>
      </c>
      <c r="BP9">
        <v>1</v>
      </c>
      <c r="BQ9">
        <v>1</v>
      </c>
      <c r="BR9">
        <v>1</v>
      </c>
      <c r="BS9">
        <v>1</v>
      </c>
      <c r="BT9">
        <v>3</v>
      </c>
      <c r="BU9">
        <v>1</v>
      </c>
      <c r="BV9">
        <v>1</v>
      </c>
      <c r="BW9">
        <v>1</v>
      </c>
      <c r="BX9">
        <v>1</v>
      </c>
      <c r="BY9">
        <v>1</v>
      </c>
      <c r="BZ9">
        <v>1</v>
      </c>
      <c r="CA9">
        <v>1</v>
      </c>
      <c r="CB9">
        <v>1</v>
      </c>
      <c r="CC9">
        <v>1</v>
      </c>
      <c r="CD9">
        <v>1</v>
      </c>
      <c r="CE9">
        <v>1</v>
      </c>
      <c r="CF9">
        <v>1</v>
      </c>
      <c r="CG9">
        <v>1</v>
      </c>
      <c r="CH9">
        <v>2</v>
      </c>
      <c r="CI9">
        <v>1</v>
      </c>
      <c r="CJ9">
        <v>2</v>
      </c>
      <c r="CK9">
        <v>1</v>
      </c>
      <c r="CL9">
        <v>1</v>
      </c>
      <c r="CM9">
        <v>1</v>
      </c>
      <c r="CN9">
        <v>1</v>
      </c>
      <c r="CO9">
        <v>2</v>
      </c>
      <c r="CP9">
        <v>1</v>
      </c>
      <c r="CQ9">
        <v>1</v>
      </c>
      <c r="CR9">
        <v>1</v>
      </c>
      <c r="CS9">
        <v>1</v>
      </c>
      <c r="CT9">
        <v>1</v>
      </c>
      <c r="CU9">
        <v>1</v>
      </c>
      <c r="CV9">
        <v>1</v>
      </c>
      <c r="CW9">
        <v>1</v>
      </c>
      <c r="CX9">
        <v>3</v>
      </c>
      <c r="CY9">
        <v>1</v>
      </c>
      <c r="CZ9">
        <v>1</v>
      </c>
      <c r="DA9">
        <v>1</v>
      </c>
      <c r="DB9">
        <v>1</v>
      </c>
      <c r="DC9">
        <v>2</v>
      </c>
      <c r="DD9">
        <v>1</v>
      </c>
      <c r="DE9">
        <v>1</v>
      </c>
      <c r="DF9">
        <v>1</v>
      </c>
      <c r="DG9">
        <v>1</v>
      </c>
      <c r="DH9">
        <v>1</v>
      </c>
      <c r="DI9">
        <v>1</v>
      </c>
      <c r="DJ9">
        <v>2</v>
      </c>
      <c r="DK9">
        <v>1</v>
      </c>
      <c r="DL9">
        <v>1</v>
      </c>
      <c r="DM9">
        <v>1</v>
      </c>
      <c r="DN9">
        <v>1</v>
      </c>
      <c r="DO9">
        <v>1</v>
      </c>
      <c r="DP9">
        <v>1</v>
      </c>
      <c r="DQ9">
        <v>1</v>
      </c>
      <c r="DR9">
        <v>2</v>
      </c>
      <c r="DS9">
        <v>1</v>
      </c>
      <c r="DT9">
        <v>1</v>
      </c>
      <c r="DU9">
        <v>1</v>
      </c>
      <c r="DV9">
        <v>2</v>
      </c>
      <c r="DW9">
        <v>1</v>
      </c>
      <c r="DX9">
        <v>1</v>
      </c>
      <c r="DY9">
        <v>1</v>
      </c>
      <c r="DZ9">
        <v>1</v>
      </c>
      <c r="EA9">
        <v>2</v>
      </c>
      <c r="EB9">
        <v>1</v>
      </c>
      <c r="EC9">
        <v>1</v>
      </c>
      <c r="ED9">
        <v>2</v>
      </c>
      <c r="EE9">
        <v>1</v>
      </c>
      <c r="EF9">
        <v>0</v>
      </c>
      <c r="EG9">
        <v>0</v>
      </c>
      <c r="EH9">
        <v>0</v>
      </c>
      <c r="EI9">
        <v>1</v>
      </c>
      <c r="EJ9">
        <v>2</v>
      </c>
      <c r="EK9">
        <v>2</v>
      </c>
      <c r="EL9">
        <v>1</v>
      </c>
      <c r="EM9">
        <v>0</v>
      </c>
      <c r="EN9">
        <v>0</v>
      </c>
      <c r="EO9">
        <v>0</v>
      </c>
      <c r="EP9">
        <v>0</v>
      </c>
      <c r="EQ9">
        <v>1</v>
      </c>
      <c r="ER9">
        <v>0</v>
      </c>
      <c r="ES9">
        <v>1</v>
      </c>
      <c r="ET9">
        <v>1</v>
      </c>
      <c r="EU9">
        <v>1</v>
      </c>
      <c r="EV9">
        <v>1</v>
      </c>
    </row>
    <row r="10" spans="1:152">
      <c r="A10" t="str">
        <v>CUR-USE_5</v>
      </c>
      <c r="B10" t="str">
        <v>Rate your consumption for each of the following products:-Any brand of energy bars (example: PowerBar, LunaBar, Clif Bar)</v>
      </c>
      <c r="C10">
        <v>2</v>
      </c>
      <c r="D10">
        <v>4</v>
      </c>
      <c r="E10">
        <v>2</v>
      </c>
      <c r="F10">
        <v>3</v>
      </c>
      <c r="G10">
        <v>2</v>
      </c>
      <c r="H10">
        <v>4</v>
      </c>
      <c r="I10">
        <v>3</v>
      </c>
      <c r="J10">
        <v>3</v>
      </c>
      <c r="K10">
        <v>2</v>
      </c>
      <c r="L10">
        <v>2</v>
      </c>
      <c r="M10">
        <v>4</v>
      </c>
      <c r="N10">
        <v>2</v>
      </c>
      <c r="O10">
        <v>2</v>
      </c>
      <c r="P10">
        <v>3</v>
      </c>
      <c r="Q10">
        <v>3</v>
      </c>
      <c r="R10">
        <v>4</v>
      </c>
      <c r="S10">
        <v>3</v>
      </c>
      <c r="T10">
        <v>2</v>
      </c>
      <c r="U10">
        <v>5</v>
      </c>
      <c r="V10">
        <v>3</v>
      </c>
      <c r="W10">
        <v>2</v>
      </c>
      <c r="X10">
        <v>3</v>
      </c>
      <c r="Y10">
        <v>1</v>
      </c>
      <c r="Z10">
        <v>2</v>
      </c>
      <c r="AA10">
        <v>2</v>
      </c>
      <c r="AB10">
        <v>1</v>
      </c>
      <c r="AC10">
        <v>2</v>
      </c>
      <c r="AD10">
        <v>2</v>
      </c>
      <c r="AE10">
        <v>1</v>
      </c>
      <c r="AF10">
        <v>2</v>
      </c>
      <c r="AG10">
        <v>2</v>
      </c>
      <c r="AH10">
        <v>2</v>
      </c>
      <c r="AI10">
        <v>3</v>
      </c>
      <c r="AJ10">
        <v>2</v>
      </c>
      <c r="AK10">
        <v>2</v>
      </c>
      <c r="AL10">
        <v>2</v>
      </c>
      <c r="AM10">
        <v>2</v>
      </c>
      <c r="AN10">
        <v>2</v>
      </c>
      <c r="AO10">
        <v>2</v>
      </c>
      <c r="AP10">
        <v>2</v>
      </c>
      <c r="AQ10">
        <v>2</v>
      </c>
      <c r="AR10">
        <v>2</v>
      </c>
      <c r="AS10">
        <v>1</v>
      </c>
      <c r="AT10">
        <v>5</v>
      </c>
      <c r="AU10">
        <v>4</v>
      </c>
      <c r="AV10">
        <v>2</v>
      </c>
      <c r="AW10">
        <v>2</v>
      </c>
      <c r="AX10">
        <v>2</v>
      </c>
      <c r="AY10">
        <v>2</v>
      </c>
      <c r="AZ10">
        <v>3</v>
      </c>
      <c r="BA10">
        <v>2</v>
      </c>
      <c r="BB10">
        <v>2</v>
      </c>
      <c r="BC10">
        <v>2</v>
      </c>
      <c r="BD10">
        <v>2</v>
      </c>
      <c r="BE10">
        <v>2</v>
      </c>
      <c r="BF10">
        <v>3</v>
      </c>
      <c r="BG10">
        <v>2</v>
      </c>
      <c r="BH10">
        <v>4</v>
      </c>
      <c r="BI10">
        <v>2</v>
      </c>
      <c r="BJ10">
        <v>2</v>
      </c>
      <c r="BK10">
        <v>2</v>
      </c>
      <c r="BL10">
        <v>2</v>
      </c>
      <c r="BM10">
        <v>3</v>
      </c>
      <c r="BN10">
        <v>4</v>
      </c>
      <c r="BO10">
        <v>3</v>
      </c>
      <c r="BP10">
        <v>5</v>
      </c>
      <c r="BQ10">
        <v>2</v>
      </c>
      <c r="BR10">
        <v>2</v>
      </c>
      <c r="BS10">
        <v>2</v>
      </c>
      <c r="BT10">
        <v>2</v>
      </c>
      <c r="BU10">
        <v>1</v>
      </c>
      <c r="BV10">
        <v>2</v>
      </c>
      <c r="BW10">
        <v>3</v>
      </c>
      <c r="BX10">
        <v>3</v>
      </c>
      <c r="BY10">
        <v>4</v>
      </c>
      <c r="BZ10">
        <v>2</v>
      </c>
      <c r="CA10">
        <v>2</v>
      </c>
      <c r="CB10">
        <v>4</v>
      </c>
      <c r="CC10">
        <v>2</v>
      </c>
      <c r="CD10">
        <v>2</v>
      </c>
      <c r="CE10">
        <v>2</v>
      </c>
      <c r="CF10">
        <v>2</v>
      </c>
      <c r="CG10">
        <v>2</v>
      </c>
      <c r="CH10">
        <v>2</v>
      </c>
      <c r="CI10">
        <v>1</v>
      </c>
      <c r="CJ10">
        <v>2</v>
      </c>
      <c r="CK10">
        <v>3</v>
      </c>
      <c r="CL10">
        <v>4</v>
      </c>
      <c r="CM10">
        <v>3</v>
      </c>
      <c r="CN10">
        <v>1</v>
      </c>
      <c r="CO10">
        <v>3</v>
      </c>
      <c r="CP10">
        <v>4</v>
      </c>
      <c r="CQ10">
        <v>1</v>
      </c>
      <c r="CR10">
        <v>2</v>
      </c>
      <c r="CS10">
        <v>3</v>
      </c>
      <c r="CT10">
        <v>2</v>
      </c>
      <c r="CU10">
        <v>5</v>
      </c>
      <c r="CV10">
        <v>2</v>
      </c>
      <c r="CW10">
        <v>5</v>
      </c>
      <c r="CX10">
        <v>2</v>
      </c>
      <c r="CY10">
        <v>2</v>
      </c>
      <c r="CZ10">
        <v>1</v>
      </c>
      <c r="DA10">
        <v>2</v>
      </c>
      <c r="DB10">
        <v>4</v>
      </c>
      <c r="DC10">
        <v>3</v>
      </c>
      <c r="DD10">
        <v>1</v>
      </c>
      <c r="DE10">
        <v>4</v>
      </c>
      <c r="DF10">
        <v>5</v>
      </c>
      <c r="DG10">
        <v>1</v>
      </c>
      <c r="DH10">
        <v>3</v>
      </c>
      <c r="DI10">
        <v>3</v>
      </c>
      <c r="DJ10">
        <v>3</v>
      </c>
      <c r="DK10">
        <v>2</v>
      </c>
      <c r="DL10">
        <v>3</v>
      </c>
      <c r="DM10">
        <v>2</v>
      </c>
      <c r="DN10">
        <v>2</v>
      </c>
      <c r="DO10">
        <v>1</v>
      </c>
      <c r="DP10">
        <v>2</v>
      </c>
      <c r="DQ10">
        <v>2</v>
      </c>
      <c r="DR10">
        <v>1</v>
      </c>
      <c r="DS10">
        <v>2</v>
      </c>
      <c r="DT10">
        <v>3</v>
      </c>
      <c r="DU10">
        <v>2</v>
      </c>
      <c r="DV10">
        <v>3</v>
      </c>
      <c r="DW10">
        <v>2</v>
      </c>
      <c r="DX10">
        <v>2</v>
      </c>
      <c r="DY10">
        <v>3</v>
      </c>
      <c r="DZ10">
        <v>2</v>
      </c>
      <c r="EA10">
        <v>1</v>
      </c>
      <c r="EB10">
        <v>1</v>
      </c>
      <c r="EC10">
        <v>4</v>
      </c>
      <c r="ED10">
        <v>3</v>
      </c>
      <c r="EE10">
        <v>3</v>
      </c>
      <c r="EF10">
        <v>0</v>
      </c>
      <c r="EG10">
        <v>0</v>
      </c>
      <c r="EH10">
        <v>0</v>
      </c>
      <c r="EI10">
        <v>5</v>
      </c>
      <c r="EJ10">
        <v>3</v>
      </c>
      <c r="EK10">
        <v>4</v>
      </c>
      <c r="EL10">
        <v>2</v>
      </c>
      <c r="EM10">
        <v>0</v>
      </c>
      <c r="EN10">
        <v>0</v>
      </c>
      <c r="EO10">
        <v>0</v>
      </c>
      <c r="EP10">
        <v>0</v>
      </c>
      <c r="EQ10">
        <v>2</v>
      </c>
      <c r="ER10">
        <v>0</v>
      </c>
      <c r="ES10">
        <v>3</v>
      </c>
      <c r="ET10">
        <v>2</v>
      </c>
      <c r="EU10">
        <v>2</v>
      </c>
      <c r="EV10">
        <v>2</v>
      </c>
    </row>
    <row r="11" spans="1:152">
      <c r="A11" t="str">
        <v>Q16</v>
      </c>
      <c r="B11" t="str">
        <v>On each of the following pages, you will see a short description of a new product concept for a food...</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c r="BV11">
        <v>1</v>
      </c>
      <c r="BW11">
        <v>1</v>
      </c>
      <c r="BX11">
        <v>1</v>
      </c>
      <c r="BY11">
        <v>1</v>
      </c>
      <c r="BZ11">
        <v>1</v>
      </c>
      <c r="CA11">
        <v>1</v>
      </c>
      <c r="CB11">
        <v>1</v>
      </c>
      <c r="CC11">
        <v>1</v>
      </c>
      <c r="CD11">
        <v>1</v>
      </c>
      <c r="CE11">
        <v>1</v>
      </c>
      <c r="CF11">
        <v>1</v>
      </c>
      <c r="CG11">
        <v>1</v>
      </c>
      <c r="CH11">
        <v>1</v>
      </c>
      <c r="CI11">
        <v>1</v>
      </c>
      <c r="CJ11">
        <v>1</v>
      </c>
      <c r="CK11">
        <v>1</v>
      </c>
      <c r="CL11">
        <v>1</v>
      </c>
      <c r="CM11">
        <v>1</v>
      </c>
      <c r="CN11">
        <v>1</v>
      </c>
      <c r="CO11">
        <v>1</v>
      </c>
      <c r="CP11">
        <v>1</v>
      </c>
      <c r="CQ11">
        <v>1</v>
      </c>
      <c r="CR11">
        <v>1</v>
      </c>
      <c r="CS11">
        <v>1</v>
      </c>
      <c r="CT11">
        <v>1</v>
      </c>
      <c r="CU11">
        <v>1</v>
      </c>
      <c r="CV11">
        <v>1</v>
      </c>
      <c r="CW11">
        <v>1</v>
      </c>
      <c r="CX11">
        <v>1</v>
      </c>
      <c r="CY11">
        <v>1</v>
      </c>
      <c r="CZ11">
        <v>1</v>
      </c>
      <c r="DA11">
        <v>1</v>
      </c>
      <c r="DB11">
        <v>1</v>
      </c>
      <c r="DC11">
        <v>1</v>
      </c>
      <c r="DD11">
        <v>1</v>
      </c>
      <c r="DE11">
        <v>1</v>
      </c>
      <c r="DF11">
        <v>1</v>
      </c>
      <c r="DG11">
        <v>1</v>
      </c>
      <c r="DH11">
        <v>1</v>
      </c>
      <c r="DI11">
        <v>1</v>
      </c>
      <c r="DJ11">
        <v>1</v>
      </c>
      <c r="DK11">
        <v>1</v>
      </c>
      <c r="DL11">
        <v>1</v>
      </c>
      <c r="DM11">
        <v>1</v>
      </c>
      <c r="DN11">
        <v>1</v>
      </c>
      <c r="DO11">
        <v>1</v>
      </c>
      <c r="DP11">
        <v>1</v>
      </c>
      <c r="DQ11">
        <v>1</v>
      </c>
      <c r="DR11">
        <v>1</v>
      </c>
      <c r="DS11">
        <v>1</v>
      </c>
      <c r="DT11">
        <v>1</v>
      </c>
      <c r="DU11">
        <v>1</v>
      </c>
      <c r="DV11">
        <v>1</v>
      </c>
      <c r="DW11">
        <v>1</v>
      </c>
      <c r="DX11">
        <v>1</v>
      </c>
      <c r="DY11">
        <v>1</v>
      </c>
      <c r="DZ11">
        <v>1</v>
      </c>
      <c r="EA11">
        <v>1</v>
      </c>
      <c r="EB11">
        <v>1</v>
      </c>
      <c r="EC11">
        <v>1</v>
      </c>
      <c r="ED11">
        <v>1</v>
      </c>
      <c r="EE11">
        <v>1</v>
      </c>
      <c r="EF11">
        <v>0</v>
      </c>
      <c r="EG11">
        <v>0</v>
      </c>
      <c r="EH11">
        <v>0</v>
      </c>
      <c r="EI11">
        <v>1</v>
      </c>
      <c r="EJ11">
        <v>0</v>
      </c>
      <c r="EK11">
        <v>1</v>
      </c>
      <c r="EL11">
        <v>1</v>
      </c>
      <c r="EM11">
        <v>1</v>
      </c>
      <c r="EN11">
        <v>1</v>
      </c>
      <c r="EO11">
        <v>1</v>
      </c>
      <c r="EP11">
        <v>1</v>
      </c>
      <c r="EQ11">
        <v>1</v>
      </c>
      <c r="ER11">
        <v>1</v>
      </c>
      <c r="ES11">
        <v>1</v>
      </c>
      <c r="ET11">
        <v>1</v>
      </c>
      <c r="EU11">
        <v>1</v>
      </c>
      <c r="EV11">
        <v>1</v>
      </c>
    </row>
    <row r="12" spans="1:152">
      <c r="A12" t="str">
        <v>INTENT(1)</v>
      </c>
      <c r="B12" t="str">
        <v>${lm://Field/1} /  /  ${lm://Field/2} /  /   /  /  Based on the description, how likely would you be to purchase... (1)</v>
      </c>
      <c r="C12">
        <v>3</v>
      </c>
      <c r="D12">
        <v>3</v>
      </c>
      <c r="E12">
        <v>4</v>
      </c>
      <c r="F12">
        <v>3</v>
      </c>
      <c r="G12">
        <v>2</v>
      </c>
      <c r="H12">
        <v>3</v>
      </c>
      <c r="I12">
        <v>2</v>
      </c>
      <c r="J12">
        <v>3</v>
      </c>
      <c r="K12">
        <v>4</v>
      </c>
      <c r="L12">
        <v>5</v>
      </c>
      <c r="M12">
        <v>3</v>
      </c>
      <c r="N12">
        <v>2</v>
      </c>
      <c r="O12">
        <v>4</v>
      </c>
      <c r="P12">
        <v>4</v>
      </c>
      <c r="Q12">
        <v>3</v>
      </c>
      <c r="R12">
        <v>1</v>
      </c>
      <c r="S12">
        <v>2</v>
      </c>
      <c r="T12">
        <v>1</v>
      </c>
      <c r="U12">
        <v>3</v>
      </c>
      <c r="V12">
        <v>3</v>
      </c>
      <c r="W12">
        <v>5</v>
      </c>
      <c r="X12">
        <v>1</v>
      </c>
      <c r="Y12">
        <v>1</v>
      </c>
      <c r="Z12">
        <v>3</v>
      </c>
      <c r="AA12">
        <v>2</v>
      </c>
      <c r="AB12">
        <v>2</v>
      </c>
      <c r="AC12">
        <v>4</v>
      </c>
      <c r="AD12">
        <v>2</v>
      </c>
      <c r="AE12">
        <v>2</v>
      </c>
      <c r="AF12">
        <v>1</v>
      </c>
      <c r="AG12">
        <v>3</v>
      </c>
      <c r="AH12">
        <v>3</v>
      </c>
      <c r="AI12">
        <v>3</v>
      </c>
      <c r="AJ12">
        <v>4</v>
      </c>
      <c r="AK12">
        <v>3</v>
      </c>
      <c r="AL12">
        <v>1</v>
      </c>
      <c r="AM12">
        <v>3</v>
      </c>
      <c r="AN12">
        <v>2</v>
      </c>
      <c r="AO12">
        <v>1</v>
      </c>
      <c r="AP12">
        <v>3</v>
      </c>
      <c r="AQ12">
        <v>5</v>
      </c>
      <c r="AR12">
        <v>4</v>
      </c>
      <c r="AS12">
        <v>2</v>
      </c>
      <c r="AT12">
        <v>2</v>
      </c>
      <c r="AU12">
        <v>1</v>
      </c>
      <c r="AV12">
        <v>1</v>
      </c>
      <c r="AW12">
        <v>2</v>
      </c>
      <c r="AX12">
        <v>1</v>
      </c>
      <c r="AY12">
        <v>1</v>
      </c>
      <c r="AZ12">
        <v>1</v>
      </c>
      <c r="BA12">
        <v>3</v>
      </c>
      <c r="BB12">
        <v>3</v>
      </c>
      <c r="BC12">
        <v>3</v>
      </c>
      <c r="BD12">
        <v>1</v>
      </c>
      <c r="BE12">
        <v>3</v>
      </c>
      <c r="BF12">
        <v>1</v>
      </c>
      <c r="BG12">
        <v>2</v>
      </c>
      <c r="BH12">
        <v>2</v>
      </c>
      <c r="BI12">
        <v>2</v>
      </c>
      <c r="BJ12">
        <v>3</v>
      </c>
      <c r="BK12">
        <v>1</v>
      </c>
      <c r="BL12">
        <v>2</v>
      </c>
      <c r="BM12">
        <v>4</v>
      </c>
      <c r="BN12">
        <v>2</v>
      </c>
      <c r="BO12">
        <v>3</v>
      </c>
      <c r="BP12">
        <v>1</v>
      </c>
      <c r="BQ12">
        <v>3</v>
      </c>
      <c r="BR12">
        <v>1</v>
      </c>
      <c r="BS12">
        <v>4</v>
      </c>
      <c r="BT12">
        <v>4</v>
      </c>
      <c r="BU12">
        <v>2</v>
      </c>
      <c r="BV12">
        <v>1</v>
      </c>
      <c r="BW12">
        <v>4</v>
      </c>
      <c r="BX12">
        <v>1</v>
      </c>
      <c r="BY12">
        <v>1</v>
      </c>
      <c r="BZ12">
        <v>1</v>
      </c>
      <c r="CA12">
        <v>1</v>
      </c>
      <c r="CB12">
        <v>1</v>
      </c>
      <c r="CC12">
        <v>4</v>
      </c>
      <c r="CD12">
        <v>1</v>
      </c>
      <c r="CE12">
        <v>2</v>
      </c>
      <c r="CF12">
        <v>4</v>
      </c>
      <c r="CG12">
        <v>3</v>
      </c>
      <c r="CH12">
        <v>5</v>
      </c>
      <c r="CI12">
        <v>1</v>
      </c>
      <c r="CJ12">
        <v>1</v>
      </c>
      <c r="CK12">
        <v>3</v>
      </c>
      <c r="CL12">
        <v>2</v>
      </c>
      <c r="CM12">
        <v>2</v>
      </c>
      <c r="CN12">
        <v>1</v>
      </c>
      <c r="CO12">
        <v>4</v>
      </c>
      <c r="CP12">
        <v>3</v>
      </c>
      <c r="CQ12">
        <v>3</v>
      </c>
      <c r="CR12">
        <v>2</v>
      </c>
      <c r="CS12">
        <v>4</v>
      </c>
      <c r="CT12">
        <v>3</v>
      </c>
      <c r="CU12">
        <v>2</v>
      </c>
      <c r="CV12">
        <v>3</v>
      </c>
      <c r="CW12">
        <v>1</v>
      </c>
      <c r="CX12">
        <v>3</v>
      </c>
      <c r="CY12">
        <v>4</v>
      </c>
      <c r="CZ12">
        <v>1</v>
      </c>
      <c r="DA12">
        <v>3</v>
      </c>
      <c r="DB12">
        <v>4</v>
      </c>
      <c r="DC12">
        <v>3</v>
      </c>
      <c r="DD12">
        <v>3</v>
      </c>
      <c r="DE12">
        <v>2</v>
      </c>
      <c r="DF12">
        <v>1</v>
      </c>
      <c r="DG12">
        <v>3</v>
      </c>
      <c r="DH12">
        <v>3</v>
      </c>
      <c r="DI12">
        <v>1</v>
      </c>
      <c r="DJ12">
        <v>5</v>
      </c>
      <c r="DK12">
        <v>3</v>
      </c>
      <c r="DL12">
        <v>4</v>
      </c>
      <c r="DM12">
        <v>4</v>
      </c>
      <c r="DN12">
        <v>2</v>
      </c>
      <c r="DO12">
        <v>3</v>
      </c>
      <c r="DP12">
        <v>5</v>
      </c>
      <c r="DQ12">
        <v>2</v>
      </c>
      <c r="DR12">
        <v>4</v>
      </c>
      <c r="DS12">
        <v>2</v>
      </c>
      <c r="DT12">
        <v>2</v>
      </c>
      <c r="DU12">
        <v>1</v>
      </c>
      <c r="DV12">
        <v>3</v>
      </c>
      <c r="DW12">
        <v>2</v>
      </c>
      <c r="DX12">
        <v>1</v>
      </c>
      <c r="DY12">
        <v>1</v>
      </c>
      <c r="DZ12">
        <v>1</v>
      </c>
      <c r="EA12">
        <v>4</v>
      </c>
      <c r="EB12">
        <v>3</v>
      </c>
      <c r="EC12">
        <v>3</v>
      </c>
      <c r="ED12">
        <v>2</v>
      </c>
      <c r="EE12">
        <v>2</v>
      </c>
      <c r="EF12">
        <v>0</v>
      </c>
      <c r="EG12">
        <v>0</v>
      </c>
      <c r="EH12">
        <v>0</v>
      </c>
      <c r="EI12">
        <v>2</v>
      </c>
      <c r="EJ12">
        <v>0</v>
      </c>
      <c r="EK12">
        <v>3</v>
      </c>
      <c r="EL12">
        <v>2</v>
      </c>
      <c r="EM12">
        <v>0</v>
      </c>
      <c r="EN12">
        <v>0</v>
      </c>
      <c r="EO12">
        <v>0</v>
      </c>
      <c r="EP12">
        <v>4</v>
      </c>
      <c r="EQ12">
        <v>1</v>
      </c>
      <c r="ER12">
        <v>0</v>
      </c>
      <c r="ES12">
        <v>1</v>
      </c>
      <c r="ET12">
        <v>4</v>
      </c>
      <c r="EU12">
        <v>0</v>
      </c>
      <c r="EV12">
        <v>0</v>
      </c>
    </row>
    <row r="13" spans="1:152">
      <c r="A13" t="str">
        <v>INTENT(2)</v>
      </c>
      <c r="B13" t="str">
        <v>${lm://Field/1} /  /  ${lm://Field/2} /  /   /  /  Based on the description, how likely would you be to purchase... (2)</v>
      </c>
      <c r="C13">
        <v>4</v>
      </c>
      <c r="D13">
        <v>3</v>
      </c>
      <c r="E13">
        <v>3</v>
      </c>
      <c r="F13">
        <v>2</v>
      </c>
      <c r="G13">
        <v>2</v>
      </c>
      <c r="H13">
        <v>1</v>
      </c>
      <c r="I13">
        <v>2</v>
      </c>
      <c r="J13">
        <v>1</v>
      </c>
      <c r="K13">
        <v>3</v>
      </c>
      <c r="L13">
        <v>4</v>
      </c>
      <c r="M13">
        <v>3</v>
      </c>
      <c r="N13">
        <v>1</v>
      </c>
      <c r="O13">
        <v>4</v>
      </c>
      <c r="P13">
        <v>4</v>
      </c>
      <c r="Q13">
        <v>3</v>
      </c>
      <c r="R13">
        <v>1</v>
      </c>
      <c r="S13">
        <v>1</v>
      </c>
      <c r="T13">
        <v>1</v>
      </c>
      <c r="U13">
        <v>4</v>
      </c>
      <c r="V13">
        <v>1</v>
      </c>
      <c r="W13">
        <v>1</v>
      </c>
      <c r="X13">
        <v>1</v>
      </c>
      <c r="Y13">
        <v>1</v>
      </c>
      <c r="Z13">
        <v>2</v>
      </c>
      <c r="AA13">
        <v>3</v>
      </c>
      <c r="AB13">
        <v>1</v>
      </c>
      <c r="AC13">
        <v>2</v>
      </c>
      <c r="AD13">
        <v>2</v>
      </c>
      <c r="AE13">
        <v>1</v>
      </c>
      <c r="AF13">
        <v>1</v>
      </c>
      <c r="AG13">
        <v>2</v>
      </c>
      <c r="AH13">
        <v>2</v>
      </c>
      <c r="AI13">
        <v>1</v>
      </c>
      <c r="AJ13">
        <v>3</v>
      </c>
      <c r="AK13">
        <v>3</v>
      </c>
      <c r="AL13">
        <v>1</v>
      </c>
      <c r="AM13">
        <v>3</v>
      </c>
      <c r="AN13">
        <v>3</v>
      </c>
      <c r="AO13">
        <v>1</v>
      </c>
      <c r="AP13">
        <v>3</v>
      </c>
      <c r="AQ13">
        <v>5</v>
      </c>
      <c r="AR13">
        <v>2</v>
      </c>
      <c r="AS13">
        <v>1</v>
      </c>
      <c r="AT13">
        <v>1</v>
      </c>
      <c r="AU13">
        <v>1</v>
      </c>
      <c r="AV13">
        <v>1</v>
      </c>
      <c r="AW13">
        <v>1</v>
      </c>
      <c r="AX13">
        <v>1</v>
      </c>
      <c r="AY13">
        <v>1</v>
      </c>
      <c r="AZ13">
        <v>1</v>
      </c>
      <c r="BA13">
        <v>2</v>
      </c>
      <c r="BB13">
        <v>2</v>
      </c>
      <c r="BC13">
        <v>3</v>
      </c>
      <c r="BD13">
        <v>1</v>
      </c>
      <c r="BE13">
        <v>2</v>
      </c>
      <c r="BF13">
        <v>1</v>
      </c>
      <c r="BG13">
        <v>2</v>
      </c>
      <c r="BH13">
        <v>2</v>
      </c>
      <c r="BI13">
        <v>2</v>
      </c>
      <c r="BJ13">
        <v>1</v>
      </c>
      <c r="BK13">
        <v>1</v>
      </c>
      <c r="BL13">
        <v>3</v>
      </c>
      <c r="BM13">
        <v>2</v>
      </c>
      <c r="BN13">
        <v>1</v>
      </c>
      <c r="BO13">
        <v>2</v>
      </c>
      <c r="BP13">
        <v>1</v>
      </c>
      <c r="BQ13">
        <v>3</v>
      </c>
      <c r="BR13">
        <v>1</v>
      </c>
      <c r="BS13">
        <v>2</v>
      </c>
      <c r="BT13">
        <v>2</v>
      </c>
      <c r="BU13">
        <v>2</v>
      </c>
      <c r="BV13">
        <v>1</v>
      </c>
      <c r="BW13">
        <v>1</v>
      </c>
      <c r="BX13">
        <v>1</v>
      </c>
      <c r="BY13">
        <v>1</v>
      </c>
      <c r="BZ13">
        <v>1</v>
      </c>
      <c r="CA13">
        <v>2</v>
      </c>
      <c r="CB13">
        <v>1</v>
      </c>
      <c r="CC13">
        <v>2</v>
      </c>
      <c r="CD13">
        <v>1</v>
      </c>
      <c r="CE13">
        <v>2</v>
      </c>
      <c r="CF13">
        <v>3</v>
      </c>
      <c r="CG13">
        <v>2</v>
      </c>
      <c r="CH13">
        <v>2</v>
      </c>
      <c r="CI13">
        <v>1</v>
      </c>
      <c r="CJ13">
        <v>1</v>
      </c>
      <c r="CK13">
        <v>2</v>
      </c>
      <c r="CL13">
        <v>1</v>
      </c>
      <c r="CM13">
        <v>2</v>
      </c>
      <c r="CN13">
        <v>1</v>
      </c>
      <c r="CO13">
        <v>2</v>
      </c>
      <c r="CP13">
        <v>1</v>
      </c>
      <c r="CQ13">
        <v>1</v>
      </c>
      <c r="CR13">
        <v>2</v>
      </c>
      <c r="CS13">
        <v>4</v>
      </c>
      <c r="CT13">
        <v>1</v>
      </c>
      <c r="CU13">
        <v>2</v>
      </c>
      <c r="CV13">
        <v>2</v>
      </c>
      <c r="CW13">
        <v>1</v>
      </c>
      <c r="CX13">
        <v>3</v>
      </c>
      <c r="CY13">
        <v>3</v>
      </c>
      <c r="CZ13">
        <v>1</v>
      </c>
      <c r="DA13">
        <v>2</v>
      </c>
      <c r="DB13">
        <v>2</v>
      </c>
      <c r="DC13">
        <v>3</v>
      </c>
      <c r="DD13">
        <v>2</v>
      </c>
      <c r="DE13">
        <v>2</v>
      </c>
      <c r="DF13">
        <v>1</v>
      </c>
      <c r="DG13">
        <v>3</v>
      </c>
      <c r="DH13">
        <v>2</v>
      </c>
      <c r="DI13">
        <v>1</v>
      </c>
      <c r="DJ13">
        <v>5</v>
      </c>
      <c r="DK13">
        <v>2</v>
      </c>
      <c r="DL13">
        <v>2</v>
      </c>
      <c r="DM13">
        <v>3</v>
      </c>
      <c r="DN13">
        <v>1</v>
      </c>
      <c r="DO13">
        <v>2</v>
      </c>
      <c r="DP13">
        <v>1</v>
      </c>
      <c r="DQ13">
        <v>2</v>
      </c>
      <c r="DR13">
        <v>2</v>
      </c>
      <c r="DS13">
        <v>1</v>
      </c>
      <c r="DT13">
        <v>3</v>
      </c>
      <c r="DU13">
        <v>1</v>
      </c>
      <c r="DV13">
        <v>3</v>
      </c>
      <c r="DW13">
        <v>1</v>
      </c>
      <c r="DX13">
        <v>2</v>
      </c>
      <c r="DY13">
        <v>2</v>
      </c>
      <c r="DZ13">
        <v>1</v>
      </c>
      <c r="EA13">
        <v>2</v>
      </c>
      <c r="EB13">
        <v>1</v>
      </c>
      <c r="EC13">
        <v>2</v>
      </c>
      <c r="ED13">
        <v>2</v>
      </c>
      <c r="EE13">
        <v>1</v>
      </c>
      <c r="EF13">
        <v>0</v>
      </c>
      <c r="EG13">
        <v>0</v>
      </c>
      <c r="EH13">
        <v>0</v>
      </c>
      <c r="EI13">
        <v>2</v>
      </c>
      <c r="EJ13">
        <v>1</v>
      </c>
      <c r="EK13">
        <v>2</v>
      </c>
      <c r="EL13">
        <v>2</v>
      </c>
      <c r="EM13">
        <v>0</v>
      </c>
      <c r="EN13">
        <v>0</v>
      </c>
      <c r="EO13">
        <v>0</v>
      </c>
      <c r="EP13">
        <v>2</v>
      </c>
      <c r="EQ13">
        <v>1</v>
      </c>
      <c r="ER13">
        <v>0</v>
      </c>
      <c r="ES13">
        <v>1</v>
      </c>
      <c r="ET13">
        <v>4</v>
      </c>
      <c r="EU13">
        <v>0</v>
      </c>
      <c r="EV13">
        <v>2</v>
      </c>
    </row>
    <row r="14" spans="1:152">
      <c r="A14" t="str">
        <v>INTENT(3)</v>
      </c>
      <c r="B14" t="str">
        <v>${lm://Field/1} /  /  ${lm://Field/2} /  /   /  /  Based on the description, how likely would you be to purchase... (3)</v>
      </c>
      <c r="C14">
        <v>3</v>
      </c>
      <c r="D14">
        <v>3</v>
      </c>
      <c r="E14">
        <v>4</v>
      </c>
      <c r="F14">
        <v>2</v>
      </c>
      <c r="G14">
        <v>2</v>
      </c>
      <c r="H14">
        <v>3</v>
      </c>
      <c r="I14">
        <v>2</v>
      </c>
      <c r="J14">
        <v>3</v>
      </c>
      <c r="K14">
        <v>4</v>
      </c>
      <c r="L14">
        <v>5</v>
      </c>
      <c r="M14">
        <v>4</v>
      </c>
      <c r="N14">
        <v>2</v>
      </c>
      <c r="O14">
        <v>4</v>
      </c>
      <c r="P14">
        <v>4</v>
      </c>
      <c r="Q14">
        <v>4</v>
      </c>
      <c r="R14">
        <v>2</v>
      </c>
      <c r="S14">
        <v>2</v>
      </c>
      <c r="T14">
        <v>1</v>
      </c>
      <c r="U14">
        <v>3</v>
      </c>
      <c r="V14">
        <v>3</v>
      </c>
      <c r="W14">
        <v>4</v>
      </c>
      <c r="X14">
        <v>3</v>
      </c>
      <c r="Y14">
        <v>1</v>
      </c>
      <c r="Z14">
        <v>3</v>
      </c>
      <c r="AA14">
        <v>2</v>
      </c>
      <c r="AB14">
        <v>3</v>
      </c>
      <c r="AC14">
        <v>4</v>
      </c>
      <c r="AD14">
        <v>2</v>
      </c>
      <c r="AE14">
        <v>2</v>
      </c>
      <c r="AF14">
        <v>1</v>
      </c>
      <c r="AG14">
        <v>3</v>
      </c>
      <c r="AH14">
        <v>3</v>
      </c>
      <c r="AI14">
        <v>2</v>
      </c>
      <c r="AJ14">
        <v>3</v>
      </c>
      <c r="AK14">
        <v>4</v>
      </c>
      <c r="AL14">
        <v>2</v>
      </c>
      <c r="AM14">
        <v>4</v>
      </c>
      <c r="AN14">
        <v>4</v>
      </c>
      <c r="AO14">
        <v>1</v>
      </c>
      <c r="AP14">
        <v>3</v>
      </c>
      <c r="AQ14">
        <v>4</v>
      </c>
      <c r="AR14">
        <v>5</v>
      </c>
      <c r="AS14">
        <v>1</v>
      </c>
      <c r="AT14">
        <v>2</v>
      </c>
      <c r="AU14">
        <v>1</v>
      </c>
      <c r="AV14">
        <v>2</v>
      </c>
      <c r="AW14">
        <v>3</v>
      </c>
      <c r="AX14">
        <v>2</v>
      </c>
      <c r="AY14">
        <v>1</v>
      </c>
      <c r="AZ14">
        <v>1</v>
      </c>
      <c r="BA14">
        <v>3</v>
      </c>
      <c r="BB14">
        <v>3</v>
      </c>
      <c r="BC14">
        <v>3</v>
      </c>
      <c r="BD14">
        <v>1</v>
      </c>
      <c r="BE14">
        <v>3</v>
      </c>
      <c r="BF14">
        <v>1</v>
      </c>
      <c r="BG14">
        <v>2</v>
      </c>
      <c r="BH14">
        <v>3</v>
      </c>
      <c r="BI14">
        <v>2</v>
      </c>
      <c r="BJ14">
        <v>1</v>
      </c>
      <c r="BK14">
        <v>1</v>
      </c>
      <c r="BL14">
        <v>3</v>
      </c>
      <c r="BM14">
        <v>4</v>
      </c>
      <c r="BN14">
        <v>3</v>
      </c>
      <c r="BO14">
        <v>2</v>
      </c>
      <c r="BP14">
        <v>1</v>
      </c>
      <c r="BQ14">
        <v>1</v>
      </c>
      <c r="BR14">
        <v>1</v>
      </c>
      <c r="BS14">
        <v>3</v>
      </c>
      <c r="BT14">
        <v>4</v>
      </c>
      <c r="BU14">
        <v>2</v>
      </c>
      <c r="BV14">
        <v>2</v>
      </c>
      <c r="BW14">
        <v>4</v>
      </c>
      <c r="BX14">
        <v>1</v>
      </c>
      <c r="BY14">
        <v>1</v>
      </c>
      <c r="BZ14">
        <v>2</v>
      </c>
      <c r="CA14">
        <v>2</v>
      </c>
      <c r="CB14">
        <v>2</v>
      </c>
      <c r="CC14">
        <v>2</v>
      </c>
      <c r="CD14">
        <v>1</v>
      </c>
      <c r="CE14">
        <v>2</v>
      </c>
      <c r="CF14">
        <v>2</v>
      </c>
      <c r="CG14">
        <v>3</v>
      </c>
      <c r="CH14">
        <v>5</v>
      </c>
      <c r="CI14">
        <v>2</v>
      </c>
      <c r="CJ14">
        <v>1</v>
      </c>
      <c r="CK14">
        <v>4</v>
      </c>
      <c r="CL14">
        <v>2</v>
      </c>
      <c r="CM14">
        <v>2</v>
      </c>
      <c r="CN14">
        <v>1</v>
      </c>
      <c r="CO14">
        <v>3</v>
      </c>
      <c r="CP14">
        <v>1</v>
      </c>
      <c r="CQ14">
        <v>4</v>
      </c>
      <c r="CR14">
        <v>2</v>
      </c>
      <c r="CS14">
        <v>4</v>
      </c>
      <c r="CT14">
        <v>3</v>
      </c>
      <c r="CU14">
        <v>2</v>
      </c>
      <c r="CV14">
        <v>3</v>
      </c>
      <c r="CW14">
        <v>1</v>
      </c>
      <c r="CX14">
        <v>3</v>
      </c>
      <c r="CY14">
        <v>4</v>
      </c>
      <c r="CZ14">
        <v>1</v>
      </c>
      <c r="DA14">
        <v>3</v>
      </c>
      <c r="DB14">
        <v>5</v>
      </c>
      <c r="DC14">
        <v>3</v>
      </c>
      <c r="DD14">
        <v>2</v>
      </c>
      <c r="DE14">
        <v>3</v>
      </c>
      <c r="DF14">
        <v>1</v>
      </c>
      <c r="DG14">
        <v>3</v>
      </c>
      <c r="DH14">
        <v>2</v>
      </c>
      <c r="DI14">
        <v>1</v>
      </c>
      <c r="DJ14">
        <v>5</v>
      </c>
      <c r="DK14">
        <v>3</v>
      </c>
      <c r="DL14">
        <v>4</v>
      </c>
      <c r="DM14">
        <v>4</v>
      </c>
      <c r="DN14">
        <v>2</v>
      </c>
      <c r="DO14">
        <v>3</v>
      </c>
      <c r="DP14">
        <v>5</v>
      </c>
      <c r="DQ14">
        <v>2</v>
      </c>
      <c r="DR14">
        <v>2</v>
      </c>
      <c r="DS14">
        <v>2</v>
      </c>
      <c r="DT14">
        <v>5</v>
      </c>
      <c r="DU14">
        <v>1</v>
      </c>
      <c r="DV14">
        <v>4</v>
      </c>
      <c r="DW14">
        <v>1</v>
      </c>
      <c r="DX14">
        <v>2</v>
      </c>
      <c r="DY14">
        <v>2</v>
      </c>
      <c r="DZ14">
        <v>1</v>
      </c>
      <c r="EA14">
        <v>5</v>
      </c>
      <c r="EB14">
        <v>3</v>
      </c>
      <c r="EC14">
        <v>3</v>
      </c>
      <c r="ED14">
        <v>2</v>
      </c>
      <c r="EE14">
        <v>2</v>
      </c>
      <c r="EF14">
        <v>0</v>
      </c>
      <c r="EG14">
        <v>0</v>
      </c>
      <c r="EH14">
        <v>0</v>
      </c>
      <c r="EI14">
        <v>3</v>
      </c>
      <c r="EJ14">
        <v>0</v>
      </c>
      <c r="EK14">
        <v>2</v>
      </c>
      <c r="EL14">
        <v>3</v>
      </c>
      <c r="EM14">
        <v>0</v>
      </c>
      <c r="EN14">
        <v>0</v>
      </c>
      <c r="EO14">
        <v>0</v>
      </c>
      <c r="EP14">
        <v>3</v>
      </c>
      <c r="EQ14">
        <v>1</v>
      </c>
      <c r="ER14">
        <v>0</v>
      </c>
      <c r="ES14">
        <v>1</v>
      </c>
      <c r="ET14">
        <v>5</v>
      </c>
      <c r="EU14">
        <v>0</v>
      </c>
      <c r="EV14">
        <v>0</v>
      </c>
    </row>
    <row r="15" spans="1:152">
      <c r="A15" t="str">
        <v>INTENT(4)</v>
      </c>
      <c r="B15" t="str">
        <v>${lm://Field/1} /  /  ${lm://Field/2} /  /   /  /  Based on the description, how likely would you be to purchase... (4)</v>
      </c>
      <c r="C15">
        <v>2</v>
      </c>
      <c r="D15">
        <v>1</v>
      </c>
      <c r="E15">
        <v>2</v>
      </c>
      <c r="F15">
        <v>2</v>
      </c>
      <c r="G15">
        <v>2</v>
      </c>
      <c r="H15">
        <v>1</v>
      </c>
      <c r="I15">
        <v>2</v>
      </c>
      <c r="J15">
        <v>1</v>
      </c>
      <c r="K15">
        <v>1</v>
      </c>
      <c r="L15">
        <v>3</v>
      </c>
      <c r="M15">
        <v>3</v>
      </c>
      <c r="N15">
        <v>3</v>
      </c>
      <c r="O15">
        <v>4</v>
      </c>
      <c r="P15">
        <v>1</v>
      </c>
      <c r="Q15">
        <v>3</v>
      </c>
      <c r="R15">
        <v>1</v>
      </c>
      <c r="S15">
        <v>1</v>
      </c>
      <c r="T15">
        <v>1</v>
      </c>
      <c r="U15">
        <v>1</v>
      </c>
      <c r="V15">
        <v>1</v>
      </c>
      <c r="W15">
        <v>1</v>
      </c>
      <c r="X15">
        <v>1</v>
      </c>
      <c r="Y15">
        <v>1</v>
      </c>
      <c r="Z15">
        <v>1</v>
      </c>
      <c r="AA15">
        <v>3</v>
      </c>
      <c r="AB15">
        <v>1</v>
      </c>
      <c r="AC15">
        <v>1</v>
      </c>
      <c r="AD15">
        <v>2</v>
      </c>
      <c r="AE15">
        <v>1</v>
      </c>
      <c r="AF15">
        <v>1</v>
      </c>
      <c r="AG15">
        <v>3</v>
      </c>
      <c r="AH15">
        <v>1</v>
      </c>
      <c r="AI15">
        <v>1</v>
      </c>
      <c r="AJ15">
        <v>2</v>
      </c>
      <c r="AK15">
        <v>1</v>
      </c>
      <c r="AL15">
        <v>1</v>
      </c>
      <c r="AM15">
        <v>1</v>
      </c>
      <c r="AN15">
        <v>1</v>
      </c>
      <c r="AO15">
        <v>1</v>
      </c>
      <c r="AP15">
        <v>1</v>
      </c>
      <c r="AQ15">
        <v>5</v>
      </c>
      <c r="AR15">
        <v>1</v>
      </c>
      <c r="AS15">
        <v>1</v>
      </c>
      <c r="AT15">
        <v>1</v>
      </c>
      <c r="AU15">
        <v>1</v>
      </c>
      <c r="AV15">
        <v>1</v>
      </c>
      <c r="AW15">
        <v>1</v>
      </c>
      <c r="AX15">
        <v>1</v>
      </c>
      <c r="AY15">
        <v>1</v>
      </c>
      <c r="AZ15">
        <v>1</v>
      </c>
      <c r="BA15">
        <v>1</v>
      </c>
      <c r="BB15">
        <v>1</v>
      </c>
      <c r="BC15">
        <v>1</v>
      </c>
      <c r="BD15">
        <v>1</v>
      </c>
      <c r="BE15">
        <v>2</v>
      </c>
      <c r="BF15">
        <v>1</v>
      </c>
      <c r="BG15">
        <v>1</v>
      </c>
      <c r="BH15">
        <v>1</v>
      </c>
      <c r="BI15">
        <v>2</v>
      </c>
      <c r="BJ15">
        <v>1</v>
      </c>
      <c r="BK15">
        <v>1</v>
      </c>
      <c r="BL15">
        <v>1</v>
      </c>
      <c r="BM15">
        <v>1</v>
      </c>
      <c r="BN15">
        <v>1</v>
      </c>
      <c r="BO15">
        <v>1</v>
      </c>
      <c r="BP15">
        <v>1</v>
      </c>
      <c r="BQ15">
        <v>1</v>
      </c>
      <c r="BR15">
        <v>1</v>
      </c>
      <c r="BS15">
        <v>1</v>
      </c>
      <c r="BT15">
        <v>1</v>
      </c>
      <c r="BU15">
        <v>2</v>
      </c>
      <c r="BV15">
        <v>1</v>
      </c>
      <c r="BW15">
        <v>1</v>
      </c>
      <c r="BX15">
        <v>1</v>
      </c>
      <c r="BY15">
        <v>1</v>
      </c>
      <c r="BZ15">
        <v>1</v>
      </c>
      <c r="CA15">
        <v>1</v>
      </c>
      <c r="CB15">
        <v>1</v>
      </c>
      <c r="CC15">
        <v>2</v>
      </c>
      <c r="CD15">
        <v>1</v>
      </c>
      <c r="CE15">
        <v>1</v>
      </c>
      <c r="CF15">
        <v>2</v>
      </c>
      <c r="CG15">
        <v>2</v>
      </c>
      <c r="CH15">
        <v>1</v>
      </c>
      <c r="CI15">
        <v>2</v>
      </c>
      <c r="CJ15">
        <v>1</v>
      </c>
      <c r="CK15">
        <v>1</v>
      </c>
      <c r="CL15">
        <v>1</v>
      </c>
      <c r="CM15">
        <v>1</v>
      </c>
      <c r="CN15">
        <v>1</v>
      </c>
      <c r="CO15">
        <v>1</v>
      </c>
      <c r="CP15">
        <v>1</v>
      </c>
      <c r="CQ15">
        <v>1</v>
      </c>
      <c r="CR15">
        <v>2</v>
      </c>
      <c r="CS15">
        <v>2</v>
      </c>
      <c r="CT15">
        <v>1</v>
      </c>
      <c r="CU15">
        <v>2</v>
      </c>
      <c r="CV15">
        <v>1</v>
      </c>
      <c r="CW15">
        <v>1</v>
      </c>
      <c r="CX15">
        <v>2</v>
      </c>
      <c r="CY15">
        <v>3</v>
      </c>
      <c r="CZ15">
        <v>1</v>
      </c>
      <c r="DA15">
        <v>2</v>
      </c>
      <c r="DB15">
        <v>1</v>
      </c>
      <c r="DC15">
        <v>1</v>
      </c>
      <c r="DD15">
        <v>2</v>
      </c>
      <c r="DE15">
        <v>1</v>
      </c>
      <c r="DF15">
        <v>1</v>
      </c>
      <c r="DG15">
        <v>1</v>
      </c>
      <c r="DH15">
        <v>1</v>
      </c>
      <c r="DI15">
        <v>2</v>
      </c>
      <c r="DJ15">
        <v>3</v>
      </c>
      <c r="DK15">
        <v>1</v>
      </c>
      <c r="DL15">
        <v>2</v>
      </c>
      <c r="DM15">
        <v>1</v>
      </c>
      <c r="DN15">
        <v>1</v>
      </c>
      <c r="DO15">
        <v>2</v>
      </c>
      <c r="DP15">
        <v>1</v>
      </c>
      <c r="DQ15">
        <v>2</v>
      </c>
      <c r="DR15">
        <v>4</v>
      </c>
      <c r="DS15">
        <v>1</v>
      </c>
      <c r="DT15">
        <v>1</v>
      </c>
      <c r="DU15">
        <v>1</v>
      </c>
      <c r="DV15">
        <v>2</v>
      </c>
      <c r="DW15">
        <v>1</v>
      </c>
      <c r="DX15">
        <v>1</v>
      </c>
      <c r="DY15">
        <v>1</v>
      </c>
      <c r="DZ15">
        <v>1</v>
      </c>
      <c r="EA15">
        <v>3</v>
      </c>
      <c r="EB15">
        <v>1</v>
      </c>
      <c r="EC15">
        <v>1</v>
      </c>
      <c r="ED15">
        <v>1</v>
      </c>
      <c r="EE15">
        <v>1</v>
      </c>
      <c r="EF15">
        <v>0</v>
      </c>
      <c r="EG15">
        <v>0</v>
      </c>
      <c r="EH15">
        <v>4</v>
      </c>
      <c r="EI15">
        <v>1</v>
      </c>
      <c r="EJ15">
        <v>0</v>
      </c>
      <c r="EK15">
        <v>1</v>
      </c>
      <c r="EL15">
        <v>1</v>
      </c>
      <c r="EM15">
        <v>0</v>
      </c>
      <c r="EN15">
        <v>0</v>
      </c>
      <c r="EO15">
        <v>0</v>
      </c>
      <c r="EP15">
        <v>0</v>
      </c>
      <c r="EQ15">
        <v>1</v>
      </c>
      <c r="ER15">
        <v>0</v>
      </c>
      <c r="ES15">
        <v>1</v>
      </c>
      <c r="ET15">
        <v>4</v>
      </c>
      <c r="EU15">
        <v>1</v>
      </c>
      <c r="EV15">
        <v>0</v>
      </c>
    </row>
    <row r="16" spans="1:152">
      <c r="A16" t="str">
        <v>INTENT(5)</v>
      </c>
      <c r="B16" t="str">
        <v>${lm://Field/1} /  /  ${lm://Field/2} /  /   /  /  Based on the description, how likely would you be to purchase... (5)</v>
      </c>
      <c r="C16">
        <v>3</v>
      </c>
      <c r="D16">
        <v>2</v>
      </c>
      <c r="E16">
        <v>3</v>
      </c>
      <c r="F16">
        <v>3</v>
      </c>
      <c r="G16">
        <v>2</v>
      </c>
      <c r="H16">
        <v>1</v>
      </c>
      <c r="I16">
        <v>2</v>
      </c>
      <c r="J16">
        <v>2</v>
      </c>
      <c r="K16">
        <v>4</v>
      </c>
      <c r="L16">
        <v>2</v>
      </c>
      <c r="M16">
        <v>5</v>
      </c>
      <c r="N16">
        <v>4</v>
      </c>
      <c r="O16">
        <v>4</v>
      </c>
      <c r="P16">
        <v>1</v>
      </c>
      <c r="Q16">
        <v>4</v>
      </c>
      <c r="R16">
        <v>3</v>
      </c>
      <c r="S16">
        <v>1</v>
      </c>
      <c r="T16">
        <v>1</v>
      </c>
      <c r="U16">
        <v>1</v>
      </c>
      <c r="V16">
        <v>1</v>
      </c>
      <c r="W16">
        <v>2</v>
      </c>
      <c r="X16">
        <v>1</v>
      </c>
      <c r="Y16">
        <v>1</v>
      </c>
      <c r="Z16">
        <v>2</v>
      </c>
      <c r="AA16">
        <v>3</v>
      </c>
      <c r="AB16">
        <v>3</v>
      </c>
      <c r="AC16">
        <v>4</v>
      </c>
      <c r="AD16">
        <v>1</v>
      </c>
      <c r="AE16">
        <v>1</v>
      </c>
      <c r="AF16">
        <v>1</v>
      </c>
      <c r="AG16">
        <v>4</v>
      </c>
      <c r="AH16">
        <v>1</v>
      </c>
      <c r="AI16">
        <v>1</v>
      </c>
      <c r="AJ16">
        <v>1</v>
      </c>
      <c r="AK16">
        <v>2</v>
      </c>
      <c r="AL16">
        <v>1</v>
      </c>
      <c r="AM16">
        <v>2</v>
      </c>
      <c r="AN16">
        <v>3</v>
      </c>
      <c r="AO16">
        <v>1</v>
      </c>
      <c r="AP16">
        <v>4</v>
      </c>
      <c r="AQ16">
        <v>5</v>
      </c>
      <c r="AR16">
        <v>3</v>
      </c>
      <c r="AS16">
        <v>2</v>
      </c>
      <c r="AT16">
        <v>1</v>
      </c>
      <c r="AU16">
        <v>1</v>
      </c>
      <c r="AV16">
        <v>1</v>
      </c>
      <c r="AW16">
        <v>2</v>
      </c>
      <c r="AX16">
        <v>3</v>
      </c>
      <c r="AY16">
        <v>1</v>
      </c>
      <c r="AZ16">
        <v>1</v>
      </c>
      <c r="BA16">
        <v>3</v>
      </c>
      <c r="BB16">
        <v>3</v>
      </c>
      <c r="BC16">
        <v>1</v>
      </c>
      <c r="BD16">
        <v>1</v>
      </c>
      <c r="BE16">
        <v>2</v>
      </c>
      <c r="BF16">
        <v>1</v>
      </c>
      <c r="BG16">
        <v>1</v>
      </c>
      <c r="BH16">
        <v>2</v>
      </c>
      <c r="BI16">
        <v>1</v>
      </c>
      <c r="BJ16">
        <v>2</v>
      </c>
      <c r="BK16">
        <v>1</v>
      </c>
      <c r="BL16">
        <v>2</v>
      </c>
      <c r="BM16">
        <v>2</v>
      </c>
      <c r="BN16">
        <v>2</v>
      </c>
      <c r="BO16">
        <v>1</v>
      </c>
      <c r="BP16">
        <v>1</v>
      </c>
      <c r="BQ16">
        <v>1</v>
      </c>
      <c r="BR16">
        <v>3</v>
      </c>
      <c r="BS16">
        <v>1</v>
      </c>
      <c r="BT16">
        <v>2</v>
      </c>
      <c r="BU16">
        <v>2</v>
      </c>
      <c r="BV16">
        <v>2</v>
      </c>
      <c r="BW16">
        <v>1</v>
      </c>
      <c r="BX16">
        <v>1</v>
      </c>
      <c r="BY16">
        <v>1</v>
      </c>
      <c r="BZ16">
        <v>1</v>
      </c>
      <c r="CA16">
        <v>2</v>
      </c>
      <c r="CB16">
        <v>2</v>
      </c>
      <c r="CC16">
        <v>1</v>
      </c>
      <c r="CD16">
        <v>1</v>
      </c>
      <c r="CE16">
        <v>1</v>
      </c>
      <c r="CF16">
        <v>4</v>
      </c>
      <c r="CG16">
        <v>1</v>
      </c>
      <c r="CH16">
        <v>4</v>
      </c>
      <c r="CI16">
        <v>3</v>
      </c>
      <c r="CJ16">
        <v>1</v>
      </c>
      <c r="CK16">
        <v>2</v>
      </c>
      <c r="CL16">
        <v>2</v>
      </c>
      <c r="CM16">
        <v>1</v>
      </c>
      <c r="CN16">
        <v>1</v>
      </c>
      <c r="CO16">
        <v>3</v>
      </c>
      <c r="CP16">
        <v>3</v>
      </c>
      <c r="CQ16">
        <v>1</v>
      </c>
      <c r="CR16">
        <v>2</v>
      </c>
      <c r="CS16">
        <v>2</v>
      </c>
      <c r="CT16">
        <v>1</v>
      </c>
      <c r="CU16">
        <v>2</v>
      </c>
      <c r="CV16">
        <v>1</v>
      </c>
      <c r="CW16">
        <v>1</v>
      </c>
      <c r="CX16">
        <v>4</v>
      </c>
      <c r="CY16">
        <v>3</v>
      </c>
      <c r="CZ16">
        <v>1</v>
      </c>
      <c r="DA16">
        <v>2</v>
      </c>
      <c r="DB16">
        <v>4</v>
      </c>
      <c r="DC16">
        <v>1</v>
      </c>
      <c r="DD16">
        <v>3</v>
      </c>
      <c r="DE16">
        <v>2</v>
      </c>
      <c r="DF16">
        <v>3</v>
      </c>
      <c r="DG16">
        <v>1</v>
      </c>
      <c r="DH16">
        <v>2</v>
      </c>
      <c r="DI16">
        <v>1</v>
      </c>
      <c r="DJ16">
        <v>4</v>
      </c>
      <c r="DK16">
        <v>2</v>
      </c>
      <c r="DL16">
        <v>5</v>
      </c>
      <c r="DM16">
        <v>1</v>
      </c>
      <c r="DN16">
        <v>1</v>
      </c>
      <c r="DO16">
        <v>3</v>
      </c>
      <c r="DP16">
        <v>5</v>
      </c>
      <c r="DQ16">
        <v>2</v>
      </c>
      <c r="DR16">
        <v>1</v>
      </c>
      <c r="DS16">
        <v>1</v>
      </c>
      <c r="DT16">
        <v>2</v>
      </c>
      <c r="DU16">
        <v>1</v>
      </c>
      <c r="DV16">
        <v>3</v>
      </c>
      <c r="DW16">
        <v>2</v>
      </c>
      <c r="DX16">
        <v>2</v>
      </c>
      <c r="DY16">
        <v>2</v>
      </c>
      <c r="DZ16">
        <v>5</v>
      </c>
      <c r="EA16">
        <v>5</v>
      </c>
      <c r="EB16">
        <v>1</v>
      </c>
      <c r="EC16">
        <v>4</v>
      </c>
      <c r="ED16">
        <v>2</v>
      </c>
      <c r="EE16">
        <v>1</v>
      </c>
      <c r="EF16">
        <v>0</v>
      </c>
      <c r="EG16">
        <v>0</v>
      </c>
      <c r="EH16">
        <v>0</v>
      </c>
      <c r="EI16">
        <v>2</v>
      </c>
      <c r="EJ16">
        <v>0</v>
      </c>
      <c r="EK16">
        <v>2</v>
      </c>
      <c r="EL16">
        <v>2</v>
      </c>
      <c r="EM16">
        <v>0</v>
      </c>
      <c r="EN16">
        <v>0</v>
      </c>
      <c r="EO16">
        <v>0</v>
      </c>
      <c r="EP16">
        <v>0</v>
      </c>
      <c r="EQ16">
        <v>1</v>
      </c>
      <c r="ER16">
        <v>0</v>
      </c>
      <c r="ES16">
        <v>1</v>
      </c>
      <c r="ET16">
        <v>3</v>
      </c>
      <c r="EU16">
        <v>0</v>
      </c>
      <c r="EV16">
        <v>0</v>
      </c>
    </row>
    <row r="17" spans="1:152">
      <c r="A17" t="str">
        <v>INTENT(6)</v>
      </c>
      <c r="B17" t="str">
        <v>${lm://Field/1} /  /  ${lm://Field/2} /  /   /  /  Based on the description, how likely would you be to purchase... (6)</v>
      </c>
      <c r="C17">
        <v>2</v>
      </c>
      <c r="D17">
        <v>2</v>
      </c>
      <c r="E17">
        <v>4</v>
      </c>
      <c r="F17">
        <v>3</v>
      </c>
      <c r="G17">
        <v>1</v>
      </c>
      <c r="H17">
        <v>4</v>
      </c>
      <c r="I17">
        <v>2</v>
      </c>
      <c r="J17">
        <v>1</v>
      </c>
      <c r="K17">
        <v>1</v>
      </c>
      <c r="L17">
        <v>5</v>
      </c>
      <c r="M17">
        <v>3</v>
      </c>
      <c r="N17">
        <v>2</v>
      </c>
      <c r="O17">
        <v>3</v>
      </c>
      <c r="P17">
        <v>3</v>
      </c>
      <c r="Q17">
        <v>3</v>
      </c>
      <c r="R17">
        <v>1</v>
      </c>
      <c r="S17">
        <v>1</v>
      </c>
      <c r="T17">
        <v>1</v>
      </c>
      <c r="U17">
        <v>1</v>
      </c>
      <c r="V17">
        <v>1</v>
      </c>
      <c r="W17">
        <v>1</v>
      </c>
      <c r="X17">
        <v>1</v>
      </c>
      <c r="Y17">
        <v>1</v>
      </c>
      <c r="Z17">
        <v>1</v>
      </c>
      <c r="AA17">
        <v>2</v>
      </c>
      <c r="AB17">
        <v>1</v>
      </c>
      <c r="AC17">
        <v>1</v>
      </c>
      <c r="AD17">
        <v>2</v>
      </c>
      <c r="AE17">
        <v>1</v>
      </c>
      <c r="AF17">
        <v>1</v>
      </c>
      <c r="AG17">
        <v>2</v>
      </c>
      <c r="AH17">
        <v>2</v>
      </c>
      <c r="AI17">
        <v>1</v>
      </c>
      <c r="AJ17">
        <v>4</v>
      </c>
      <c r="AK17">
        <v>2</v>
      </c>
      <c r="AL17">
        <v>1</v>
      </c>
      <c r="AM17">
        <v>4</v>
      </c>
      <c r="AN17">
        <v>3</v>
      </c>
      <c r="AO17">
        <v>1</v>
      </c>
      <c r="AP17">
        <v>2</v>
      </c>
      <c r="AQ17">
        <v>5</v>
      </c>
      <c r="AR17">
        <v>2</v>
      </c>
      <c r="AS17">
        <v>2</v>
      </c>
      <c r="AT17">
        <v>1</v>
      </c>
      <c r="AU17">
        <v>1</v>
      </c>
      <c r="AV17">
        <v>1</v>
      </c>
      <c r="AW17">
        <v>1</v>
      </c>
      <c r="AX17">
        <v>1</v>
      </c>
      <c r="AY17">
        <v>1</v>
      </c>
      <c r="AZ17">
        <v>1</v>
      </c>
      <c r="BA17">
        <v>1</v>
      </c>
      <c r="BB17">
        <v>2</v>
      </c>
      <c r="BC17">
        <v>1</v>
      </c>
      <c r="BD17">
        <v>1</v>
      </c>
      <c r="BE17">
        <v>3</v>
      </c>
      <c r="BF17">
        <v>1</v>
      </c>
      <c r="BG17">
        <v>1</v>
      </c>
      <c r="BH17">
        <v>1</v>
      </c>
      <c r="BI17">
        <v>2</v>
      </c>
      <c r="BJ17">
        <v>1</v>
      </c>
      <c r="BK17">
        <v>1</v>
      </c>
      <c r="BL17">
        <v>3</v>
      </c>
      <c r="BM17">
        <v>1</v>
      </c>
      <c r="BN17">
        <v>3</v>
      </c>
      <c r="BO17">
        <v>1</v>
      </c>
      <c r="BP17">
        <v>1</v>
      </c>
      <c r="BQ17">
        <v>1</v>
      </c>
      <c r="BR17">
        <v>3</v>
      </c>
      <c r="BS17">
        <v>2</v>
      </c>
      <c r="BT17">
        <v>1</v>
      </c>
      <c r="BU17">
        <v>2</v>
      </c>
      <c r="BV17">
        <v>1</v>
      </c>
      <c r="BW17">
        <v>3</v>
      </c>
      <c r="BX17">
        <v>2</v>
      </c>
      <c r="BY17">
        <v>1</v>
      </c>
      <c r="BZ17">
        <v>1</v>
      </c>
      <c r="CA17">
        <v>1</v>
      </c>
      <c r="CB17">
        <v>1</v>
      </c>
      <c r="CC17">
        <v>3</v>
      </c>
      <c r="CD17">
        <v>1</v>
      </c>
      <c r="CE17">
        <v>2</v>
      </c>
      <c r="CF17">
        <v>2</v>
      </c>
      <c r="CG17">
        <v>2</v>
      </c>
      <c r="CH17">
        <v>2</v>
      </c>
      <c r="CI17">
        <v>2</v>
      </c>
      <c r="CJ17">
        <v>1</v>
      </c>
      <c r="CK17">
        <v>2</v>
      </c>
      <c r="CL17">
        <v>1</v>
      </c>
      <c r="CM17">
        <v>1</v>
      </c>
      <c r="CN17">
        <v>1</v>
      </c>
      <c r="CO17">
        <v>3</v>
      </c>
      <c r="CP17">
        <v>2</v>
      </c>
      <c r="CQ17">
        <v>1</v>
      </c>
      <c r="CR17">
        <v>2</v>
      </c>
      <c r="CS17">
        <v>2</v>
      </c>
      <c r="CT17">
        <v>1</v>
      </c>
      <c r="CU17">
        <v>2</v>
      </c>
      <c r="CV17">
        <v>1</v>
      </c>
      <c r="CW17">
        <v>1</v>
      </c>
      <c r="CX17">
        <v>3</v>
      </c>
      <c r="CY17">
        <v>3</v>
      </c>
      <c r="CZ17">
        <v>1</v>
      </c>
      <c r="DA17">
        <v>2</v>
      </c>
      <c r="DB17">
        <v>2</v>
      </c>
      <c r="DC17">
        <v>1</v>
      </c>
      <c r="DD17">
        <v>1</v>
      </c>
      <c r="DE17">
        <v>2</v>
      </c>
      <c r="DF17">
        <v>1</v>
      </c>
      <c r="DG17">
        <v>3</v>
      </c>
      <c r="DH17">
        <v>2</v>
      </c>
      <c r="DI17">
        <v>1</v>
      </c>
      <c r="DJ17">
        <v>4</v>
      </c>
      <c r="DK17">
        <v>1</v>
      </c>
      <c r="DL17">
        <v>2</v>
      </c>
      <c r="DM17">
        <v>1</v>
      </c>
      <c r="DN17">
        <v>1</v>
      </c>
      <c r="DO17">
        <v>1</v>
      </c>
      <c r="DP17">
        <v>2</v>
      </c>
      <c r="DQ17">
        <v>2</v>
      </c>
      <c r="DR17">
        <v>2</v>
      </c>
      <c r="DS17">
        <v>1</v>
      </c>
      <c r="DT17">
        <v>4</v>
      </c>
      <c r="DU17">
        <v>1</v>
      </c>
      <c r="DV17">
        <v>2</v>
      </c>
      <c r="DW17">
        <v>1</v>
      </c>
      <c r="DX17">
        <v>1</v>
      </c>
      <c r="DY17">
        <v>1</v>
      </c>
      <c r="DZ17">
        <v>1</v>
      </c>
      <c r="EA17">
        <v>3</v>
      </c>
      <c r="EB17">
        <v>1</v>
      </c>
      <c r="EC17">
        <v>1</v>
      </c>
      <c r="ED17">
        <v>1</v>
      </c>
      <c r="EE17">
        <v>1</v>
      </c>
      <c r="EF17">
        <v>0</v>
      </c>
      <c r="EG17">
        <v>0</v>
      </c>
      <c r="EH17">
        <v>0</v>
      </c>
      <c r="EI17">
        <v>1</v>
      </c>
      <c r="EJ17">
        <v>0</v>
      </c>
      <c r="EK17">
        <v>2</v>
      </c>
      <c r="EL17">
        <v>2</v>
      </c>
      <c r="EM17">
        <v>0</v>
      </c>
      <c r="EN17">
        <v>0</v>
      </c>
      <c r="EO17">
        <v>0</v>
      </c>
      <c r="EP17">
        <v>2</v>
      </c>
      <c r="EQ17">
        <v>1</v>
      </c>
      <c r="ER17">
        <v>0</v>
      </c>
      <c r="ES17">
        <v>1</v>
      </c>
      <c r="ET17">
        <v>3</v>
      </c>
      <c r="EU17">
        <v>0</v>
      </c>
      <c r="EV17">
        <v>0</v>
      </c>
    </row>
    <row r="18" spans="1:152">
      <c r="A18" t="str">
        <v>INTENT(7)</v>
      </c>
      <c r="B18" t="str">
        <v>${lm://Field/1} /  /  ${lm://Field/2} /  /   /  /  Based on the description, how likely would you be to purchase... (7)</v>
      </c>
      <c r="C18">
        <v>2</v>
      </c>
      <c r="D18">
        <v>1</v>
      </c>
      <c r="E18">
        <v>1</v>
      </c>
      <c r="F18">
        <v>1</v>
      </c>
      <c r="G18">
        <v>1</v>
      </c>
      <c r="H18">
        <v>1</v>
      </c>
      <c r="I18">
        <v>2</v>
      </c>
      <c r="J18">
        <v>1</v>
      </c>
      <c r="K18">
        <v>1</v>
      </c>
      <c r="L18">
        <v>1</v>
      </c>
      <c r="M18">
        <v>1</v>
      </c>
      <c r="N18">
        <v>1</v>
      </c>
      <c r="O18">
        <v>3</v>
      </c>
      <c r="P18">
        <v>1</v>
      </c>
      <c r="Q18">
        <v>3</v>
      </c>
      <c r="R18">
        <v>1</v>
      </c>
      <c r="S18">
        <v>1</v>
      </c>
      <c r="T18">
        <v>1</v>
      </c>
      <c r="U18">
        <v>1</v>
      </c>
      <c r="V18">
        <v>1</v>
      </c>
      <c r="W18">
        <v>1</v>
      </c>
      <c r="X18">
        <v>1</v>
      </c>
      <c r="Y18">
        <v>1</v>
      </c>
      <c r="Z18">
        <v>1</v>
      </c>
      <c r="AA18">
        <v>1</v>
      </c>
      <c r="AB18">
        <v>1</v>
      </c>
      <c r="AC18">
        <v>1</v>
      </c>
      <c r="AD18">
        <v>1</v>
      </c>
      <c r="AE18">
        <v>1</v>
      </c>
      <c r="AF18">
        <v>1</v>
      </c>
      <c r="AG18">
        <v>1</v>
      </c>
      <c r="AH18">
        <v>1</v>
      </c>
      <c r="AI18">
        <v>1</v>
      </c>
      <c r="AJ18">
        <v>2</v>
      </c>
      <c r="AK18">
        <v>1</v>
      </c>
      <c r="AL18">
        <v>1</v>
      </c>
      <c r="AM18">
        <v>1</v>
      </c>
      <c r="AN18">
        <v>1</v>
      </c>
      <c r="AO18">
        <v>1</v>
      </c>
      <c r="AP18">
        <v>1</v>
      </c>
      <c r="AQ18">
        <v>1</v>
      </c>
      <c r="AR18">
        <v>2</v>
      </c>
      <c r="AS18">
        <v>1</v>
      </c>
      <c r="AT18">
        <v>1</v>
      </c>
      <c r="AU18">
        <v>1</v>
      </c>
      <c r="AV18">
        <v>1</v>
      </c>
      <c r="AW18">
        <v>1</v>
      </c>
      <c r="AX18">
        <v>1</v>
      </c>
      <c r="AY18">
        <v>1</v>
      </c>
      <c r="AZ18">
        <v>1</v>
      </c>
      <c r="BA18">
        <v>1</v>
      </c>
      <c r="BB18">
        <v>1</v>
      </c>
      <c r="BC18">
        <v>1</v>
      </c>
      <c r="BD18">
        <v>1</v>
      </c>
      <c r="BE18">
        <v>2</v>
      </c>
      <c r="BF18">
        <v>1</v>
      </c>
      <c r="BG18">
        <v>1</v>
      </c>
      <c r="BH18">
        <v>1</v>
      </c>
      <c r="BI18">
        <v>2</v>
      </c>
      <c r="BJ18">
        <v>1</v>
      </c>
      <c r="BK18">
        <v>1</v>
      </c>
      <c r="BL18">
        <v>1</v>
      </c>
      <c r="BM18">
        <v>1</v>
      </c>
      <c r="BN18">
        <v>1</v>
      </c>
      <c r="BO18">
        <v>1</v>
      </c>
      <c r="BP18">
        <v>1</v>
      </c>
      <c r="BQ18">
        <v>1</v>
      </c>
      <c r="BR18">
        <v>1</v>
      </c>
      <c r="BS18">
        <v>1</v>
      </c>
      <c r="BT18">
        <v>1</v>
      </c>
      <c r="BU18">
        <v>2</v>
      </c>
      <c r="BV18">
        <v>1</v>
      </c>
      <c r="BW18">
        <v>1</v>
      </c>
      <c r="BX18">
        <v>1</v>
      </c>
      <c r="BY18">
        <v>1</v>
      </c>
      <c r="BZ18">
        <v>1</v>
      </c>
      <c r="CA18">
        <v>1</v>
      </c>
      <c r="CB18">
        <v>1</v>
      </c>
      <c r="CC18">
        <v>1</v>
      </c>
      <c r="CD18">
        <v>1</v>
      </c>
      <c r="CE18">
        <v>1</v>
      </c>
      <c r="CF18">
        <v>2</v>
      </c>
      <c r="CG18">
        <v>2</v>
      </c>
      <c r="CH18">
        <v>1</v>
      </c>
      <c r="CI18">
        <v>1</v>
      </c>
      <c r="CJ18">
        <v>1</v>
      </c>
      <c r="CK18">
        <v>1</v>
      </c>
      <c r="CL18">
        <v>1</v>
      </c>
      <c r="CM18">
        <v>1</v>
      </c>
      <c r="CN18">
        <v>1</v>
      </c>
      <c r="CO18">
        <v>2</v>
      </c>
      <c r="CP18">
        <v>1</v>
      </c>
      <c r="CQ18">
        <v>1</v>
      </c>
      <c r="CR18">
        <v>2</v>
      </c>
      <c r="CS18">
        <v>4</v>
      </c>
      <c r="CT18">
        <v>1</v>
      </c>
      <c r="CU18">
        <v>1</v>
      </c>
      <c r="CV18">
        <v>1</v>
      </c>
      <c r="CW18">
        <v>1</v>
      </c>
      <c r="CX18">
        <v>1</v>
      </c>
      <c r="CY18">
        <v>2</v>
      </c>
      <c r="CZ18">
        <v>1</v>
      </c>
      <c r="DA18">
        <v>1</v>
      </c>
      <c r="DB18">
        <v>1</v>
      </c>
      <c r="DC18">
        <v>1</v>
      </c>
      <c r="DD18">
        <v>1</v>
      </c>
      <c r="DE18">
        <v>1</v>
      </c>
      <c r="DF18">
        <v>1</v>
      </c>
      <c r="DG18">
        <v>1</v>
      </c>
      <c r="DH18">
        <v>1</v>
      </c>
      <c r="DI18">
        <v>1</v>
      </c>
      <c r="DJ18">
        <v>2</v>
      </c>
      <c r="DK18">
        <v>1</v>
      </c>
      <c r="DL18">
        <v>1</v>
      </c>
      <c r="DM18">
        <v>1</v>
      </c>
      <c r="DN18">
        <v>1</v>
      </c>
      <c r="DO18">
        <v>2</v>
      </c>
      <c r="DP18">
        <v>1</v>
      </c>
      <c r="DQ18">
        <v>1</v>
      </c>
      <c r="DR18">
        <v>1</v>
      </c>
      <c r="DS18">
        <v>1</v>
      </c>
      <c r="DT18">
        <v>1</v>
      </c>
      <c r="DU18">
        <v>1</v>
      </c>
      <c r="DV18">
        <v>1</v>
      </c>
      <c r="DW18">
        <v>1</v>
      </c>
      <c r="DX18">
        <v>1</v>
      </c>
      <c r="DY18">
        <v>1</v>
      </c>
      <c r="DZ18">
        <v>1</v>
      </c>
      <c r="EA18">
        <v>3</v>
      </c>
      <c r="EB18">
        <v>1</v>
      </c>
      <c r="EC18">
        <v>1</v>
      </c>
      <c r="ED18">
        <v>1</v>
      </c>
      <c r="EE18">
        <v>1</v>
      </c>
      <c r="EF18">
        <v>3</v>
      </c>
      <c r="EG18">
        <v>0</v>
      </c>
      <c r="EH18">
        <v>0</v>
      </c>
      <c r="EI18">
        <v>1</v>
      </c>
      <c r="EJ18">
        <v>4</v>
      </c>
      <c r="EK18">
        <v>1</v>
      </c>
      <c r="EL18">
        <v>1</v>
      </c>
      <c r="EM18">
        <v>0</v>
      </c>
      <c r="EN18">
        <v>0</v>
      </c>
      <c r="EO18">
        <v>0</v>
      </c>
      <c r="EP18">
        <v>2</v>
      </c>
      <c r="EQ18">
        <v>1</v>
      </c>
      <c r="ER18">
        <v>0</v>
      </c>
      <c r="ES18">
        <v>1</v>
      </c>
      <c r="ET18">
        <v>2</v>
      </c>
      <c r="EU18">
        <v>0</v>
      </c>
      <c r="EV18">
        <v>0</v>
      </c>
    </row>
    <row r="19" spans="1:152">
      <c r="A19" t="str">
        <v>UNIQ(1)</v>
      </c>
      <c r="B19" t="str">
        <v>How different is this product from other products on the market today? (1)</v>
      </c>
      <c r="C19">
        <v>1</v>
      </c>
      <c r="D19">
        <v>2</v>
      </c>
      <c r="E19">
        <v>1</v>
      </c>
      <c r="F19">
        <v>1</v>
      </c>
      <c r="G19">
        <v>1</v>
      </c>
      <c r="H19">
        <v>1</v>
      </c>
      <c r="I19">
        <v>5</v>
      </c>
      <c r="J19">
        <v>1</v>
      </c>
      <c r="K19">
        <v>2</v>
      </c>
      <c r="L19">
        <v>1</v>
      </c>
      <c r="M19">
        <v>5</v>
      </c>
      <c r="N19">
        <v>2</v>
      </c>
      <c r="O19">
        <v>5</v>
      </c>
      <c r="P19">
        <v>2</v>
      </c>
      <c r="Q19">
        <v>1</v>
      </c>
      <c r="R19">
        <v>0</v>
      </c>
      <c r="S19">
        <v>2</v>
      </c>
      <c r="T19">
        <v>5</v>
      </c>
      <c r="U19">
        <v>2</v>
      </c>
      <c r="V19">
        <v>2</v>
      </c>
      <c r="W19">
        <v>3</v>
      </c>
      <c r="X19">
        <v>5</v>
      </c>
      <c r="Y19">
        <v>4</v>
      </c>
      <c r="Z19">
        <v>5</v>
      </c>
      <c r="AA19">
        <v>2</v>
      </c>
      <c r="AB19">
        <v>1</v>
      </c>
      <c r="AC19">
        <v>2</v>
      </c>
      <c r="AD19">
        <v>2</v>
      </c>
      <c r="AE19">
        <v>2</v>
      </c>
      <c r="AF19">
        <v>5</v>
      </c>
      <c r="AG19">
        <v>5</v>
      </c>
      <c r="AH19">
        <v>2</v>
      </c>
      <c r="AI19">
        <v>5</v>
      </c>
      <c r="AJ19">
        <v>2</v>
      </c>
      <c r="AK19">
        <v>2</v>
      </c>
      <c r="AL19">
        <v>1</v>
      </c>
      <c r="AM19">
        <v>5</v>
      </c>
      <c r="AN19">
        <v>5</v>
      </c>
      <c r="AO19">
        <v>1</v>
      </c>
      <c r="AP19">
        <v>2</v>
      </c>
      <c r="AQ19">
        <v>1</v>
      </c>
      <c r="AR19">
        <v>3</v>
      </c>
      <c r="AS19">
        <v>5</v>
      </c>
      <c r="AT19">
        <v>5</v>
      </c>
      <c r="AU19">
        <v>1</v>
      </c>
      <c r="AV19">
        <v>2</v>
      </c>
      <c r="AW19">
        <v>1</v>
      </c>
      <c r="AX19">
        <v>2</v>
      </c>
      <c r="AY19">
        <v>5</v>
      </c>
      <c r="AZ19">
        <v>1</v>
      </c>
      <c r="BA19">
        <v>2</v>
      </c>
      <c r="BB19">
        <v>1</v>
      </c>
      <c r="BC19">
        <v>2</v>
      </c>
      <c r="BD19">
        <v>5</v>
      </c>
      <c r="BE19">
        <v>5</v>
      </c>
      <c r="BF19">
        <v>3</v>
      </c>
      <c r="BG19">
        <v>2</v>
      </c>
      <c r="BH19">
        <v>5</v>
      </c>
      <c r="BI19">
        <v>2</v>
      </c>
      <c r="BJ19">
        <v>4</v>
      </c>
      <c r="BK19">
        <v>0</v>
      </c>
      <c r="BL19">
        <v>5</v>
      </c>
      <c r="BM19">
        <v>2</v>
      </c>
      <c r="BN19">
        <v>5</v>
      </c>
      <c r="BO19">
        <v>2</v>
      </c>
      <c r="BP19">
        <v>1</v>
      </c>
      <c r="BQ19">
        <v>5</v>
      </c>
      <c r="BR19">
        <v>5</v>
      </c>
      <c r="BS19">
        <v>1</v>
      </c>
      <c r="BT19">
        <v>2</v>
      </c>
      <c r="BU19">
        <v>5</v>
      </c>
      <c r="BV19">
        <v>2</v>
      </c>
      <c r="BW19">
        <v>2</v>
      </c>
      <c r="BX19">
        <v>1</v>
      </c>
      <c r="BY19">
        <v>2</v>
      </c>
      <c r="BZ19">
        <v>2</v>
      </c>
      <c r="CA19">
        <v>2</v>
      </c>
      <c r="CB19">
        <v>5</v>
      </c>
      <c r="CC19">
        <v>4</v>
      </c>
      <c r="CD19">
        <v>5</v>
      </c>
      <c r="CE19">
        <v>5</v>
      </c>
      <c r="CF19">
        <v>5</v>
      </c>
      <c r="CG19">
        <v>5</v>
      </c>
      <c r="CH19">
        <v>1</v>
      </c>
      <c r="CI19">
        <v>2</v>
      </c>
      <c r="CJ19">
        <v>1</v>
      </c>
      <c r="CK19">
        <v>2</v>
      </c>
      <c r="CL19">
        <v>3</v>
      </c>
      <c r="CM19">
        <v>1</v>
      </c>
      <c r="CN19">
        <v>0</v>
      </c>
      <c r="CO19">
        <v>2</v>
      </c>
      <c r="CP19">
        <v>1</v>
      </c>
      <c r="CQ19">
        <v>2</v>
      </c>
      <c r="CR19">
        <v>1</v>
      </c>
      <c r="CS19">
        <v>5</v>
      </c>
      <c r="CT19">
        <v>5</v>
      </c>
      <c r="CU19">
        <v>1</v>
      </c>
      <c r="CV19">
        <v>2</v>
      </c>
      <c r="CW19">
        <v>5</v>
      </c>
      <c r="CX19">
        <v>2</v>
      </c>
      <c r="CY19">
        <v>5</v>
      </c>
      <c r="CZ19">
        <v>3</v>
      </c>
      <c r="DA19">
        <v>1</v>
      </c>
      <c r="DB19">
        <v>1</v>
      </c>
      <c r="DC19">
        <v>4</v>
      </c>
      <c r="DD19">
        <v>2</v>
      </c>
      <c r="DE19">
        <v>3</v>
      </c>
      <c r="DF19">
        <v>2</v>
      </c>
      <c r="DG19">
        <v>5</v>
      </c>
      <c r="DH19">
        <v>2</v>
      </c>
      <c r="DI19">
        <v>1</v>
      </c>
      <c r="DJ19">
        <v>1</v>
      </c>
      <c r="DK19">
        <v>2</v>
      </c>
      <c r="DL19">
        <v>2</v>
      </c>
      <c r="DM19">
        <v>2</v>
      </c>
      <c r="DN19">
        <v>3</v>
      </c>
      <c r="DO19">
        <v>5</v>
      </c>
      <c r="DP19">
        <v>1</v>
      </c>
      <c r="DQ19">
        <v>1</v>
      </c>
      <c r="DR19">
        <v>1</v>
      </c>
      <c r="DS19">
        <v>5</v>
      </c>
      <c r="DT19">
        <v>2</v>
      </c>
      <c r="DU19">
        <v>5</v>
      </c>
      <c r="DV19">
        <v>2</v>
      </c>
      <c r="DW19">
        <v>1</v>
      </c>
      <c r="DX19">
        <v>2</v>
      </c>
      <c r="DY19">
        <v>1</v>
      </c>
      <c r="DZ19">
        <v>5</v>
      </c>
      <c r="EA19">
        <v>2</v>
      </c>
      <c r="EB19">
        <v>1</v>
      </c>
      <c r="EC19">
        <v>5</v>
      </c>
      <c r="ED19">
        <v>2</v>
      </c>
      <c r="EE19">
        <v>1</v>
      </c>
      <c r="EF19">
        <v>0</v>
      </c>
      <c r="EG19">
        <v>0</v>
      </c>
      <c r="EH19">
        <v>0</v>
      </c>
      <c r="EI19">
        <v>5</v>
      </c>
      <c r="EJ19">
        <v>0</v>
      </c>
      <c r="EK19">
        <v>2</v>
      </c>
      <c r="EL19">
        <v>2</v>
      </c>
      <c r="EM19">
        <v>0</v>
      </c>
      <c r="EN19">
        <v>0</v>
      </c>
      <c r="EO19">
        <v>0</v>
      </c>
      <c r="EP19">
        <v>2</v>
      </c>
      <c r="EQ19">
        <v>3</v>
      </c>
      <c r="ER19">
        <v>0</v>
      </c>
      <c r="ES19">
        <v>1</v>
      </c>
      <c r="ET19">
        <v>1</v>
      </c>
      <c r="EU19">
        <v>0</v>
      </c>
      <c r="EV19">
        <v>0</v>
      </c>
    </row>
    <row r="20" spans="1:152">
      <c r="A20" t="str">
        <v>UNIQ(2)</v>
      </c>
      <c r="B20" t="str">
        <v>How different is this product from other products on the market today? (2)</v>
      </c>
      <c r="C20">
        <v>1</v>
      </c>
      <c r="D20">
        <v>1</v>
      </c>
      <c r="E20">
        <v>1</v>
      </c>
      <c r="F20">
        <v>1</v>
      </c>
      <c r="G20">
        <v>5</v>
      </c>
      <c r="H20">
        <v>5</v>
      </c>
      <c r="I20">
        <v>5</v>
      </c>
      <c r="J20">
        <v>1</v>
      </c>
      <c r="K20">
        <v>2</v>
      </c>
      <c r="L20">
        <v>2</v>
      </c>
      <c r="M20">
        <v>5</v>
      </c>
      <c r="N20">
        <v>2</v>
      </c>
      <c r="O20">
        <v>5</v>
      </c>
      <c r="P20">
        <v>1</v>
      </c>
      <c r="Q20">
        <v>1</v>
      </c>
      <c r="R20">
        <v>0</v>
      </c>
      <c r="S20">
        <v>1</v>
      </c>
      <c r="T20">
        <v>5</v>
      </c>
      <c r="U20">
        <v>2</v>
      </c>
      <c r="V20">
        <v>1</v>
      </c>
      <c r="W20">
        <v>2</v>
      </c>
      <c r="X20">
        <v>3</v>
      </c>
      <c r="Y20">
        <v>2</v>
      </c>
      <c r="Z20">
        <v>5</v>
      </c>
      <c r="AA20">
        <v>2</v>
      </c>
      <c r="AB20">
        <v>1</v>
      </c>
      <c r="AC20">
        <v>2</v>
      </c>
      <c r="AD20">
        <v>2</v>
      </c>
      <c r="AE20">
        <v>1</v>
      </c>
      <c r="AF20">
        <v>5</v>
      </c>
      <c r="AG20">
        <v>5</v>
      </c>
      <c r="AH20">
        <v>2</v>
      </c>
      <c r="AI20">
        <v>5</v>
      </c>
      <c r="AJ20">
        <v>2</v>
      </c>
      <c r="AK20">
        <v>2</v>
      </c>
      <c r="AL20">
        <v>1</v>
      </c>
      <c r="AM20">
        <v>5</v>
      </c>
      <c r="AN20">
        <v>5</v>
      </c>
      <c r="AO20">
        <v>1</v>
      </c>
      <c r="AP20">
        <v>2</v>
      </c>
      <c r="AQ20">
        <v>3</v>
      </c>
      <c r="AR20">
        <v>5</v>
      </c>
      <c r="AS20">
        <v>5</v>
      </c>
      <c r="AT20">
        <v>5</v>
      </c>
      <c r="AU20">
        <v>1</v>
      </c>
      <c r="AV20">
        <v>1</v>
      </c>
      <c r="AW20">
        <v>1</v>
      </c>
      <c r="AX20">
        <v>2</v>
      </c>
      <c r="AY20">
        <v>5</v>
      </c>
      <c r="AZ20">
        <v>1</v>
      </c>
      <c r="BA20">
        <v>1</v>
      </c>
      <c r="BB20">
        <v>1</v>
      </c>
      <c r="BC20">
        <v>2</v>
      </c>
      <c r="BD20">
        <v>5</v>
      </c>
      <c r="BE20">
        <v>5</v>
      </c>
      <c r="BF20">
        <v>2</v>
      </c>
      <c r="BG20">
        <v>2</v>
      </c>
      <c r="BH20">
        <v>2</v>
      </c>
      <c r="BI20">
        <v>2</v>
      </c>
      <c r="BJ20">
        <v>3</v>
      </c>
      <c r="BK20">
        <v>0</v>
      </c>
      <c r="BL20">
        <v>5</v>
      </c>
      <c r="BM20">
        <v>5</v>
      </c>
      <c r="BN20">
        <v>1</v>
      </c>
      <c r="BO20">
        <v>1</v>
      </c>
      <c r="BP20">
        <v>1</v>
      </c>
      <c r="BQ20">
        <v>1</v>
      </c>
      <c r="BR20">
        <v>5</v>
      </c>
      <c r="BS20">
        <v>1</v>
      </c>
      <c r="BT20">
        <v>1</v>
      </c>
      <c r="BU20">
        <v>1</v>
      </c>
      <c r="BV20">
        <v>2</v>
      </c>
      <c r="BW20">
        <v>5</v>
      </c>
      <c r="BX20">
        <v>1</v>
      </c>
      <c r="BY20">
        <v>1</v>
      </c>
      <c r="BZ20">
        <v>1</v>
      </c>
      <c r="CA20">
        <v>1</v>
      </c>
      <c r="CB20">
        <v>1</v>
      </c>
      <c r="CC20">
        <v>2</v>
      </c>
      <c r="CD20">
        <v>5</v>
      </c>
      <c r="CE20">
        <v>5</v>
      </c>
      <c r="CF20">
        <v>5</v>
      </c>
      <c r="CG20">
        <v>5</v>
      </c>
      <c r="CH20">
        <v>1</v>
      </c>
      <c r="CI20">
        <v>2</v>
      </c>
      <c r="CJ20">
        <v>1</v>
      </c>
      <c r="CK20">
        <v>2</v>
      </c>
      <c r="CL20">
        <v>1</v>
      </c>
      <c r="CM20">
        <v>1</v>
      </c>
      <c r="CN20">
        <v>5</v>
      </c>
      <c r="CO20">
        <v>2</v>
      </c>
      <c r="CP20">
        <v>1</v>
      </c>
      <c r="CQ20">
        <v>1</v>
      </c>
      <c r="CR20">
        <v>2</v>
      </c>
      <c r="CS20">
        <v>5</v>
      </c>
      <c r="CT20">
        <v>5</v>
      </c>
      <c r="CU20">
        <v>1</v>
      </c>
      <c r="CV20">
        <v>1</v>
      </c>
      <c r="CW20">
        <v>5</v>
      </c>
      <c r="CX20">
        <v>2</v>
      </c>
      <c r="CY20">
        <v>5</v>
      </c>
      <c r="CZ20">
        <v>1</v>
      </c>
      <c r="DA20">
        <v>1</v>
      </c>
      <c r="DB20">
        <v>1</v>
      </c>
      <c r="DC20">
        <v>3</v>
      </c>
      <c r="DD20">
        <v>0</v>
      </c>
      <c r="DE20">
        <v>1</v>
      </c>
      <c r="DF20">
        <v>1</v>
      </c>
      <c r="DG20">
        <v>5</v>
      </c>
      <c r="DH20">
        <v>1</v>
      </c>
      <c r="DI20">
        <v>1</v>
      </c>
      <c r="DJ20">
        <v>2</v>
      </c>
      <c r="DK20">
        <v>1</v>
      </c>
      <c r="DL20">
        <v>1</v>
      </c>
      <c r="DM20">
        <v>1</v>
      </c>
      <c r="DN20">
        <v>2</v>
      </c>
      <c r="DO20">
        <v>5</v>
      </c>
      <c r="DP20">
        <v>5</v>
      </c>
      <c r="DQ20">
        <v>1</v>
      </c>
      <c r="DR20">
        <v>1</v>
      </c>
      <c r="DS20">
        <v>1</v>
      </c>
      <c r="DT20">
        <v>2</v>
      </c>
      <c r="DU20">
        <v>5</v>
      </c>
      <c r="DV20">
        <v>2</v>
      </c>
      <c r="DW20">
        <v>1</v>
      </c>
      <c r="DX20">
        <v>1</v>
      </c>
      <c r="DY20">
        <v>1</v>
      </c>
      <c r="DZ20">
        <v>5</v>
      </c>
      <c r="EA20">
        <v>0</v>
      </c>
      <c r="EB20">
        <v>1</v>
      </c>
      <c r="EC20">
        <v>1</v>
      </c>
      <c r="ED20">
        <v>1</v>
      </c>
      <c r="EE20">
        <v>1</v>
      </c>
      <c r="EF20">
        <v>0</v>
      </c>
      <c r="EG20">
        <v>0</v>
      </c>
      <c r="EH20">
        <v>0</v>
      </c>
      <c r="EI20">
        <v>5</v>
      </c>
      <c r="EJ20">
        <v>1</v>
      </c>
      <c r="EK20">
        <v>2</v>
      </c>
      <c r="EL20">
        <v>2</v>
      </c>
      <c r="EM20">
        <v>0</v>
      </c>
      <c r="EN20">
        <v>0</v>
      </c>
      <c r="EO20">
        <v>0</v>
      </c>
      <c r="EP20">
        <v>1</v>
      </c>
      <c r="EQ20">
        <v>2</v>
      </c>
      <c r="ER20">
        <v>0</v>
      </c>
      <c r="ES20">
        <v>1</v>
      </c>
      <c r="ET20">
        <v>1</v>
      </c>
      <c r="EU20">
        <v>0</v>
      </c>
      <c r="EV20">
        <v>1</v>
      </c>
    </row>
    <row r="21" spans="1:152">
      <c r="A21" t="str">
        <v>UNIQ(3)</v>
      </c>
      <c r="B21" t="str">
        <v>How different is this product from other products on the market today? (3)</v>
      </c>
      <c r="C21">
        <v>1</v>
      </c>
      <c r="D21">
        <v>5</v>
      </c>
      <c r="E21">
        <v>1</v>
      </c>
      <c r="F21">
        <v>1</v>
      </c>
      <c r="G21">
        <v>2</v>
      </c>
      <c r="H21">
        <v>1</v>
      </c>
      <c r="I21">
        <v>5</v>
      </c>
      <c r="J21">
        <v>1</v>
      </c>
      <c r="K21">
        <v>2</v>
      </c>
      <c r="L21">
        <v>1</v>
      </c>
      <c r="M21">
        <v>5</v>
      </c>
      <c r="N21">
        <v>3</v>
      </c>
      <c r="O21">
        <v>5</v>
      </c>
      <c r="P21">
        <v>1</v>
      </c>
      <c r="Q21">
        <v>2</v>
      </c>
      <c r="R21">
        <v>2</v>
      </c>
      <c r="S21">
        <v>2</v>
      </c>
      <c r="T21">
        <v>5</v>
      </c>
      <c r="U21">
        <v>2</v>
      </c>
      <c r="V21">
        <v>2</v>
      </c>
      <c r="W21">
        <v>3</v>
      </c>
      <c r="X21">
        <v>3</v>
      </c>
      <c r="Y21">
        <v>4</v>
      </c>
      <c r="Z21">
        <v>1</v>
      </c>
      <c r="AA21">
        <v>2</v>
      </c>
      <c r="AB21">
        <v>1</v>
      </c>
      <c r="AC21">
        <v>4</v>
      </c>
      <c r="AD21">
        <v>2</v>
      </c>
      <c r="AE21">
        <v>2</v>
      </c>
      <c r="AF21">
        <v>5</v>
      </c>
      <c r="AG21">
        <v>5</v>
      </c>
      <c r="AH21">
        <v>2</v>
      </c>
      <c r="AI21">
        <v>5</v>
      </c>
      <c r="AJ21">
        <v>2</v>
      </c>
      <c r="AK21">
        <v>2</v>
      </c>
      <c r="AL21">
        <v>2</v>
      </c>
      <c r="AM21">
        <v>5</v>
      </c>
      <c r="AN21">
        <v>2</v>
      </c>
      <c r="AO21">
        <v>1</v>
      </c>
      <c r="AP21">
        <v>2</v>
      </c>
      <c r="AQ21">
        <v>2</v>
      </c>
      <c r="AR21">
        <v>3</v>
      </c>
      <c r="AS21">
        <v>5</v>
      </c>
      <c r="AT21">
        <v>2</v>
      </c>
      <c r="AU21">
        <v>1</v>
      </c>
      <c r="AV21">
        <v>2</v>
      </c>
      <c r="AW21">
        <v>1</v>
      </c>
      <c r="AX21">
        <v>2</v>
      </c>
      <c r="AY21">
        <v>5</v>
      </c>
      <c r="AZ21">
        <v>2</v>
      </c>
      <c r="BA21">
        <v>2</v>
      </c>
      <c r="BB21">
        <v>1</v>
      </c>
      <c r="BC21">
        <v>2</v>
      </c>
      <c r="BD21">
        <v>5</v>
      </c>
      <c r="BE21">
        <v>5</v>
      </c>
      <c r="BF21">
        <v>3</v>
      </c>
      <c r="BG21">
        <v>2</v>
      </c>
      <c r="BH21">
        <v>1</v>
      </c>
      <c r="BI21">
        <v>2</v>
      </c>
      <c r="BJ21">
        <v>1</v>
      </c>
      <c r="BK21">
        <v>0</v>
      </c>
      <c r="BL21">
        <v>2</v>
      </c>
      <c r="BM21">
        <v>2</v>
      </c>
      <c r="BN21">
        <v>2</v>
      </c>
      <c r="BO21">
        <v>2</v>
      </c>
      <c r="BP21">
        <v>5</v>
      </c>
      <c r="BQ21">
        <v>5</v>
      </c>
      <c r="BR21">
        <v>5</v>
      </c>
      <c r="BS21">
        <v>1</v>
      </c>
      <c r="BT21">
        <v>2</v>
      </c>
      <c r="BU21">
        <v>5</v>
      </c>
      <c r="BV21">
        <v>2</v>
      </c>
      <c r="BW21">
        <v>5</v>
      </c>
      <c r="BX21">
        <v>1</v>
      </c>
      <c r="BY21">
        <v>5</v>
      </c>
      <c r="BZ21">
        <v>2</v>
      </c>
      <c r="CA21">
        <v>2</v>
      </c>
      <c r="CB21">
        <v>5</v>
      </c>
      <c r="CC21">
        <v>2</v>
      </c>
      <c r="CD21">
        <v>5</v>
      </c>
      <c r="CE21">
        <v>5</v>
      </c>
      <c r="CF21">
        <v>5</v>
      </c>
      <c r="CG21">
        <v>5</v>
      </c>
      <c r="CH21">
        <v>1</v>
      </c>
      <c r="CI21">
        <v>2</v>
      </c>
      <c r="CJ21">
        <v>1</v>
      </c>
      <c r="CK21">
        <v>2</v>
      </c>
      <c r="CL21">
        <v>2</v>
      </c>
      <c r="CM21">
        <v>1</v>
      </c>
      <c r="CN21">
        <v>0</v>
      </c>
      <c r="CO21">
        <v>2</v>
      </c>
      <c r="CP21">
        <v>5</v>
      </c>
      <c r="CQ21">
        <v>2</v>
      </c>
      <c r="CR21">
        <v>1</v>
      </c>
      <c r="CS21">
        <v>5</v>
      </c>
      <c r="CT21">
        <v>2</v>
      </c>
      <c r="CU21">
        <v>1</v>
      </c>
      <c r="CV21">
        <v>2</v>
      </c>
      <c r="CW21">
        <v>2</v>
      </c>
      <c r="CX21">
        <v>2</v>
      </c>
      <c r="CY21">
        <v>5</v>
      </c>
      <c r="CZ21">
        <v>3</v>
      </c>
      <c r="DA21">
        <v>1</v>
      </c>
      <c r="DB21">
        <v>1</v>
      </c>
      <c r="DC21">
        <v>3</v>
      </c>
      <c r="DD21">
        <v>2</v>
      </c>
      <c r="DE21">
        <v>2</v>
      </c>
      <c r="DF21">
        <v>1</v>
      </c>
      <c r="DG21">
        <v>5</v>
      </c>
      <c r="DH21">
        <v>2</v>
      </c>
      <c r="DI21">
        <v>1</v>
      </c>
      <c r="DJ21">
        <v>1</v>
      </c>
      <c r="DK21">
        <v>2</v>
      </c>
      <c r="DL21">
        <v>2</v>
      </c>
      <c r="DM21">
        <v>2</v>
      </c>
      <c r="DN21">
        <v>3</v>
      </c>
      <c r="DO21">
        <v>5</v>
      </c>
      <c r="DP21">
        <v>5</v>
      </c>
      <c r="DQ21">
        <v>1</v>
      </c>
      <c r="DR21">
        <v>1</v>
      </c>
      <c r="DS21">
        <v>5</v>
      </c>
      <c r="DT21">
        <v>2</v>
      </c>
      <c r="DU21">
        <v>5</v>
      </c>
      <c r="DV21">
        <v>2</v>
      </c>
      <c r="DW21">
        <v>1</v>
      </c>
      <c r="DX21">
        <v>2</v>
      </c>
      <c r="DY21">
        <v>1</v>
      </c>
      <c r="DZ21">
        <v>5</v>
      </c>
      <c r="EA21">
        <v>2</v>
      </c>
      <c r="EB21">
        <v>1</v>
      </c>
      <c r="EC21">
        <v>1</v>
      </c>
      <c r="ED21">
        <v>2</v>
      </c>
      <c r="EE21">
        <v>1</v>
      </c>
      <c r="EF21">
        <v>0</v>
      </c>
      <c r="EG21">
        <v>0</v>
      </c>
      <c r="EH21">
        <v>0</v>
      </c>
      <c r="EI21">
        <v>5</v>
      </c>
      <c r="EJ21">
        <v>0</v>
      </c>
      <c r="EK21">
        <v>2</v>
      </c>
      <c r="EL21">
        <v>2</v>
      </c>
      <c r="EM21">
        <v>0</v>
      </c>
      <c r="EN21">
        <v>0</v>
      </c>
      <c r="EO21">
        <v>0</v>
      </c>
      <c r="EP21">
        <v>4</v>
      </c>
      <c r="EQ21">
        <v>2</v>
      </c>
      <c r="ER21">
        <v>0</v>
      </c>
      <c r="ES21">
        <v>1</v>
      </c>
      <c r="ET21">
        <v>1</v>
      </c>
      <c r="EU21">
        <v>0</v>
      </c>
      <c r="EV21">
        <v>0</v>
      </c>
    </row>
    <row r="22" spans="1:152">
      <c r="A22" t="str">
        <v>UNIQ(4)</v>
      </c>
      <c r="B22" t="str">
        <v>How different is this product from other products on the market today? (4)</v>
      </c>
      <c r="C22">
        <v>1</v>
      </c>
      <c r="D22">
        <v>1</v>
      </c>
      <c r="E22">
        <v>1</v>
      </c>
      <c r="F22">
        <v>1</v>
      </c>
      <c r="G22">
        <v>1</v>
      </c>
      <c r="H22">
        <v>1</v>
      </c>
      <c r="I22">
        <v>5</v>
      </c>
      <c r="J22">
        <v>1</v>
      </c>
      <c r="K22">
        <v>1</v>
      </c>
      <c r="L22">
        <v>1</v>
      </c>
      <c r="M22">
        <v>5</v>
      </c>
      <c r="N22">
        <v>1</v>
      </c>
      <c r="O22">
        <v>5</v>
      </c>
      <c r="P22">
        <v>1</v>
      </c>
      <c r="Q22">
        <v>1</v>
      </c>
      <c r="R22">
        <v>0</v>
      </c>
      <c r="S22">
        <v>1</v>
      </c>
      <c r="T22">
        <v>5</v>
      </c>
      <c r="U22">
        <v>1</v>
      </c>
      <c r="V22">
        <v>1</v>
      </c>
      <c r="W22">
        <v>1</v>
      </c>
      <c r="X22">
        <v>5</v>
      </c>
      <c r="Y22">
        <v>1</v>
      </c>
      <c r="Z22">
        <v>5</v>
      </c>
      <c r="AA22">
        <v>1</v>
      </c>
      <c r="AB22">
        <v>1</v>
      </c>
      <c r="AC22">
        <v>1</v>
      </c>
      <c r="AD22">
        <v>5</v>
      </c>
      <c r="AE22">
        <v>1</v>
      </c>
      <c r="AF22">
        <v>5</v>
      </c>
      <c r="AG22">
        <v>5</v>
      </c>
      <c r="AH22">
        <v>1</v>
      </c>
      <c r="AI22">
        <v>5</v>
      </c>
      <c r="AJ22">
        <v>1</v>
      </c>
      <c r="AK22">
        <v>1</v>
      </c>
      <c r="AL22">
        <v>1</v>
      </c>
      <c r="AM22">
        <v>5</v>
      </c>
      <c r="AN22">
        <v>1</v>
      </c>
      <c r="AO22">
        <v>1</v>
      </c>
      <c r="AP22">
        <v>1</v>
      </c>
      <c r="AQ22">
        <v>1</v>
      </c>
      <c r="AR22">
        <v>5</v>
      </c>
      <c r="AS22">
        <v>5</v>
      </c>
      <c r="AT22">
        <v>5</v>
      </c>
      <c r="AU22">
        <v>1</v>
      </c>
      <c r="AV22">
        <v>1</v>
      </c>
      <c r="AW22">
        <v>1</v>
      </c>
      <c r="AX22">
        <v>1</v>
      </c>
      <c r="AY22">
        <v>1</v>
      </c>
      <c r="AZ22">
        <v>1</v>
      </c>
      <c r="BA22">
        <v>1</v>
      </c>
      <c r="BB22">
        <v>1</v>
      </c>
      <c r="BC22">
        <v>1</v>
      </c>
      <c r="BD22">
        <v>5</v>
      </c>
      <c r="BE22">
        <v>1</v>
      </c>
      <c r="BF22">
        <v>1</v>
      </c>
      <c r="BG22">
        <v>1</v>
      </c>
      <c r="BH22">
        <v>1</v>
      </c>
      <c r="BI22">
        <v>2</v>
      </c>
      <c r="BJ22">
        <v>1</v>
      </c>
      <c r="BK22">
        <v>0</v>
      </c>
      <c r="BL22">
        <v>1</v>
      </c>
      <c r="BM22">
        <v>5</v>
      </c>
      <c r="BN22">
        <v>1</v>
      </c>
      <c r="BO22">
        <v>1</v>
      </c>
      <c r="BP22">
        <v>1</v>
      </c>
      <c r="BQ22">
        <v>1</v>
      </c>
      <c r="BR22">
        <v>5</v>
      </c>
      <c r="BS22">
        <v>1</v>
      </c>
      <c r="BT22">
        <v>1</v>
      </c>
      <c r="BU22">
        <v>1</v>
      </c>
      <c r="BV22">
        <v>1</v>
      </c>
      <c r="BW22">
        <v>1</v>
      </c>
      <c r="BX22">
        <v>1</v>
      </c>
      <c r="BY22">
        <v>1</v>
      </c>
      <c r="BZ22">
        <v>1</v>
      </c>
      <c r="CA22">
        <v>1</v>
      </c>
      <c r="CB22">
        <v>1</v>
      </c>
      <c r="CC22">
        <v>1</v>
      </c>
      <c r="CD22">
        <v>5</v>
      </c>
      <c r="CE22">
        <v>5</v>
      </c>
      <c r="CF22">
        <v>5</v>
      </c>
      <c r="CG22">
        <v>5</v>
      </c>
      <c r="CH22">
        <v>1</v>
      </c>
      <c r="CI22">
        <v>2</v>
      </c>
      <c r="CJ22">
        <v>1</v>
      </c>
      <c r="CK22">
        <v>1</v>
      </c>
      <c r="CL22">
        <v>1</v>
      </c>
      <c r="CM22">
        <v>1</v>
      </c>
      <c r="CN22">
        <v>0</v>
      </c>
      <c r="CO22">
        <v>1</v>
      </c>
      <c r="CP22">
        <v>1</v>
      </c>
      <c r="CQ22">
        <v>1</v>
      </c>
      <c r="CR22">
        <v>1</v>
      </c>
      <c r="CS22">
        <v>5</v>
      </c>
      <c r="CT22">
        <v>5</v>
      </c>
      <c r="CU22">
        <v>1</v>
      </c>
      <c r="CV22">
        <v>1</v>
      </c>
      <c r="CW22">
        <v>1</v>
      </c>
      <c r="CX22">
        <v>1</v>
      </c>
      <c r="CY22">
        <v>1</v>
      </c>
      <c r="CZ22">
        <v>1</v>
      </c>
      <c r="DA22">
        <v>1</v>
      </c>
      <c r="DB22">
        <v>1</v>
      </c>
      <c r="DC22">
        <v>2</v>
      </c>
      <c r="DD22">
        <v>1</v>
      </c>
      <c r="DE22">
        <v>1</v>
      </c>
      <c r="DF22">
        <v>1</v>
      </c>
      <c r="DG22">
        <v>5</v>
      </c>
      <c r="DH22">
        <v>1</v>
      </c>
      <c r="DI22">
        <v>1</v>
      </c>
      <c r="DJ22">
        <v>1</v>
      </c>
      <c r="DK22">
        <v>1</v>
      </c>
      <c r="DL22">
        <v>1</v>
      </c>
      <c r="DM22">
        <v>1</v>
      </c>
      <c r="DN22">
        <v>2</v>
      </c>
      <c r="DO22">
        <v>5</v>
      </c>
      <c r="DP22">
        <v>1</v>
      </c>
      <c r="DQ22">
        <v>1</v>
      </c>
      <c r="DR22">
        <v>1</v>
      </c>
      <c r="DS22">
        <v>1</v>
      </c>
      <c r="DT22">
        <v>1</v>
      </c>
      <c r="DU22">
        <v>5</v>
      </c>
      <c r="DV22">
        <v>1</v>
      </c>
      <c r="DW22">
        <v>1</v>
      </c>
      <c r="DX22">
        <v>1</v>
      </c>
      <c r="DY22">
        <v>1</v>
      </c>
      <c r="DZ22">
        <v>5</v>
      </c>
      <c r="EA22">
        <v>1</v>
      </c>
      <c r="EB22">
        <v>1</v>
      </c>
      <c r="EC22">
        <v>5</v>
      </c>
      <c r="ED22">
        <v>1</v>
      </c>
      <c r="EE22">
        <v>1</v>
      </c>
      <c r="EF22">
        <v>0</v>
      </c>
      <c r="EG22">
        <v>0</v>
      </c>
      <c r="EH22">
        <v>0</v>
      </c>
      <c r="EI22">
        <v>1</v>
      </c>
      <c r="EJ22">
        <v>0</v>
      </c>
      <c r="EK22">
        <v>1</v>
      </c>
      <c r="EL22">
        <v>1</v>
      </c>
      <c r="EM22">
        <v>0</v>
      </c>
      <c r="EN22">
        <v>0</v>
      </c>
      <c r="EO22">
        <v>0</v>
      </c>
      <c r="EP22">
        <v>0</v>
      </c>
      <c r="EQ22">
        <v>1</v>
      </c>
      <c r="ER22">
        <v>0</v>
      </c>
      <c r="ES22">
        <v>1</v>
      </c>
      <c r="ET22">
        <v>1</v>
      </c>
      <c r="EU22">
        <v>1</v>
      </c>
      <c r="EV22">
        <v>0</v>
      </c>
    </row>
    <row r="23" spans="1:152">
      <c r="A23" t="str">
        <v>UNIQ(5)</v>
      </c>
      <c r="B23" t="str">
        <v>How different is this product from other products on the market today? (5)</v>
      </c>
      <c r="C23">
        <v>1</v>
      </c>
      <c r="D23">
        <v>2</v>
      </c>
      <c r="E23">
        <v>1</v>
      </c>
      <c r="F23">
        <v>2</v>
      </c>
      <c r="G23">
        <v>5</v>
      </c>
      <c r="H23">
        <v>2</v>
      </c>
      <c r="I23">
        <v>5</v>
      </c>
      <c r="J23">
        <v>2</v>
      </c>
      <c r="K23">
        <v>2</v>
      </c>
      <c r="L23">
        <v>2</v>
      </c>
      <c r="M23">
        <v>1</v>
      </c>
      <c r="N23">
        <v>1</v>
      </c>
      <c r="O23">
        <v>4</v>
      </c>
      <c r="P23">
        <v>2</v>
      </c>
      <c r="Q23">
        <v>2</v>
      </c>
      <c r="R23">
        <v>2</v>
      </c>
      <c r="S23">
        <v>1</v>
      </c>
      <c r="T23">
        <v>5</v>
      </c>
      <c r="U23">
        <v>5</v>
      </c>
      <c r="V23">
        <v>1</v>
      </c>
      <c r="W23">
        <v>2</v>
      </c>
      <c r="X23">
        <v>5</v>
      </c>
      <c r="Y23">
        <v>2</v>
      </c>
      <c r="Z23">
        <v>1</v>
      </c>
      <c r="AA23">
        <v>2</v>
      </c>
      <c r="AB23">
        <v>2</v>
      </c>
      <c r="AC23">
        <v>2</v>
      </c>
      <c r="AD23">
        <v>4</v>
      </c>
      <c r="AE23">
        <v>1</v>
      </c>
      <c r="AF23">
        <v>5</v>
      </c>
      <c r="AG23">
        <v>5</v>
      </c>
      <c r="AH23">
        <v>2</v>
      </c>
      <c r="AI23">
        <v>5</v>
      </c>
      <c r="AJ23">
        <v>1</v>
      </c>
      <c r="AK23">
        <v>2</v>
      </c>
      <c r="AL23">
        <v>4</v>
      </c>
      <c r="AM23">
        <v>5</v>
      </c>
      <c r="AN23">
        <v>2</v>
      </c>
      <c r="AO23">
        <v>3</v>
      </c>
      <c r="AP23">
        <v>2</v>
      </c>
      <c r="AQ23">
        <v>1</v>
      </c>
      <c r="AR23">
        <v>3</v>
      </c>
      <c r="AS23">
        <v>5</v>
      </c>
      <c r="AT23">
        <v>2</v>
      </c>
      <c r="AU23">
        <v>1</v>
      </c>
      <c r="AV23">
        <v>3</v>
      </c>
      <c r="AW23">
        <v>1</v>
      </c>
      <c r="AX23">
        <v>2</v>
      </c>
      <c r="AY23">
        <v>3</v>
      </c>
      <c r="AZ23">
        <v>1</v>
      </c>
      <c r="BA23">
        <v>2</v>
      </c>
      <c r="BB23">
        <v>2</v>
      </c>
      <c r="BC23">
        <v>2</v>
      </c>
      <c r="BD23">
        <v>5</v>
      </c>
      <c r="BE23">
        <v>5</v>
      </c>
      <c r="BF23">
        <v>2</v>
      </c>
      <c r="BG23">
        <v>2</v>
      </c>
      <c r="BH23">
        <v>5</v>
      </c>
      <c r="BI23">
        <v>1</v>
      </c>
      <c r="BJ23">
        <v>1</v>
      </c>
      <c r="BK23">
        <v>0</v>
      </c>
      <c r="BL23">
        <v>2</v>
      </c>
      <c r="BM23">
        <v>2</v>
      </c>
      <c r="BN23">
        <v>1</v>
      </c>
      <c r="BO23">
        <v>2</v>
      </c>
      <c r="BP23">
        <v>5</v>
      </c>
      <c r="BQ23">
        <v>5</v>
      </c>
      <c r="BR23">
        <v>1</v>
      </c>
      <c r="BS23">
        <v>1</v>
      </c>
      <c r="BT23">
        <v>3</v>
      </c>
      <c r="BU23">
        <v>5</v>
      </c>
      <c r="BV23">
        <v>3</v>
      </c>
      <c r="BW23">
        <v>1</v>
      </c>
      <c r="BX23">
        <v>1</v>
      </c>
      <c r="BY23">
        <v>3</v>
      </c>
      <c r="BZ23">
        <v>2</v>
      </c>
      <c r="CA23">
        <v>2</v>
      </c>
      <c r="CB23">
        <v>2</v>
      </c>
      <c r="CC23">
        <v>3</v>
      </c>
      <c r="CD23">
        <v>2</v>
      </c>
      <c r="CE23">
        <v>5</v>
      </c>
      <c r="CF23">
        <v>5</v>
      </c>
      <c r="CG23">
        <v>5</v>
      </c>
      <c r="CH23">
        <v>1</v>
      </c>
      <c r="CI23">
        <v>1</v>
      </c>
      <c r="CJ23">
        <v>2</v>
      </c>
      <c r="CK23">
        <v>2</v>
      </c>
      <c r="CL23">
        <v>2</v>
      </c>
      <c r="CM23">
        <v>5</v>
      </c>
      <c r="CN23">
        <v>0</v>
      </c>
      <c r="CO23">
        <v>1</v>
      </c>
      <c r="CP23">
        <v>2</v>
      </c>
      <c r="CQ23">
        <v>2</v>
      </c>
      <c r="CR23">
        <v>1</v>
      </c>
      <c r="CS23">
        <v>5</v>
      </c>
      <c r="CT23">
        <v>2</v>
      </c>
      <c r="CU23">
        <v>2</v>
      </c>
      <c r="CV23">
        <v>5</v>
      </c>
      <c r="CW23">
        <v>2</v>
      </c>
      <c r="CX23">
        <v>3</v>
      </c>
      <c r="CY23">
        <v>5</v>
      </c>
      <c r="CZ23">
        <v>5</v>
      </c>
      <c r="DA23">
        <v>2</v>
      </c>
      <c r="DB23">
        <v>1</v>
      </c>
      <c r="DC23">
        <v>3</v>
      </c>
      <c r="DD23">
        <v>1</v>
      </c>
      <c r="DE23">
        <v>1</v>
      </c>
      <c r="DF23">
        <v>2</v>
      </c>
      <c r="DG23">
        <v>2</v>
      </c>
      <c r="DH23">
        <v>1</v>
      </c>
      <c r="DI23">
        <v>1</v>
      </c>
      <c r="DJ23">
        <v>2</v>
      </c>
      <c r="DK23">
        <v>1</v>
      </c>
      <c r="DL23">
        <v>1</v>
      </c>
      <c r="DM23">
        <v>1</v>
      </c>
      <c r="DN23">
        <v>3</v>
      </c>
      <c r="DO23">
        <v>5</v>
      </c>
      <c r="DP23">
        <v>2</v>
      </c>
      <c r="DQ23">
        <v>1</v>
      </c>
      <c r="DR23">
        <v>4</v>
      </c>
      <c r="DS23">
        <v>5</v>
      </c>
      <c r="DT23">
        <v>2</v>
      </c>
      <c r="DU23">
        <v>5</v>
      </c>
      <c r="DV23">
        <v>2</v>
      </c>
      <c r="DW23">
        <v>2</v>
      </c>
      <c r="DX23">
        <v>2</v>
      </c>
      <c r="DY23">
        <v>1</v>
      </c>
      <c r="DZ23">
        <v>3</v>
      </c>
      <c r="EA23">
        <v>2</v>
      </c>
      <c r="EB23">
        <v>1</v>
      </c>
      <c r="EC23">
        <v>1</v>
      </c>
      <c r="ED23">
        <v>2</v>
      </c>
      <c r="EE23">
        <v>2</v>
      </c>
      <c r="EF23">
        <v>0</v>
      </c>
      <c r="EG23">
        <v>0</v>
      </c>
      <c r="EH23">
        <v>0</v>
      </c>
      <c r="EI23">
        <v>2</v>
      </c>
      <c r="EJ23">
        <v>0</v>
      </c>
      <c r="EK23">
        <v>2</v>
      </c>
      <c r="EL23">
        <v>2</v>
      </c>
      <c r="EM23">
        <v>0</v>
      </c>
      <c r="EN23">
        <v>0</v>
      </c>
      <c r="EO23">
        <v>0</v>
      </c>
      <c r="EP23">
        <v>0</v>
      </c>
      <c r="EQ23">
        <v>4</v>
      </c>
      <c r="ER23">
        <v>0</v>
      </c>
      <c r="ES23">
        <v>5</v>
      </c>
      <c r="ET23">
        <v>1</v>
      </c>
      <c r="EU23">
        <v>0</v>
      </c>
      <c r="EV23">
        <v>0</v>
      </c>
    </row>
    <row r="24" spans="1:152">
      <c r="A24" t="str">
        <v>UNIQ(6)</v>
      </c>
      <c r="B24" t="str">
        <v>How different is this product from other products on the market today? (6)</v>
      </c>
      <c r="C24">
        <v>1</v>
      </c>
      <c r="D24">
        <v>1</v>
      </c>
      <c r="E24">
        <v>1</v>
      </c>
      <c r="F24">
        <v>1</v>
      </c>
      <c r="G24">
        <v>1</v>
      </c>
      <c r="H24">
        <v>1</v>
      </c>
      <c r="I24">
        <v>5</v>
      </c>
      <c r="J24">
        <v>1</v>
      </c>
      <c r="K24">
        <v>1</v>
      </c>
      <c r="L24">
        <v>1</v>
      </c>
      <c r="M24">
        <v>5</v>
      </c>
      <c r="N24">
        <v>1</v>
      </c>
      <c r="O24">
        <v>5</v>
      </c>
      <c r="P24">
        <v>1</v>
      </c>
      <c r="Q24">
        <v>1</v>
      </c>
      <c r="R24">
        <v>0</v>
      </c>
      <c r="S24">
        <v>1</v>
      </c>
      <c r="T24">
        <v>5</v>
      </c>
      <c r="U24">
        <v>1</v>
      </c>
      <c r="V24">
        <v>1</v>
      </c>
      <c r="W24">
        <v>1</v>
      </c>
      <c r="X24">
        <v>5</v>
      </c>
      <c r="Y24">
        <v>5</v>
      </c>
      <c r="Z24">
        <v>5</v>
      </c>
      <c r="AA24">
        <v>1</v>
      </c>
      <c r="AB24">
        <v>1</v>
      </c>
      <c r="AC24">
        <v>1</v>
      </c>
      <c r="AD24">
        <v>5</v>
      </c>
      <c r="AE24">
        <v>1</v>
      </c>
      <c r="AF24">
        <v>5</v>
      </c>
      <c r="AG24">
        <v>5</v>
      </c>
      <c r="AH24">
        <v>1</v>
      </c>
      <c r="AI24">
        <v>5</v>
      </c>
      <c r="AJ24">
        <v>1</v>
      </c>
      <c r="AK24">
        <v>1</v>
      </c>
      <c r="AL24">
        <v>1</v>
      </c>
      <c r="AM24">
        <v>5</v>
      </c>
      <c r="AN24">
        <v>1</v>
      </c>
      <c r="AO24">
        <v>1</v>
      </c>
      <c r="AP24">
        <v>1</v>
      </c>
      <c r="AQ24">
        <v>1</v>
      </c>
      <c r="AR24">
        <v>1</v>
      </c>
      <c r="AS24">
        <v>5</v>
      </c>
      <c r="AT24">
        <v>5</v>
      </c>
      <c r="AU24">
        <v>1</v>
      </c>
      <c r="AV24">
        <v>2</v>
      </c>
      <c r="AW24">
        <v>1</v>
      </c>
      <c r="AX24">
        <v>1</v>
      </c>
      <c r="AY24">
        <v>1</v>
      </c>
      <c r="AZ24">
        <v>1</v>
      </c>
      <c r="BA24">
        <v>1</v>
      </c>
      <c r="BB24">
        <v>1</v>
      </c>
      <c r="BC24">
        <v>1</v>
      </c>
      <c r="BD24">
        <v>5</v>
      </c>
      <c r="BE24">
        <v>5</v>
      </c>
      <c r="BF24">
        <v>2</v>
      </c>
      <c r="BG24">
        <v>2</v>
      </c>
      <c r="BH24">
        <v>5</v>
      </c>
      <c r="BI24">
        <v>2</v>
      </c>
      <c r="BJ24">
        <v>1</v>
      </c>
      <c r="BK24">
        <v>0</v>
      </c>
      <c r="BL24">
        <v>1</v>
      </c>
      <c r="BM24">
        <v>5</v>
      </c>
      <c r="BN24">
        <v>1</v>
      </c>
      <c r="BO24">
        <v>1</v>
      </c>
      <c r="BP24">
        <v>1</v>
      </c>
      <c r="BQ24">
        <v>1</v>
      </c>
      <c r="BR24">
        <v>1</v>
      </c>
      <c r="BS24">
        <v>1</v>
      </c>
      <c r="BT24">
        <v>1</v>
      </c>
      <c r="BU24">
        <v>5</v>
      </c>
      <c r="BV24">
        <v>2</v>
      </c>
      <c r="BW24">
        <v>1</v>
      </c>
      <c r="BX24">
        <v>1</v>
      </c>
      <c r="BY24">
        <v>1</v>
      </c>
      <c r="BZ24">
        <v>1</v>
      </c>
      <c r="CA24">
        <v>1</v>
      </c>
      <c r="CB24">
        <v>1</v>
      </c>
      <c r="CC24">
        <v>1</v>
      </c>
      <c r="CD24">
        <v>5</v>
      </c>
      <c r="CE24">
        <v>5</v>
      </c>
      <c r="CF24">
        <v>5</v>
      </c>
      <c r="CG24">
        <v>5</v>
      </c>
      <c r="CH24">
        <v>2</v>
      </c>
      <c r="CI24">
        <v>2</v>
      </c>
      <c r="CJ24">
        <v>1</v>
      </c>
      <c r="CK24">
        <v>1</v>
      </c>
      <c r="CL24">
        <v>1</v>
      </c>
      <c r="CM24">
        <v>1</v>
      </c>
      <c r="CN24">
        <v>0</v>
      </c>
      <c r="CO24">
        <v>1</v>
      </c>
      <c r="CP24">
        <v>1</v>
      </c>
      <c r="CQ24">
        <v>1</v>
      </c>
      <c r="CR24">
        <v>1</v>
      </c>
      <c r="CS24">
        <v>5</v>
      </c>
      <c r="CT24">
        <v>5</v>
      </c>
      <c r="CU24">
        <v>2</v>
      </c>
      <c r="CV24">
        <v>1</v>
      </c>
      <c r="CW24">
        <v>1</v>
      </c>
      <c r="CX24">
        <v>2</v>
      </c>
      <c r="CY24">
        <v>5</v>
      </c>
      <c r="CZ24">
        <v>1</v>
      </c>
      <c r="DA24">
        <v>1</v>
      </c>
      <c r="DB24">
        <v>1</v>
      </c>
      <c r="DC24">
        <v>2</v>
      </c>
      <c r="DD24">
        <v>0</v>
      </c>
      <c r="DE24">
        <v>1</v>
      </c>
      <c r="DF24">
        <v>1</v>
      </c>
      <c r="DG24">
        <v>5</v>
      </c>
      <c r="DH24">
        <v>1</v>
      </c>
      <c r="DI24">
        <v>1</v>
      </c>
      <c r="DJ24">
        <v>1</v>
      </c>
      <c r="DK24">
        <v>1</v>
      </c>
      <c r="DL24">
        <v>1</v>
      </c>
      <c r="DM24">
        <v>1</v>
      </c>
      <c r="DN24">
        <v>2</v>
      </c>
      <c r="DO24">
        <v>5</v>
      </c>
      <c r="DP24">
        <v>5</v>
      </c>
      <c r="DQ24">
        <v>1</v>
      </c>
      <c r="DR24">
        <v>1</v>
      </c>
      <c r="DS24">
        <v>1</v>
      </c>
      <c r="DT24">
        <v>1</v>
      </c>
      <c r="DU24">
        <v>5</v>
      </c>
      <c r="DV24">
        <v>2</v>
      </c>
      <c r="DW24">
        <v>1</v>
      </c>
      <c r="DX24">
        <v>1</v>
      </c>
      <c r="DY24">
        <v>1</v>
      </c>
      <c r="DZ24">
        <v>5</v>
      </c>
      <c r="EA24">
        <v>5</v>
      </c>
      <c r="EB24">
        <v>1</v>
      </c>
      <c r="EC24">
        <v>5</v>
      </c>
      <c r="ED24">
        <v>1</v>
      </c>
      <c r="EE24">
        <v>1</v>
      </c>
      <c r="EF24">
        <v>0</v>
      </c>
      <c r="EG24">
        <v>0</v>
      </c>
      <c r="EH24">
        <v>0</v>
      </c>
      <c r="EI24">
        <v>5</v>
      </c>
      <c r="EJ24">
        <v>0</v>
      </c>
      <c r="EK24">
        <v>2</v>
      </c>
      <c r="EL24">
        <v>1</v>
      </c>
      <c r="EM24">
        <v>0</v>
      </c>
      <c r="EN24">
        <v>0</v>
      </c>
      <c r="EO24">
        <v>0</v>
      </c>
      <c r="EP24">
        <v>2</v>
      </c>
      <c r="EQ24">
        <v>1</v>
      </c>
      <c r="ER24">
        <v>0</v>
      </c>
      <c r="ES24">
        <v>1</v>
      </c>
      <c r="ET24">
        <v>1</v>
      </c>
      <c r="EU24">
        <v>0</v>
      </c>
      <c r="EV24">
        <v>0</v>
      </c>
    </row>
    <row r="25" spans="1:152">
      <c r="A25" t="str">
        <v>UNIQ(7)</v>
      </c>
      <c r="B25" t="str">
        <v>How different is this product from other products on the market today? (7)</v>
      </c>
      <c r="C25">
        <v>1</v>
      </c>
      <c r="D25">
        <v>1</v>
      </c>
      <c r="E25">
        <v>1</v>
      </c>
      <c r="F25">
        <v>1</v>
      </c>
      <c r="G25">
        <v>1</v>
      </c>
      <c r="H25">
        <v>1</v>
      </c>
      <c r="I25">
        <v>5</v>
      </c>
      <c r="J25">
        <v>1</v>
      </c>
      <c r="K25">
        <v>1</v>
      </c>
      <c r="L25">
        <v>1</v>
      </c>
      <c r="M25">
        <v>5</v>
      </c>
      <c r="N25">
        <v>1</v>
      </c>
      <c r="O25">
        <v>5</v>
      </c>
      <c r="P25">
        <v>1</v>
      </c>
      <c r="Q25">
        <v>1</v>
      </c>
      <c r="R25">
        <v>1</v>
      </c>
      <c r="S25">
        <v>1</v>
      </c>
      <c r="T25">
        <v>5</v>
      </c>
      <c r="U25">
        <v>1</v>
      </c>
      <c r="V25">
        <v>1</v>
      </c>
      <c r="W25">
        <v>1</v>
      </c>
      <c r="X25">
        <v>1</v>
      </c>
      <c r="Y25">
        <v>1</v>
      </c>
      <c r="Z25">
        <v>1</v>
      </c>
      <c r="AA25">
        <v>1</v>
      </c>
      <c r="AB25">
        <v>1</v>
      </c>
      <c r="AC25">
        <v>1</v>
      </c>
      <c r="AD25">
        <v>5</v>
      </c>
      <c r="AE25">
        <v>1</v>
      </c>
      <c r="AF25">
        <v>5</v>
      </c>
      <c r="AG25">
        <v>5</v>
      </c>
      <c r="AH25">
        <v>5</v>
      </c>
      <c r="AI25">
        <v>5</v>
      </c>
      <c r="AJ25">
        <v>1</v>
      </c>
      <c r="AK25">
        <v>1</v>
      </c>
      <c r="AL25">
        <v>1</v>
      </c>
      <c r="AM25">
        <v>5</v>
      </c>
      <c r="AN25">
        <v>5</v>
      </c>
      <c r="AO25">
        <v>1</v>
      </c>
      <c r="AP25">
        <v>1</v>
      </c>
      <c r="AQ25">
        <v>1</v>
      </c>
      <c r="AR25">
        <v>1</v>
      </c>
      <c r="AS25">
        <v>5</v>
      </c>
      <c r="AT25">
        <v>1</v>
      </c>
      <c r="AU25">
        <v>1</v>
      </c>
      <c r="AV25">
        <v>1</v>
      </c>
      <c r="AW25">
        <v>1</v>
      </c>
      <c r="AX25">
        <v>1</v>
      </c>
      <c r="AY25">
        <v>1</v>
      </c>
      <c r="AZ25">
        <v>1</v>
      </c>
      <c r="BA25">
        <v>1</v>
      </c>
      <c r="BB25">
        <v>1</v>
      </c>
      <c r="BC25">
        <v>1</v>
      </c>
      <c r="BD25">
        <v>1</v>
      </c>
      <c r="BE25">
        <v>1</v>
      </c>
      <c r="BF25">
        <v>1</v>
      </c>
      <c r="BG25">
        <v>1</v>
      </c>
      <c r="BH25">
        <v>1</v>
      </c>
      <c r="BI25">
        <v>2</v>
      </c>
      <c r="BJ25">
        <v>1</v>
      </c>
      <c r="BK25">
        <v>0</v>
      </c>
      <c r="BL25">
        <v>1</v>
      </c>
      <c r="BM25">
        <v>5</v>
      </c>
      <c r="BN25">
        <v>1</v>
      </c>
      <c r="BO25">
        <v>1</v>
      </c>
      <c r="BP25">
        <v>1</v>
      </c>
      <c r="BQ25">
        <v>1</v>
      </c>
      <c r="BR25">
        <v>5</v>
      </c>
      <c r="BS25">
        <v>1</v>
      </c>
      <c r="BT25">
        <v>1</v>
      </c>
      <c r="BU25">
        <v>1</v>
      </c>
      <c r="BV25">
        <v>1</v>
      </c>
      <c r="BW25">
        <v>5</v>
      </c>
      <c r="BX25">
        <v>1</v>
      </c>
      <c r="BY25">
        <v>1</v>
      </c>
      <c r="BZ25">
        <v>1</v>
      </c>
      <c r="CA25">
        <v>1</v>
      </c>
      <c r="CB25">
        <v>5</v>
      </c>
      <c r="CC25">
        <v>1</v>
      </c>
      <c r="CD25">
        <v>5</v>
      </c>
      <c r="CE25">
        <v>5</v>
      </c>
      <c r="CF25">
        <v>5</v>
      </c>
      <c r="CG25">
        <v>5</v>
      </c>
      <c r="CH25">
        <v>1</v>
      </c>
      <c r="CI25">
        <v>1</v>
      </c>
      <c r="CJ25">
        <v>1</v>
      </c>
      <c r="CK25">
        <v>1</v>
      </c>
      <c r="CL25">
        <v>1</v>
      </c>
      <c r="CM25">
        <v>1</v>
      </c>
      <c r="CN25">
        <v>0</v>
      </c>
      <c r="CO25">
        <v>1</v>
      </c>
      <c r="CP25">
        <v>1</v>
      </c>
      <c r="CQ25">
        <v>1</v>
      </c>
      <c r="CR25">
        <v>1</v>
      </c>
      <c r="CS25">
        <v>1</v>
      </c>
      <c r="CT25">
        <v>5</v>
      </c>
      <c r="CU25">
        <v>1</v>
      </c>
      <c r="CV25">
        <v>1</v>
      </c>
      <c r="CW25">
        <v>1</v>
      </c>
      <c r="CX25">
        <v>1</v>
      </c>
      <c r="CY25">
        <v>1</v>
      </c>
      <c r="CZ25">
        <v>1</v>
      </c>
      <c r="DA25">
        <v>1</v>
      </c>
      <c r="DB25">
        <v>1</v>
      </c>
      <c r="DC25">
        <v>1</v>
      </c>
      <c r="DD25">
        <v>1</v>
      </c>
      <c r="DE25">
        <v>1</v>
      </c>
      <c r="DF25">
        <v>1</v>
      </c>
      <c r="DG25">
        <v>1</v>
      </c>
      <c r="DH25">
        <v>1</v>
      </c>
      <c r="DI25">
        <v>1</v>
      </c>
      <c r="DJ25">
        <v>1</v>
      </c>
      <c r="DK25">
        <v>1</v>
      </c>
      <c r="DL25">
        <v>1</v>
      </c>
      <c r="DM25">
        <v>1</v>
      </c>
      <c r="DN25">
        <v>2</v>
      </c>
      <c r="DO25">
        <v>5</v>
      </c>
      <c r="DP25">
        <v>1</v>
      </c>
      <c r="DQ25">
        <v>1</v>
      </c>
      <c r="DR25">
        <v>1</v>
      </c>
      <c r="DS25">
        <v>1</v>
      </c>
      <c r="DT25">
        <v>1</v>
      </c>
      <c r="DU25">
        <v>5</v>
      </c>
      <c r="DV25">
        <v>1</v>
      </c>
      <c r="DW25">
        <v>1</v>
      </c>
      <c r="DX25">
        <v>1</v>
      </c>
      <c r="DY25">
        <v>1</v>
      </c>
      <c r="DZ25">
        <v>5</v>
      </c>
      <c r="EA25">
        <v>1</v>
      </c>
      <c r="EB25">
        <v>1</v>
      </c>
      <c r="EC25">
        <v>1</v>
      </c>
      <c r="ED25">
        <v>1</v>
      </c>
      <c r="EE25">
        <v>1</v>
      </c>
      <c r="EF25">
        <v>0</v>
      </c>
      <c r="EG25">
        <v>0</v>
      </c>
      <c r="EH25">
        <v>0</v>
      </c>
      <c r="EI25">
        <v>1</v>
      </c>
      <c r="EJ25">
        <v>2</v>
      </c>
      <c r="EK25">
        <v>1</v>
      </c>
      <c r="EL25">
        <v>1</v>
      </c>
      <c r="EM25">
        <v>0</v>
      </c>
      <c r="EN25">
        <v>0</v>
      </c>
      <c r="EO25">
        <v>0</v>
      </c>
      <c r="EP25">
        <v>3</v>
      </c>
      <c r="EQ25">
        <v>1</v>
      </c>
      <c r="ER25">
        <v>0</v>
      </c>
      <c r="ES25">
        <v>1</v>
      </c>
      <c r="ET25">
        <v>1</v>
      </c>
      <c r="EU25">
        <v>0</v>
      </c>
      <c r="EV25">
        <v>0</v>
      </c>
    </row>
    <row r="26" spans="1:152">
      <c r="A26" t="str">
        <v>FREQ(1)</v>
      </c>
      <c r="B26" t="str">
        <v>If you tried this product and it met your expectations for taste and effectiveness, how often could... (1)</v>
      </c>
      <c r="C26">
        <v>2</v>
      </c>
      <c r="D26">
        <v>2</v>
      </c>
      <c r="E26">
        <v>3</v>
      </c>
      <c r="F26">
        <v>1</v>
      </c>
      <c r="G26">
        <v>2</v>
      </c>
      <c r="H26">
        <v>5</v>
      </c>
      <c r="I26">
        <v>5</v>
      </c>
      <c r="J26">
        <v>1</v>
      </c>
      <c r="K26">
        <v>1</v>
      </c>
      <c r="L26">
        <v>3</v>
      </c>
      <c r="M26">
        <v>2</v>
      </c>
      <c r="N26">
        <v>1</v>
      </c>
      <c r="O26">
        <v>2</v>
      </c>
      <c r="P26">
        <v>3</v>
      </c>
      <c r="Q26">
        <v>1</v>
      </c>
      <c r="R26">
        <v>0</v>
      </c>
      <c r="S26">
        <v>5</v>
      </c>
      <c r="T26">
        <v>1</v>
      </c>
      <c r="U26">
        <v>1</v>
      </c>
      <c r="V26">
        <v>1</v>
      </c>
      <c r="W26">
        <v>2</v>
      </c>
      <c r="X26">
        <v>5</v>
      </c>
      <c r="Y26">
        <v>5</v>
      </c>
      <c r="Z26">
        <v>1</v>
      </c>
      <c r="AA26">
        <v>1</v>
      </c>
      <c r="AB26">
        <v>1</v>
      </c>
      <c r="AC26">
        <v>1</v>
      </c>
      <c r="AD26">
        <v>1</v>
      </c>
      <c r="AE26">
        <v>1</v>
      </c>
      <c r="AF26">
        <v>1</v>
      </c>
      <c r="AG26">
        <v>2</v>
      </c>
      <c r="AH26">
        <v>2</v>
      </c>
      <c r="AI26">
        <v>1</v>
      </c>
      <c r="AJ26">
        <v>1</v>
      </c>
      <c r="AK26">
        <v>1</v>
      </c>
      <c r="AL26">
        <v>5</v>
      </c>
      <c r="AM26">
        <v>2</v>
      </c>
      <c r="AN26">
        <v>1</v>
      </c>
      <c r="AO26">
        <v>1</v>
      </c>
      <c r="AP26">
        <v>1</v>
      </c>
      <c r="AQ26">
        <v>3</v>
      </c>
      <c r="AR26">
        <v>2</v>
      </c>
      <c r="AS26">
        <v>1</v>
      </c>
      <c r="AT26">
        <v>1</v>
      </c>
      <c r="AU26">
        <v>1</v>
      </c>
      <c r="AV26">
        <v>1</v>
      </c>
      <c r="AW26">
        <v>1</v>
      </c>
      <c r="AX26">
        <v>1</v>
      </c>
      <c r="AY26">
        <v>5</v>
      </c>
      <c r="AZ26">
        <v>5</v>
      </c>
      <c r="BA26">
        <v>2</v>
      </c>
      <c r="BB26">
        <v>2</v>
      </c>
      <c r="BC26">
        <v>1</v>
      </c>
      <c r="BD26">
        <v>5</v>
      </c>
      <c r="BE26">
        <v>2</v>
      </c>
      <c r="BF26">
        <v>1</v>
      </c>
      <c r="BG26">
        <v>1</v>
      </c>
      <c r="BH26">
        <v>1</v>
      </c>
      <c r="BI26">
        <v>1</v>
      </c>
      <c r="BJ26">
        <v>1</v>
      </c>
      <c r="BK26">
        <v>0</v>
      </c>
      <c r="BL26">
        <v>1</v>
      </c>
      <c r="BM26">
        <v>3</v>
      </c>
      <c r="BN26">
        <v>5</v>
      </c>
      <c r="BO26">
        <v>1</v>
      </c>
      <c r="BP26">
        <v>1</v>
      </c>
      <c r="BQ26">
        <v>1</v>
      </c>
      <c r="BR26">
        <v>5</v>
      </c>
      <c r="BS26">
        <v>2</v>
      </c>
      <c r="BT26">
        <v>2</v>
      </c>
      <c r="BU26">
        <v>1</v>
      </c>
      <c r="BV26">
        <v>1</v>
      </c>
      <c r="BW26">
        <v>2</v>
      </c>
      <c r="BX26">
        <v>5</v>
      </c>
      <c r="BY26">
        <v>5</v>
      </c>
      <c r="BZ26">
        <v>1</v>
      </c>
      <c r="CA26">
        <v>1</v>
      </c>
      <c r="CB26">
        <v>1</v>
      </c>
      <c r="CC26">
        <v>1</v>
      </c>
      <c r="CD26">
        <v>5</v>
      </c>
      <c r="CE26">
        <v>1</v>
      </c>
      <c r="CF26">
        <v>3</v>
      </c>
      <c r="CG26">
        <v>1</v>
      </c>
      <c r="CH26">
        <v>4</v>
      </c>
      <c r="CI26">
        <v>1</v>
      </c>
      <c r="CJ26">
        <v>1</v>
      </c>
      <c r="CK26">
        <v>2</v>
      </c>
      <c r="CL26">
        <v>1</v>
      </c>
      <c r="CM26">
        <v>1</v>
      </c>
      <c r="CN26">
        <v>0</v>
      </c>
      <c r="CO26">
        <v>2</v>
      </c>
      <c r="CP26">
        <v>2</v>
      </c>
      <c r="CQ26">
        <v>2</v>
      </c>
      <c r="CR26">
        <v>2</v>
      </c>
      <c r="CS26">
        <v>1</v>
      </c>
      <c r="CT26">
        <v>1</v>
      </c>
      <c r="CU26">
        <v>1</v>
      </c>
      <c r="CV26">
        <v>5</v>
      </c>
      <c r="CW26">
        <v>2</v>
      </c>
      <c r="CX26">
        <v>2</v>
      </c>
      <c r="CY26">
        <v>2</v>
      </c>
      <c r="CZ26">
        <v>0</v>
      </c>
      <c r="DA26">
        <v>1</v>
      </c>
      <c r="DB26">
        <v>3</v>
      </c>
      <c r="DC26">
        <v>1</v>
      </c>
      <c r="DD26">
        <v>3</v>
      </c>
      <c r="DE26">
        <v>5</v>
      </c>
      <c r="DF26">
        <v>1</v>
      </c>
      <c r="DG26">
        <v>1</v>
      </c>
      <c r="DH26">
        <v>1</v>
      </c>
      <c r="DI26">
        <v>1</v>
      </c>
      <c r="DJ26">
        <v>3</v>
      </c>
      <c r="DK26">
        <v>2</v>
      </c>
      <c r="DL26">
        <v>2</v>
      </c>
      <c r="DM26">
        <v>2</v>
      </c>
      <c r="DN26">
        <v>1</v>
      </c>
      <c r="DO26">
        <v>2</v>
      </c>
      <c r="DP26">
        <v>1</v>
      </c>
      <c r="DQ26">
        <v>5</v>
      </c>
      <c r="DR26">
        <v>2</v>
      </c>
      <c r="DS26">
        <v>1</v>
      </c>
      <c r="DT26">
        <v>1</v>
      </c>
      <c r="DU26">
        <v>1</v>
      </c>
      <c r="DV26">
        <v>2</v>
      </c>
      <c r="DW26">
        <v>1</v>
      </c>
      <c r="DX26">
        <v>1</v>
      </c>
      <c r="DY26">
        <v>5</v>
      </c>
      <c r="DZ26">
        <v>5</v>
      </c>
      <c r="EA26">
        <v>2</v>
      </c>
      <c r="EB26">
        <v>5</v>
      </c>
      <c r="EC26">
        <v>1</v>
      </c>
      <c r="ED26">
        <v>1</v>
      </c>
      <c r="EE26">
        <v>1</v>
      </c>
      <c r="EF26">
        <v>0</v>
      </c>
      <c r="EG26">
        <v>0</v>
      </c>
      <c r="EH26">
        <v>0</v>
      </c>
      <c r="EI26">
        <v>1</v>
      </c>
      <c r="EJ26">
        <v>0</v>
      </c>
      <c r="EK26">
        <v>1</v>
      </c>
      <c r="EL26">
        <v>1</v>
      </c>
      <c r="EM26">
        <v>0</v>
      </c>
      <c r="EN26">
        <v>0</v>
      </c>
      <c r="EO26">
        <v>0</v>
      </c>
      <c r="EP26">
        <v>5</v>
      </c>
      <c r="EQ26">
        <v>0</v>
      </c>
      <c r="ER26">
        <v>0</v>
      </c>
      <c r="ES26">
        <v>1</v>
      </c>
      <c r="ET26">
        <v>3</v>
      </c>
      <c r="EU26">
        <v>0</v>
      </c>
      <c r="EV26">
        <v>0</v>
      </c>
    </row>
    <row r="27" spans="1:152">
      <c r="A27" t="str">
        <v>FREQ(2)</v>
      </c>
      <c r="B27" t="str">
        <v>If you tried this product and it met your expectations for taste and effectiveness, how often could... (2)</v>
      </c>
      <c r="C27">
        <v>2</v>
      </c>
      <c r="D27">
        <v>1</v>
      </c>
      <c r="E27">
        <v>2</v>
      </c>
      <c r="F27">
        <v>5</v>
      </c>
      <c r="G27">
        <v>5</v>
      </c>
      <c r="H27">
        <v>5</v>
      </c>
      <c r="I27">
        <v>5</v>
      </c>
      <c r="J27">
        <v>1</v>
      </c>
      <c r="K27">
        <v>1</v>
      </c>
      <c r="L27">
        <v>1</v>
      </c>
      <c r="M27">
        <v>5</v>
      </c>
      <c r="N27">
        <v>1</v>
      </c>
      <c r="O27">
        <v>1</v>
      </c>
      <c r="P27">
        <v>2</v>
      </c>
      <c r="Q27">
        <v>1</v>
      </c>
      <c r="R27">
        <v>0</v>
      </c>
      <c r="S27">
        <v>5</v>
      </c>
      <c r="T27">
        <v>1</v>
      </c>
      <c r="U27">
        <v>5</v>
      </c>
      <c r="V27">
        <v>1</v>
      </c>
      <c r="W27">
        <v>1</v>
      </c>
      <c r="X27">
        <v>5</v>
      </c>
      <c r="Y27">
        <v>5</v>
      </c>
      <c r="Z27">
        <v>5</v>
      </c>
      <c r="AA27">
        <v>1</v>
      </c>
      <c r="AB27">
        <v>1</v>
      </c>
      <c r="AC27">
        <v>1</v>
      </c>
      <c r="AD27">
        <v>1</v>
      </c>
      <c r="AE27">
        <v>1</v>
      </c>
      <c r="AF27">
        <v>1</v>
      </c>
      <c r="AG27">
        <v>2</v>
      </c>
      <c r="AH27">
        <v>2</v>
      </c>
      <c r="AI27">
        <v>5</v>
      </c>
      <c r="AJ27">
        <v>1</v>
      </c>
      <c r="AK27">
        <v>1</v>
      </c>
      <c r="AL27">
        <v>5</v>
      </c>
      <c r="AM27">
        <v>2</v>
      </c>
      <c r="AN27">
        <v>1</v>
      </c>
      <c r="AO27">
        <v>1</v>
      </c>
      <c r="AP27">
        <v>1</v>
      </c>
      <c r="AQ27">
        <v>4</v>
      </c>
      <c r="AR27">
        <v>5</v>
      </c>
      <c r="AS27">
        <v>1</v>
      </c>
      <c r="AT27">
        <v>1</v>
      </c>
      <c r="AU27">
        <v>1</v>
      </c>
      <c r="AV27">
        <v>1</v>
      </c>
      <c r="AW27">
        <v>1</v>
      </c>
      <c r="AX27">
        <v>1</v>
      </c>
      <c r="AY27">
        <v>5</v>
      </c>
      <c r="AZ27">
        <v>1</v>
      </c>
      <c r="BA27">
        <v>1</v>
      </c>
      <c r="BB27">
        <v>2</v>
      </c>
      <c r="BC27">
        <v>1</v>
      </c>
      <c r="BD27">
        <v>5</v>
      </c>
      <c r="BE27">
        <v>1</v>
      </c>
      <c r="BF27">
        <v>1</v>
      </c>
      <c r="BG27">
        <v>1</v>
      </c>
      <c r="BH27">
        <v>1</v>
      </c>
      <c r="BI27">
        <v>1</v>
      </c>
      <c r="BJ27">
        <v>1</v>
      </c>
      <c r="BK27">
        <v>0</v>
      </c>
      <c r="BL27">
        <v>1</v>
      </c>
      <c r="BM27">
        <v>5</v>
      </c>
      <c r="BN27">
        <v>1</v>
      </c>
      <c r="BO27">
        <v>1</v>
      </c>
      <c r="BP27">
        <v>1</v>
      </c>
      <c r="BQ27">
        <v>1</v>
      </c>
      <c r="BR27">
        <v>5</v>
      </c>
      <c r="BS27">
        <v>1</v>
      </c>
      <c r="BT27">
        <v>5</v>
      </c>
      <c r="BU27">
        <v>5</v>
      </c>
      <c r="BV27">
        <v>1</v>
      </c>
      <c r="BW27">
        <v>1</v>
      </c>
      <c r="BX27">
        <v>1</v>
      </c>
      <c r="BY27">
        <v>5</v>
      </c>
      <c r="BZ27">
        <v>1</v>
      </c>
      <c r="CA27">
        <v>2</v>
      </c>
      <c r="CB27">
        <v>1</v>
      </c>
      <c r="CC27">
        <v>1</v>
      </c>
      <c r="CD27">
        <v>5</v>
      </c>
      <c r="CE27">
        <v>1</v>
      </c>
      <c r="CF27">
        <v>3</v>
      </c>
      <c r="CG27">
        <v>1</v>
      </c>
      <c r="CH27">
        <v>1</v>
      </c>
      <c r="CI27">
        <v>1</v>
      </c>
      <c r="CJ27">
        <v>1</v>
      </c>
      <c r="CK27">
        <v>2</v>
      </c>
      <c r="CL27">
        <v>5</v>
      </c>
      <c r="CM27">
        <v>1</v>
      </c>
      <c r="CN27">
        <v>1</v>
      </c>
      <c r="CO27">
        <v>1</v>
      </c>
      <c r="CP27">
        <v>1</v>
      </c>
      <c r="CQ27">
        <v>1</v>
      </c>
      <c r="CR27">
        <v>1</v>
      </c>
      <c r="CS27">
        <v>2</v>
      </c>
      <c r="CT27">
        <v>1</v>
      </c>
      <c r="CU27">
        <v>1</v>
      </c>
      <c r="CV27">
        <v>5</v>
      </c>
      <c r="CW27">
        <v>1</v>
      </c>
      <c r="CX27">
        <v>2</v>
      </c>
      <c r="CY27">
        <v>2</v>
      </c>
      <c r="CZ27">
        <v>0</v>
      </c>
      <c r="DA27">
        <v>1</v>
      </c>
      <c r="DB27">
        <v>5</v>
      </c>
      <c r="DC27">
        <v>1</v>
      </c>
      <c r="DD27">
        <v>0</v>
      </c>
      <c r="DE27">
        <v>1</v>
      </c>
      <c r="DF27">
        <v>1</v>
      </c>
      <c r="DG27">
        <v>1</v>
      </c>
      <c r="DH27">
        <v>1</v>
      </c>
      <c r="DI27">
        <v>1</v>
      </c>
      <c r="DJ27">
        <v>3</v>
      </c>
      <c r="DK27">
        <v>1</v>
      </c>
      <c r="DL27">
        <v>1</v>
      </c>
      <c r="DM27">
        <v>2</v>
      </c>
      <c r="DN27">
        <v>1</v>
      </c>
      <c r="DO27">
        <v>5</v>
      </c>
      <c r="DP27">
        <v>1</v>
      </c>
      <c r="DQ27">
        <v>5</v>
      </c>
      <c r="DR27">
        <v>1</v>
      </c>
      <c r="DS27">
        <v>5</v>
      </c>
      <c r="DT27">
        <v>2</v>
      </c>
      <c r="DU27">
        <v>1</v>
      </c>
      <c r="DV27">
        <v>3</v>
      </c>
      <c r="DW27">
        <v>1</v>
      </c>
      <c r="DX27">
        <v>1</v>
      </c>
      <c r="DY27">
        <v>5</v>
      </c>
      <c r="DZ27">
        <v>5</v>
      </c>
      <c r="EA27">
        <v>5</v>
      </c>
      <c r="EB27">
        <v>5</v>
      </c>
      <c r="EC27">
        <v>1</v>
      </c>
      <c r="ED27">
        <v>1</v>
      </c>
      <c r="EE27">
        <v>1</v>
      </c>
      <c r="EF27">
        <v>0</v>
      </c>
      <c r="EG27">
        <v>0</v>
      </c>
      <c r="EH27">
        <v>0</v>
      </c>
      <c r="EI27">
        <v>3</v>
      </c>
      <c r="EJ27">
        <v>0</v>
      </c>
      <c r="EK27">
        <v>1</v>
      </c>
      <c r="EL27">
        <v>1</v>
      </c>
      <c r="EM27">
        <v>0</v>
      </c>
      <c r="EN27">
        <v>0</v>
      </c>
      <c r="EO27">
        <v>0</v>
      </c>
      <c r="EP27">
        <v>1</v>
      </c>
      <c r="EQ27">
        <v>0</v>
      </c>
      <c r="ER27">
        <v>0</v>
      </c>
      <c r="ES27">
        <v>1</v>
      </c>
      <c r="ET27">
        <v>4</v>
      </c>
      <c r="EU27">
        <v>0</v>
      </c>
      <c r="EV27">
        <v>5</v>
      </c>
    </row>
    <row r="28" spans="1:152">
      <c r="A28" t="str">
        <v>FREQ(3)</v>
      </c>
      <c r="B28" t="str">
        <v>If you tried this product and it met your expectations for taste and effectiveness, how often could... (3)</v>
      </c>
      <c r="C28">
        <v>1</v>
      </c>
      <c r="D28">
        <v>2</v>
      </c>
      <c r="E28">
        <v>3</v>
      </c>
      <c r="F28">
        <v>5</v>
      </c>
      <c r="G28">
        <v>1</v>
      </c>
      <c r="H28">
        <v>5</v>
      </c>
      <c r="I28">
        <v>5</v>
      </c>
      <c r="J28">
        <v>1</v>
      </c>
      <c r="K28">
        <v>2</v>
      </c>
      <c r="L28">
        <v>3</v>
      </c>
      <c r="M28">
        <v>3</v>
      </c>
      <c r="N28">
        <v>1</v>
      </c>
      <c r="O28">
        <v>3</v>
      </c>
      <c r="P28">
        <v>3</v>
      </c>
      <c r="Q28">
        <v>2</v>
      </c>
      <c r="R28">
        <v>1</v>
      </c>
      <c r="S28">
        <v>1</v>
      </c>
      <c r="T28">
        <v>1</v>
      </c>
      <c r="U28">
        <v>1</v>
      </c>
      <c r="V28">
        <v>1</v>
      </c>
      <c r="W28">
        <v>2</v>
      </c>
      <c r="X28">
        <v>5</v>
      </c>
      <c r="Y28">
        <v>5</v>
      </c>
      <c r="Z28">
        <v>2</v>
      </c>
      <c r="AA28">
        <v>1</v>
      </c>
      <c r="AB28">
        <v>5</v>
      </c>
      <c r="AC28">
        <v>1</v>
      </c>
      <c r="AD28">
        <v>1</v>
      </c>
      <c r="AE28">
        <v>1</v>
      </c>
      <c r="AF28">
        <v>1</v>
      </c>
      <c r="AG28">
        <v>3</v>
      </c>
      <c r="AH28">
        <v>1</v>
      </c>
      <c r="AI28">
        <v>5</v>
      </c>
      <c r="AJ28">
        <v>1</v>
      </c>
      <c r="AK28">
        <v>2</v>
      </c>
      <c r="AL28">
        <v>1</v>
      </c>
      <c r="AM28">
        <v>3</v>
      </c>
      <c r="AN28">
        <v>1</v>
      </c>
      <c r="AO28">
        <v>1</v>
      </c>
      <c r="AP28">
        <v>2</v>
      </c>
      <c r="AQ28">
        <v>2</v>
      </c>
      <c r="AR28">
        <v>2</v>
      </c>
      <c r="AS28">
        <v>0</v>
      </c>
      <c r="AT28">
        <v>1</v>
      </c>
      <c r="AU28">
        <v>1</v>
      </c>
      <c r="AV28">
        <v>1</v>
      </c>
      <c r="AW28">
        <v>1</v>
      </c>
      <c r="AX28">
        <v>1</v>
      </c>
      <c r="AY28">
        <v>5</v>
      </c>
      <c r="AZ28">
        <v>1</v>
      </c>
      <c r="BA28">
        <v>2</v>
      </c>
      <c r="BB28">
        <v>2</v>
      </c>
      <c r="BC28">
        <v>1</v>
      </c>
      <c r="BD28">
        <v>1</v>
      </c>
      <c r="BE28">
        <v>2</v>
      </c>
      <c r="BF28">
        <v>1</v>
      </c>
      <c r="BG28">
        <v>1</v>
      </c>
      <c r="BH28">
        <v>1</v>
      </c>
      <c r="BI28">
        <v>1</v>
      </c>
      <c r="BJ28">
        <v>1</v>
      </c>
      <c r="BK28">
        <v>0</v>
      </c>
      <c r="BL28">
        <v>1</v>
      </c>
      <c r="BM28">
        <v>3</v>
      </c>
      <c r="BN28">
        <v>1</v>
      </c>
      <c r="BO28">
        <v>1</v>
      </c>
      <c r="BP28">
        <v>1</v>
      </c>
      <c r="BQ28">
        <v>1</v>
      </c>
      <c r="BR28">
        <v>5</v>
      </c>
      <c r="BS28">
        <v>2</v>
      </c>
      <c r="BT28">
        <v>1</v>
      </c>
      <c r="BU28">
        <v>1</v>
      </c>
      <c r="BV28">
        <v>1</v>
      </c>
      <c r="BW28">
        <v>5</v>
      </c>
      <c r="BX28">
        <v>1</v>
      </c>
      <c r="BY28">
        <v>5</v>
      </c>
      <c r="BZ28">
        <v>1</v>
      </c>
      <c r="CA28">
        <v>2</v>
      </c>
      <c r="CB28">
        <v>1</v>
      </c>
      <c r="CC28">
        <v>1</v>
      </c>
      <c r="CD28">
        <v>0</v>
      </c>
      <c r="CE28">
        <v>1</v>
      </c>
      <c r="CF28">
        <v>1</v>
      </c>
      <c r="CG28">
        <v>2</v>
      </c>
      <c r="CH28">
        <v>4</v>
      </c>
      <c r="CI28">
        <v>1</v>
      </c>
      <c r="CJ28">
        <v>1</v>
      </c>
      <c r="CK28">
        <v>2</v>
      </c>
      <c r="CL28">
        <v>1</v>
      </c>
      <c r="CM28">
        <v>1</v>
      </c>
      <c r="CN28">
        <v>0</v>
      </c>
      <c r="CO28">
        <v>1</v>
      </c>
      <c r="CP28">
        <v>1</v>
      </c>
      <c r="CQ28">
        <v>2</v>
      </c>
      <c r="CR28">
        <v>3</v>
      </c>
      <c r="CS28">
        <v>3</v>
      </c>
      <c r="CT28">
        <v>1</v>
      </c>
      <c r="CU28">
        <v>1</v>
      </c>
      <c r="CV28">
        <v>1</v>
      </c>
      <c r="CW28">
        <v>1</v>
      </c>
      <c r="CX28">
        <v>1</v>
      </c>
      <c r="CY28">
        <v>2</v>
      </c>
      <c r="CZ28">
        <v>0</v>
      </c>
      <c r="DA28">
        <v>1</v>
      </c>
      <c r="DB28">
        <v>4</v>
      </c>
      <c r="DC28">
        <v>1</v>
      </c>
      <c r="DD28">
        <v>1</v>
      </c>
      <c r="DE28">
        <v>1</v>
      </c>
      <c r="DF28">
        <v>1</v>
      </c>
      <c r="DG28">
        <v>1</v>
      </c>
      <c r="DH28">
        <v>1</v>
      </c>
      <c r="DI28">
        <v>1</v>
      </c>
      <c r="DJ28">
        <v>3</v>
      </c>
      <c r="DK28">
        <v>2</v>
      </c>
      <c r="DL28">
        <v>2</v>
      </c>
      <c r="DM28">
        <v>2</v>
      </c>
      <c r="DN28">
        <v>1</v>
      </c>
      <c r="DO28">
        <v>2</v>
      </c>
      <c r="DP28">
        <v>3</v>
      </c>
      <c r="DQ28">
        <v>5</v>
      </c>
      <c r="DR28">
        <v>1</v>
      </c>
      <c r="DS28">
        <v>1</v>
      </c>
      <c r="DT28">
        <v>4</v>
      </c>
      <c r="DU28">
        <v>1</v>
      </c>
      <c r="DV28">
        <v>2</v>
      </c>
      <c r="DW28">
        <v>1</v>
      </c>
      <c r="DX28">
        <v>1</v>
      </c>
      <c r="DY28">
        <v>5</v>
      </c>
      <c r="DZ28">
        <v>5</v>
      </c>
      <c r="EA28">
        <v>3</v>
      </c>
      <c r="EB28">
        <v>5</v>
      </c>
      <c r="EC28">
        <v>1</v>
      </c>
      <c r="ED28">
        <v>1</v>
      </c>
      <c r="EE28">
        <v>1</v>
      </c>
      <c r="EF28">
        <v>0</v>
      </c>
      <c r="EG28">
        <v>0</v>
      </c>
      <c r="EH28">
        <v>0</v>
      </c>
      <c r="EI28">
        <v>3</v>
      </c>
      <c r="EJ28">
        <v>0</v>
      </c>
      <c r="EK28">
        <v>1</v>
      </c>
      <c r="EL28">
        <v>2</v>
      </c>
      <c r="EM28">
        <v>0</v>
      </c>
      <c r="EN28">
        <v>0</v>
      </c>
      <c r="EO28">
        <v>0</v>
      </c>
      <c r="EP28">
        <v>1</v>
      </c>
      <c r="EQ28">
        <v>0</v>
      </c>
      <c r="ER28">
        <v>0</v>
      </c>
      <c r="ES28">
        <v>1</v>
      </c>
      <c r="ET28">
        <v>3</v>
      </c>
      <c r="EU28">
        <v>0</v>
      </c>
      <c r="EV28">
        <v>0</v>
      </c>
    </row>
    <row r="29" spans="1:152">
      <c r="A29" t="str">
        <v>FREQ(4)</v>
      </c>
      <c r="B29" t="str">
        <v>If you tried this product and it met your expectations for taste and effectiveness, how often could... (4)</v>
      </c>
      <c r="C29">
        <v>1</v>
      </c>
      <c r="D29">
        <v>1</v>
      </c>
      <c r="E29">
        <v>5</v>
      </c>
      <c r="F29">
        <v>5</v>
      </c>
      <c r="G29">
        <v>5</v>
      </c>
      <c r="H29">
        <v>5</v>
      </c>
      <c r="I29">
        <v>5</v>
      </c>
      <c r="J29">
        <v>1</v>
      </c>
      <c r="K29">
        <v>0</v>
      </c>
      <c r="L29">
        <v>2</v>
      </c>
      <c r="M29">
        <v>5</v>
      </c>
      <c r="N29">
        <v>2</v>
      </c>
      <c r="O29">
        <v>2</v>
      </c>
      <c r="P29">
        <v>1</v>
      </c>
      <c r="Q29">
        <v>1</v>
      </c>
      <c r="R29">
        <v>0</v>
      </c>
      <c r="S29">
        <v>5</v>
      </c>
      <c r="T29">
        <v>1</v>
      </c>
      <c r="U29">
        <v>5</v>
      </c>
      <c r="V29">
        <v>1</v>
      </c>
      <c r="W29">
        <v>1</v>
      </c>
      <c r="X29">
        <v>5</v>
      </c>
      <c r="Y29">
        <v>5</v>
      </c>
      <c r="Z29">
        <v>5</v>
      </c>
      <c r="AA29">
        <v>2</v>
      </c>
      <c r="AB29">
        <v>1</v>
      </c>
      <c r="AC29">
        <v>5</v>
      </c>
      <c r="AD29">
        <v>1</v>
      </c>
      <c r="AE29">
        <v>1</v>
      </c>
      <c r="AF29">
        <v>1</v>
      </c>
      <c r="AG29">
        <v>2</v>
      </c>
      <c r="AH29">
        <v>5</v>
      </c>
      <c r="AI29">
        <v>5</v>
      </c>
      <c r="AJ29">
        <v>1</v>
      </c>
      <c r="AK29">
        <v>1</v>
      </c>
      <c r="AL29">
        <v>5</v>
      </c>
      <c r="AM29">
        <v>1</v>
      </c>
      <c r="AN29">
        <v>1</v>
      </c>
      <c r="AO29">
        <v>1</v>
      </c>
      <c r="AP29">
        <v>1</v>
      </c>
      <c r="AQ29">
        <v>3</v>
      </c>
      <c r="AR29">
        <v>5</v>
      </c>
      <c r="AS29">
        <v>1</v>
      </c>
      <c r="AT29">
        <v>1</v>
      </c>
      <c r="AU29">
        <v>1</v>
      </c>
      <c r="AV29">
        <v>1</v>
      </c>
      <c r="AW29">
        <v>1</v>
      </c>
      <c r="AX29">
        <v>1</v>
      </c>
      <c r="AY29">
        <v>5</v>
      </c>
      <c r="AZ29">
        <v>1</v>
      </c>
      <c r="BA29">
        <v>1</v>
      </c>
      <c r="BB29">
        <v>1</v>
      </c>
      <c r="BC29">
        <v>1</v>
      </c>
      <c r="BD29">
        <v>5</v>
      </c>
      <c r="BE29">
        <v>1</v>
      </c>
      <c r="BF29">
        <v>1</v>
      </c>
      <c r="BG29">
        <v>1</v>
      </c>
      <c r="BH29">
        <v>1</v>
      </c>
      <c r="BI29">
        <v>1</v>
      </c>
      <c r="BJ29">
        <v>1</v>
      </c>
      <c r="BK29">
        <v>0</v>
      </c>
      <c r="BL29">
        <v>1</v>
      </c>
      <c r="BM29">
        <v>5</v>
      </c>
      <c r="BN29">
        <v>1</v>
      </c>
      <c r="BO29">
        <v>4</v>
      </c>
      <c r="BP29">
        <v>1</v>
      </c>
      <c r="BQ29">
        <v>1</v>
      </c>
      <c r="BR29">
        <v>5</v>
      </c>
      <c r="BS29">
        <v>1</v>
      </c>
      <c r="BT29">
        <v>5</v>
      </c>
      <c r="BU29">
        <v>5</v>
      </c>
      <c r="BV29">
        <v>1</v>
      </c>
      <c r="BW29">
        <v>5</v>
      </c>
      <c r="BX29">
        <v>1</v>
      </c>
      <c r="BY29">
        <v>5</v>
      </c>
      <c r="BZ29">
        <v>1</v>
      </c>
      <c r="CA29">
        <v>1</v>
      </c>
      <c r="CB29">
        <v>1</v>
      </c>
      <c r="CC29">
        <v>1</v>
      </c>
      <c r="CD29">
        <v>0</v>
      </c>
      <c r="CE29">
        <v>1</v>
      </c>
      <c r="CF29">
        <v>1</v>
      </c>
      <c r="CG29">
        <v>1</v>
      </c>
      <c r="CH29">
        <v>1</v>
      </c>
      <c r="CI29">
        <v>1</v>
      </c>
      <c r="CJ29">
        <v>1</v>
      </c>
      <c r="CK29">
        <v>1</v>
      </c>
      <c r="CL29">
        <v>1</v>
      </c>
      <c r="CM29">
        <v>5</v>
      </c>
      <c r="CN29">
        <v>0</v>
      </c>
      <c r="CO29">
        <v>5</v>
      </c>
      <c r="CP29">
        <v>5</v>
      </c>
      <c r="CQ29">
        <v>1</v>
      </c>
      <c r="CR29">
        <v>1</v>
      </c>
      <c r="CS29">
        <v>1</v>
      </c>
      <c r="CT29">
        <v>1</v>
      </c>
      <c r="CU29">
        <v>1</v>
      </c>
      <c r="CV29">
        <v>5</v>
      </c>
      <c r="CW29">
        <v>1</v>
      </c>
      <c r="CX29">
        <v>1</v>
      </c>
      <c r="CY29">
        <v>1</v>
      </c>
      <c r="CZ29">
        <v>5</v>
      </c>
      <c r="DA29">
        <v>1</v>
      </c>
      <c r="DB29">
        <v>5</v>
      </c>
      <c r="DC29">
        <v>1</v>
      </c>
      <c r="DD29">
        <v>1</v>
      </c>
      <c r="DE29">
        <v>1</v>
      </c>
      <c r="DF29">
        <v>1</v>
      </c>
      <c r="DG29">
        <v>5</v>
      </c>
      <c r="DH29">
        <v>1</v>
      </c>
      <c r="DI29">
        <v>1</v>
      </c>
      <c r="DJ29">
        <v>5</v>
      </c>
      <c r="DK29">
        <v>1</v>
      </c>
      <c r="DL29">
        <v>1</v>
      </c>
      <c r="DM29">
        <v>1</v>
      </c>
      <c r="DN29">
        <v>1</v>
      </c>
      <c r="DO29">
        <v>2</v>
      </c>
      <c r="DP29">
        <v>1</v>
      </c>
      <c r="DQ29">
        <v>5</v>
      </c>
      <c r="DR29">
        <v>2</v>
      </c>
      <c r="DS29">
        <v>5</v>
      </c>
      <c r="DT29">
        <v>1</v>
      </c>
      <c r="DU29">
        <v>1</v>
      </c>
      <c r="DV29">
        <v>1</v>
      </c>
      <c r="DW29">
        <v>1</v>
      </c>
      <c r="DX29">
        <v>1</v>
      </c>
      <c r="DY29">
        <v>5</v>
      </c>
      <c r="DZ29">
        <v>5</v>
      </c>
      <c r="EA29">
        <v>1</v>
      </c>
      <c r="EB29">
        <v>5</v>
      </c>
      <c r="EC29">
        <v>5</v>
      </c>
      <c r="ED29">
        <v>5</v>
      </c>
      <c r="EE29">
        <v>1</v>
      </c>
      <c r="EF29">
        <v>0</v>
      </c>
      <c r="EG29">
        <v>0</v>
      </c>
      <c r="EH29">
        <v>0</v>
      </c>
      <c r="EI29">
        <v>5</v>
      </c>
      <c r="EJ29">
        <v>0</v>
      </c>
      <c r="EK29">
        <v>1</v>
      </c>
      <c r="EL29">
        <v>1</v>
      </c>
      <c r="EM29">
        <v>0</v>
      </c>
      <c r="EN29">
        <v>0</v>
      </c>
      <c r="EO29">
        <v>0</v>
      </c>
      <c r="EP29">
        <v>0</v>
      </c>
      <c r="EQ29">
        <v>0</v>
      </c>
      <c r="ER29">
        <v>0</v>
      </c>
      <c r="ES29">
        <v>1</v>
      </c>
      <c r="ET29">
        <v>4</v>
      </c>
      <c r="EU29">
        <v>1</v>
      </c>
      <c r="EV29">
        <v>0</v>
      </c>
    </row>
    <row r="30" spans="1:152">
      <c r="A30" t="str">
        <v>FREQ(5)</v>
      </c>
      <c r="B30" t="str">
        <v>If you tried this product and it met your expectations for taste and effectiveness, how often could... (5)</v>
      </c>
      <c r="C30">
        <v>1</v>
      </c>
      <c r="D30">
        <v>1</v>
      </c>
      <c r="E30">
        <v>2</v>
      </c>
      <c r="F30">
        <v>2</v>
      </c>
      <c r="G30">
        <v>5</v>
      </c>
      <c r="H30">
        <v>5</v>
      </c>
      <c r="I30">
        <v>5</v>
      </c>
      <c r="J30">
        <v>1</v>
      </c>
      <c r="K30">
        <v>2</v>
      </c>
      <c r="L30">
        <v>2</v>
      </c>
      <c r="M30">
        <v>3</v>
      </c>
      <c r="N30">
        <v>3</v>
      </c>
      <c r="O30">
        <v>3</v>
      </c>
      <c r="P30">
        <v>1</v>
      </c>
      <c r="Q30">
        <v>3</v>
      </c>
      <c r="R30">
        <v>1</v>
      </c>
      <c r="S30">
        <v>1</v>
      </c>
      <c r="T30">
        <v>1</v>
      </c>
      <c r="U30">
        <v>5</v>
      </c>
      <c r="V30">
        <v>1</v>
      </c>
      <c r="W30">
        <v>2</v>
      </c>
      <c r="X30">
        <v>5</v>
      </c>
      <c r="Y30">
        <v>5</v>
      </c>
      <c r="Z30">
        <v>1</v>
      </c>
      <c r="AA30">
        <v>2</v>
      </c>
      <c r="AB30">
        <v>3</v>
      </c>
      <c r="AC30">
        <v>1</v>
      </c>
      <c r="AD30">
        <v>1</v>
      </c>
      <c r="AE30">
        <v>1</v>
      </c>
      <c r="AF30">
        <v>1</v>
      </c>
      <c r="AG30">
        <v>3</v>
      </c>
      <c r="AH30">
        <v>1</v>
      </c>
      <c r="AI30">
        <v>5</v>
      </c>
      <c r="AJ30">
        <v>1</v>
      </c>
      <c r="AK30">
        <v>1</v>
      </c>
      <c r="AL30">
        <v>5</v>
      </c>
      <c r="AM30">
        <v>1</v>
      </c>
      <c r="AN30">
        <v>1</v>
      </c>
      <c r="AO30">
        <v>1</v>
      </c>
      <c r="AP30">
        <v>1</v>
      </c>
      <c r="AQ30">
        <v>1</v>
      </c>
      <c r="AR30">
        <v>1</v>
      </c>
      <c r="AS30">
        <v>1</v>
      </c>
      <c r="AT30">
        <v>1</v>
      </c>
      <c r="AU30">
        <v>1</v>
      </c>
      <c r="AV30">
        <v>1</v>
      </c>
      <c r="AW30">
        <v>1</v>
      </c>
      <c r="AX30">
        <v>1</v>
      </c>
      <c r="AY30">
        <v>5</v>
      </c>
      <c r="AZ30">
        <v>1</v>
      </c>
      <c r="BA30">
        <v>3</v>
      </c>
      <c r="BB30">
        <v>2</v>
      </c>
      <c r="BC30">
        <v>1</v>
      </c>
      <c r="BD30">
        <v>5</v>
      </c>
      <c r="BE30">
        <v>2</v>
      </c>
      <c r="BF30">
        <v>1</v>
      </c>
      <c r="BG30">
        <v>1</v>
      </c>
      <c r="BH30">
        <v>1</v>
      </c>
      <c r="BI30">
        <v>1</v>
      </c>
      <c r="BJ30">
        <v>1</v>
      </c>
      <c r="BK30">
        <v>0</v>
      </c>
      <c r="BL30">
        <v>1</v>
      </c>
      <c r="BM30">
        <v>5</v>
      </c>
      <c r="BN30">
        <v>1</v>
      </c>
      <c r="BO30">
        <v>1</v>
      </c>
      <c r="BP30">
        <v>1</v>
      </c>
      <c r="BQ30">
        <v>1</v>
      </c>
      <c r="BR30">
        <v>1</v>
      </c>
      <c r="BS30">
        <v>1</v>
      </c>
      <c r="BT30">
        <v>1</v>
      </c>
      <c r="BU30">
        <v>1</v>
      </c>
      <c r="BV30">
        <v>1</v>
      </c>
      <c r="BW30">
        <v>1</v>
      </c>
      <c r="BX30">
        <v>1</v>
      </c>
      <c r="BY30">
        <v>5</v>
      </c>
      <c r="BZ30">
        <v>1</v>
      </c>
      <c r="CA30">
        <v>1</v>
      </c>
      <c r="CB30">
        <v>2</v>
      </c>
      <c r="CC30">
        <v>1</v>
      </c>
      <c r="CD30">
        <v>5</v>
      </c>
      <c r="CE30">
        <v>1</v>
      </c>
      <c r="CF30">
        <v>4</v>
      </c>
      <c r="CG30">
        <v>1</v>
      </c>
      <c r="CH30">
        <v>3</v>
      </c>
      <c r="CI30">
        <v>2</v>
      </c>
      <c r="CJ30">
        <v>1</v>
      </c>
      <c r="CK30">
        <v>2</v>
      </c>
      <c r="CL30">
        <v>1</v>
      </c>
      <c r="CM30">
        <v>5</v>
      </c>
      <c r="CN30">
        <v>0</v>
      </c>
      <c r="CO30">
        <v>2</v>
      </c>
      <c r="CP30">
        <v>2</v>
      </c>
      <c r="CQ30">
        <v>1</v>
      </c>
      <c r="CR30">
        <v>2</v>
      </c>
      <c r="CS30">
        <v>1</v>
      </c>
      <c r="CT30">
        <v>1</v>
      </c>
      <c r="CU30">
        <v>1</v>
      </c>
      <c r="CV30">
        <v>5</v>
      </c>
      <c r="CW30">
        <v>1</v>
      </c>
      <c r="CX30">
        <v>2</v>
      </c>
      <c r="CY30">
        <v>2</v>
      </c>
      <c r="CZ30">
        <v>0</v>
      </c>
      <c r="DA30">
        <v>1</v>
      </c>
      <c r="DB30">
        <v>3</v>
      </c>
      <c r="DC30">
        <v>1</v>
      </c>
      <c r="DD30">
        <v>2</v>
      </c>
      <c r="DE30">
        <v>5</v>
      </c>
      <c r="DF30">
        <v>2</v>
      </c>
      <c r="DG30">
        <v>5</v>
      </c>
      <c r="DH30">
        <v>1</v>
      </c>
      <c r="DI30">
        <v>1</v>
      </c>
      <c r="DJ30">
        <v>2</v>
      </c>
      <c r="DK30">
        <v>1</v>
      </c>
      <c r="DL30">
        <v>3</v>
      </c>
      <c r="DM30">
        <v>1</v>
      </c>
      <c r="DN30">
        <v>1</v>
      </c>
      <c r="DO30">
        <v>1</v>
      </c>
      <c r="DP30">
        <v>3</v>
      </c>
      <c r="DQ30">
        <v>3</v>
      </c>
      <c r="DR30">
        <v>1</v>
      </c>
      <c r="DS30">
        <v>5</v>
      </c>
      <c r="DT30">
        <v>1</v>
      </c>
      <c r="DU30">
        <v>1</v>
      </c>
      <c r="DV30">
        <v>3</v>
      </c>
      <c r="DW30">
        <v>1</v>
      </c>
      <c r="DX30">
        <v>1</v>
      </c>
      <c r="DY30">
        <v>5</v>
      </c>
      <c r="DZ30">
        <v>4</v>
      </c>
      <c r="EA30">
        <v>4</v>
      </c>
      <c r="EB30">
        <v>5</v>
      </c>
      <c r="EC30">
        <v>1</v>
      </c>
      <c r="ED30">
        <v>2</v>
      </c>
      <c r="EE30">
        <v>1</v>
      </c>
      <c r="EF30">
        <v>0</v>
      </c>
      <c r="EG30">
        <v>0</v>
      </c>
      <c r="EH30">
        <v>0</v>
      </c>
      <c r="EI30">
        <v>1</v>
      </c>
      <c r="EJ30">
        <v>0</v>
      </c>
      <c r="EK30">
        <v>1</v>
      </c>
      <c r="EL30">
        <v>1</v>
      </c>
      <c r="EM30">
        <v>0</v>
      </c>
      <c r="EN30">
        <v>0</v>
      </c>
      <c r="EO30">
        <v>0</v>
      </c>
      <c r="EP30">
        <v>0</v>
      </c>
      <c r="EQ30">
        <v>0</v>
      </c>
      <c r="ER30">
        <v>0</v>
      </c>
      <c r="ES30">
        <v>1</v>
      </c>
      <c r="ET30">
        <v>3</v>
      </c>
      <c r="EU30">
        <v>0</v>
      </c>
      <c r="EV30">
        <v>0</v>
      </c>
    </row>
    <row r="31" spans="1:152">
      <c r="A31" t="str">
        <v>FREQ(6)</v>
      </c>
      <c r="B31" t="str">
        <v>If you tried this product and it met your expectations for taste and effectiveness, how often could... (6)</v>
      </c>
      <c r="C31">
        <v>1</v>
      </c>
      <c r="D31">
        <v>1</v>
      </c>
      <c r="E31">
        <v>2</v>
      </c>
      <c r="F31">
        <v>2</v>
      </c>
      <c r="G31">
        <v>5</v>
      </c>
      <c r="H31">
        <v>3</v>
      </c>
      <c r="I31">
        <v>5</v>
      </c>
      <c r="J31">
        <v>1</v>
      </c>
      <c r="K31">
        <v>5</v>
      </c>
      <c r="L31">
        <v>3</v>
      </c>
      <c r="M31">
        <v>5</v>
      </c>
      <c r="N31">
        <v>2</v>
      </c>
      <c r="O31">
        <v>5</v>
      </c>
      <c r="P31">
        <v>3</v>
      </c>
      <c r="Q31">
        <v>3</v>
      </c>
      <c r="R31">
        <v>0</v>
      </c>
      <c r="S31">
        <v>1</v>
      </c>
      <c r="T31">
        <v>1</v>
      </c>
      <c r="U31">
        <v>5</v>
      </c>
      <c r="V31">
        <v>1</v>
      </c>
      <c r="W31">
        <v>1</v>
      </c>
      <c r="X31">
        <v>5</v>
      </c>
      <c r="Y31">
        <v>5</v>
      </c>
      <c r="Z31">
        <v>5</v>
      </c>
      <c r="AA31">
        <v>1</v>
      </c>
      <c r="AB31">
        <v>1</v>
      </c>
      <c r="AC31">
        <v>1</v>
      </c>
      <c r="AD31">
        <v>1</v>
      </c>
      <c r="AE31">
        <v>1</v>
      </c>
      <c r="AF31">
        <v>1</v>
      </c>
      <c r="AG31">
        <v>5</v>
      </c>
      <c r="AH31">
        <v>2</v>
      </c>
      <c r="AI31">
        <v>5</v>
      </c>
      <c r="AJ31">
        <v>2</v>
      </c>
      <c r="AK31">
        <v>1</v>
      </c>
      <c r="AL31">
        <v>1</v>
      </c>
      <c r="AM31">
        <v>4</v>
      </c>
      <c r="AN31">
        <v>1</v>
      </c>
      <c r="AO31">
        <v>1</v>
      </c>
      <c r="AP31">
        <v>1</v>
      </c>
      <c r="AQ31">
        <v>4</v>
      </c>
      <c r="AR31">
        <v>5</v>
      </c>
      <c r="AS31">
        <v>1</v>
      </c>
      <c r="AT31">
        <v>1</v>
      </c>
      <c r="AU31">
        <v>1</v>
      </c>
      <c r="AV31">
        <v>1</v>
      </c>
      <c r="AW31">
        <v>1</v>
      </c>
      <c r="AX31">
        <v>1</v>
      </c>
      <c r="AY31">
        <v>5</v>
      </c>
      <c r="AZ31">
        <v>1</v>
      </c>
      <c r="BA31">
        <v>1</v>
      </c>
      <c r="BB31">
        <v>1</v>
      </c>
      <c r="BC31">
        <v>1</v>
      </c>
      <c r="BD31">
        <v>5</v>
      </c>
      <c r="BE31">
        <v>2</v>
      </c>
      <c r="BF31">
        <v>1</v>
      </c>
      <c r="BG31">
        <v>1</v>
      </c>
      <c r="BH31">
        <v>1</v>
      </c>
      <c r="BI31">
        <v>1</v>
      </c>
      <c r="BJ31">
        <v>1</v>
      </c>
      <c r="BK31">
        <v>0</v>
      </c>
      <c r="BL31">
        <v>1</v>
      </c>
      <c r="BM31">
        <v>5</v>
      </c>
      <c r="BN31">
        <v>2</v>
      </c>
      <c r="BO31">
        <v>1</v>
      </c>
      <c r="BP31">
        <v>1</v>
      </c>
      <c r="BQ31">
        <v>1</v>
      </c>
      <c r="BR31">
        <v>2</v>
      </c>
      <c r="BS31">
        <v>1</v>
      </c>
      <c r="BT31">
        <v>2</v>
      </c>
      <c r="BU31">
        <v>1</v>
      </c>
      <c r="BV31">
        <v>1</v>
      </c>
      <c r="BW31">
        <v>5</v>
      </c>
      <c r="BX31">
        <v>1</v>
      </c>
      <c r="BY31">
        <v>5</v>
      </c>
      <c r="BZ31">
        <v>1</v>
      </c>
      <c r="CA31">
        <v>1</v>
      </c>
      <c r="CB31">
        <v>1</v>
      </c>
      <c r="CC31">
        <v>1</v>
      </c>
      <c r="CD31">
        <v>0</v>
      </c>
      <c r="CE31">
        <v>2</v>
      </c>
      <c r="CF31">
        <v>1</v>
      </c>
      <c r="CG31">
        <v>1</v>
      </c>
      <c r="CH31">
        <v>1</v>
      </c>
      <c r="CI31">
        <v>1</v>
      </c>
      <c r="CJ31">
        <v>1</v>
      </c>
      <c r="CK31">
        <v>2</v>
      </c>
      <c r="CL31">
        <v>1</v>
      </c>
      <c r="CM31">
        <v>5</v>
      </c>
      <c r="CN31">
        <v>0</v>
      </c>
      <c r="CO31">
        <v>2</v>
      </c>
      <c r="CP31">
        <v>1</v>
      </c>
      <c r="CQ31">
        <v>1</v>
      </c>
      <c r="CR31">
        <v>1</v>
      </c>
      <c r="CS31">
        <v>1</v>
      </c>
      <c r="CT31">
        <v>1</v>
      </c>
      <c r="CU31">
        <v>1</v>
      </c>
      <c r="CV31">
        <v>5</v>
      </c>
      <c r="CW31">
        <v>1</v>
      </c>
      <c r="CX31">
        <v>1</v>
      </c>
      <c r="CY31">
        <v>1</v>
      </c>
      <c r="CZ31">
        <v>0</v>
      </c>
      <c r="DA31">
        <v>1</v>
      </c>
      <c r="DB31">
        <v>5</v>
      </c>
      <c r="DC31">
        <v>1</v>
      </c>
      <c r="DD31">
        <v>0</v>
      </c>
      <c r="DE31">
        <v>1</v>
      </c>
      <c r="DF31">
        <v>1</v>
      </c>
      <c r="DG31">
        <v>1</v>
      </c>
      <c r="DH31">
        <v>1</v>
      </c>
      <c r="DI31">
        <v>1</v>
      </c>
      <c r="DJ31">
        <v>2</v>
      </c>
      <c r="DK31">
        <v>1</v>
      </c>
      <c r="DL31">
        <v>1</v>
      </c>
      <c r="DM31">
        <v>1</v>
      </c>
      <c r="DN31">
        <v>1</v>
      </c>
      <c r="DO31">
        <v>5</v>
      </c>
      <c r="DP31">
        <v>1</v>
      </c>
      <c r="DQ31">
        <v>5</v>
      </c>
      <c r="DR31">
        <v>1</v>
      </c>
      <c r="DS31">
        <v>5</v>
      </c>
      <c r="DT31">
        <v>3</v>
      </c>
      <c r="DU31">
        <v>1</v>
      </c>
      <c r="DV31">
        <v>2</v>
      </c>
      <c r="DW31">
        <v>1</v>
      </c>
      <c r="DX31">
        <v>1</v>
      </c>
      <c r="DY31">
        <v>5</v>
      </c>
      <c r="DZ31">
        <v>5</v>
      </c>
      <c r="EA31">
        <v>1</v>
      </c>
      <c r="EB31">
        <v>5</v>
      </c>
      <c r="EC31">
        <v>5</v>
      </c>
      <c r="ED31">
        <v>1</v>
      </c>
      <c r="EE31">
        <v>1</v>
      </c>
      <c r="EF31">
        <v>0</v>
      </c>
      <c r="EG31">
        <v>0</v>
      </c>
      <c r="EH31">
        <v>0</v>
      </c>
      <c r="EI31">
        <v>5</v>
      </c>
      <c r="EJ31">
        <v>0</v>
      </c>
      <c r="EK31">
        <v>1</v>
      </c>
      <c r="EL31">
        <v>2</v>
      </c>
      <c r="EM31">
        <v>0</v>
      </c>
      <c r="EN31">
        <v>0</v>
      </c>
      <c r="EO31">
        <v>0</v>
      </c>
      <c r="EP31">
        <v>2</v>
      </c>
      <c r="EQ31">
        <v>0</v>
      </c>
      <c r="ER31">
        <v>0</v>
      </c>
      <c r="ES31">
        <v>1</v>
      </c>
      <c r="ET31">
        <v>2</v>
      </c>
      <c r="EU31">
        <v>0</v>
      </c>
      <c r="EV31">
        <v>0</v>
      </c>
    </row>
    <row r="32" spans="1:152">
      <c r="A32" t="str">
        <v>FREQ(7)</v>
      </c>
      <c r="B32" t="str">
        <v>If you tried this product and it met your expectations for taste and effectiveness, how often could... (7)</v>
      </c>
      <c r="C32">
        <v>2</v>
      </c>
      <c r="D32">
        <v>1</v>
      </c>
      <c r="E32">
        <v>5</v>
      </c>
      <c r="F32">
        <v>5</v>
      </c>
      <c r="G32">
        <v>5</v>
      </c>
      <c r="H32">
        <v>5</v>
      </c>
      <c r="I32">
        <v>5</v>
      </c>
      <c r="J32">
        <v>1</v>
      </c>
      <c r="K32">
        <v>5</v>
      </c>
      <c r="L32">
        <v>5</v>
      </c>
      <c r="M32">
        <v>5</v>
      </c>
      <c r="N32">
        <v>1</v>
      </c>
      <c r="O32">
        <v>2</v>
      </c>
      <c r="P32">
        <v>2</v>
      </c>
      <c r="Q32">
        <v>2</v>
      </c>
      <c r="R32">
        <v>1</v>
      </c>
      <c r="S32">
        <v>1</v>
      </c>
      <c r="T32">
        <v>1</v>
      </c>
      <c r="U32">
        <v>5</v>
      </c>
      <c r="V32">
        <v>1</v>
      </c>
      <c r="W32">
        <v>1</v>
      </c>
      <c r="X32">
        <v>5</v>
      </c>
      <c r="Y32">
        <v>5</v>
      </c>
      <c r="Z32">
        <v>5</v>
      </c>
      <c r="AA32">
        <v>1</v>
      </c>
      <c r="AB32">
        <v>1</v>
      </c>
      <c r="AC32">
        <v>5</v>
      </c>
      <c r="AD32">
        <v>1</v>
      </c>
      <c r="AE32">
        <v>1</v>
      </c>
      <c r="AF32">
        <v>1</v>
      </c>
      <c r="AG32">
        <v>5</v>
      </c>
      <c r="AH32">
        <v>5</v>
      </c>
      <c r="AI32">
        <v>5</v>
      </c>
      <c r="AJ32">
        <v>1</v>
      </c>
      <c r="AK32">
        <v>1</v>
      </c>
      <c r="AL32">
        <v>5</v>
      </c>
      <c r="AM32">
        <v>5</v>
      </c>
      <c r="AN32">
        <v>1</v>
      </c>
      <c r="AO32">
        <v>1</v>
      </c>
      <c r="AP32">
        <v>1</v>
      </c>
      <c r="AQ32">
        <v>5</v>
      </c>
      <c r="AR32">
        <v>5</v>
      </c>
      <c r="AS32">
        <v>1</v>
      </c>
      <c r="AT32">
        <v>1</v>
      </c>
      <c r="AU32">
        <v>5</v>
      </c>
      <c r="AV32">
        <v>1</v>
      </c>
      <c r="AW32">
        <v>1</v>
      </c>
      <c r="AX32">
        <v>1</v>
      </c>
      <c r="AY32">
        <v>1</v>
      </c>
      <c r="AZ32">
        <v>1</v>
      </c>
      <c r="BA32">
        <v>1</v>
      </c>
      <c r="BB32">
        <v>5</v>
      </c>
      <c r="BC32">
        <v>2</v>
      </c>
      <c r="BD32">
        <v>5</v>
      </c>
      <c r="BE32">
        <v>1</v>
      </c>
      <c r="BF32">
        <v>1</v>
      </c>
      <c r="BG32">
        <v>1</v>
      </c>
      <c r="BH32">
        <v>1</v>
      </c>
      <c r="BI32">
        <v>1</v>
      </c>
      <c r="BJ32">
        <v>1</v>
      </c>
      <c r="BK32">
        <v>0</v>
      </c>
      <c r="BL32">
        <v>1</v>
      </c>
      <c r="BM32">
        <v>5</v>
      </c>
      <c r="BN32">
        <v>1</v>
      </c>
      <c r="BO32">
        <v>1</v>
      </c>
      <c r="BP32">
        <v>1</v>
      </c>
      <c r="BQ32">
        <v>1</v>
      </c>
      <c r="BR32">
        <v>5</v>
      </c>
      <c r="BS32">
        <v>1</v>
      </c>
      <c r="BT32">
        <v>5</v>
      </c>
      <c r="BU32">
        <v>1</v>
      </c>
      <c r="BV32">
        <v>1</v>
      </c>
      <c r="BW32">
        <v>1</v>
      </c>
      <c r="BX32">
        <v>1</v>
      </c>
      <c r="BY32">
        <v>5</v>
      </c>
      <c r="BZ32">
        <v>1</v>
      </c>
      <c r="CA32">
        <v>1</v>
      </c>
      <c r="CB32">
        <v>5</v>
      </c>
      <c r="CC32">
        <v>1</v>
      </c>
      <c r="CD32">
        <v>5</v>
      </c>
      <c r="CE32">
        <v>1</v>
      </c>
      <c r="CF32">
        <v>1</v>
      </c>
      <c r="CG32">
        <v>1</v>
      </c>
      <c r="CH32">
        <v>1</v>
      </c>
      <c r="CI32">
        <v>1</v>
      </c>
      <c r="CJ32">
        <v>1</v>
      </c>
      <c r="CK32">
        <v>1</v>
      </c>
      <c r="CL32">
        <v>5</v>
      </c>
      <c r="CM32">
        <v>5</v>
      </c>
      <c r="CN32">
        <v>0</v>
      </c>
      <c r="CO32">
        <v>5</v>
      </c>
      <c r="CP32">
        <v>5</v>
      </c>
      <c r="CQ32">
        <v>1</v>
      </c>
      <c r="CR32">
        <v>1</v>
      </c>
      <c r="CS32">
        <v>3</v>
      </c>
      <c r="CT32">
        <v>1</v>
      </c>
      <c r="CU32">
        <v>1</v>
      </c>
      <c r="CV32">
        <v>5</v>
      </c>
      <c r="CW32">
        <v>1</v>
      </c>
      <c r="CX32">
        <v>1</v>
      </c>
      <c r="CY32">
        <v>1</v>
      </c>
      <c r="CZ32">
        <v>0</v>
      </c>
      <c r="DA32">
        <v>5</v>
      </c>
      <c r="DB32">
        <v>5</v>
      </c>
      <c r="DC32">
        <v>1</v>
      </c>
      <c r="DD32">
        <v>1</v>
      </c>
      <c r="DE32">
        <v>5</v>
      </c>
      <c r="DF32">
        <v>1</v>
      </c>
      <c r="DG32">
        <v>5</v>
      </c>
      <c r="DH32">
        <v>1</v>
      </c>
      <c r="DI32">
        <v>5</v>
      </c>
      <c r="DJ32">
        <v>5</v>
      </c>
      <c r="DK32">
        <v>1</v>
      </c>
      <c r="DL32">
        <v>5</v>
      </c>
      <c r="DM32">
        <v>1</v>
      </c>
      <c r="DN32">
        <v>1</v>
      </c>
      <c r="DO32">
        <v>5</v>
      </c>
      <c r="DP32">
        <v>5</v>
      </c>
      <c r="DQ32">
        <v>5</v>
      </c>
      <c r="DR32">
        <v>1</v>
      </c>
      <c r="DS32">
        <v>0</v>
      </c>
      <c r="DT32">
        <v>1</v>
      </c>
      <c r="DU32">
        <v>1</v>
      </c>
      <c r="DV32">
        <v>1</v>
      </c>
      <c r="DW32">
        <v>1</v>
      </c>
      <c r="DX32">
        <v>1</v>
      </c>
      <c r="DY32">
        <v>5</v>
      </c>
      <c r="DZ32">
        <v>5</v>
      </c>
      <c r="EA32">
        <v>5</v>
      </c>
      <c r="EB32">
        <v>5</v>
      </c>
      <c r="EC32">
        <v>5</v>
      </c>
      <c r="ED32">
        <v>1</v>
      </c>
      <c r="EE32">
        <v>1</v>
      </c>
      <c r="EF32">
        <v>0</v>
      </c>
      <c r="EG32">
        <v>0</v>
      </c>
      <c r="EH32">
        <v>0</v>
      </c>
      <c r="EI32">
        <v>5</v>
      </c>
      <c r="EJ32">
        <v>3</v>
      </c>
      <c r="EK32">
        <v>1</v>
      </c>
      <c r="EL32">
        <v>1</v>
      </c>
      <c r="EM32">
        <v>0</v>
      </c>
      <c r="EN32">
        <v>0</v>
      </c>
      <c r="EO32">
        <v>0</v>
      </c>
      <c r="EP32">
        <v>3</v>
      </c>
      <c r="EQ32">
        <v>0</v>
      </c>
      <c r="ER32">
        <v>0</v>
      </c>
      <c r="ES32">
        <v>1</v>
      </c>
      <c r="ET32">
        <v>2</v>
      </c>
      <c r="EU32">
        <v>0</v>
      </c>
      <c r="EV32">
        <v>0</v>
      </c>
    </row>
    <row r="33" spans="1:152">
      <c r="A33" t="str">
        <v>SUB_1(1)</v>
      </c>
      <c r="B33" t="str">
        <v>If you tried this product and it met your expectations for taste and effectiveness, which of the fol... (1)-Regular coffee or espresso, latte, cappuccino, etc (not decaffeinated)</v>
      </c>
      <c r="C33">
        <v>1</v>
      </c>
      <c r="D33">
        <v>1</v>
      </c>
      <c r="E33">
        <v>0</v>
      </c>
      <c r="F33">
        <v>0</v>
      </c>
      <c r="G33">
        <v>0</v>
      </c>
      <c r="H33">
        <v>0</v>
      </c>
      <c r="I33">
        <v>0</v>
      </c>
      <c r="J33">
        <v>1</v>
      </c>
      <c r="K33">
        <v>1</v>
      </c>
      <c r="L33">
        <v>0</v>
      </c>
      <c r="M33">
        <v>0</v>
      </c>
      <c r="N33">
        <v>0</v>
      </c>
      <c r="O33">
        <v>1</v>
      </c>
      <c r="P33">
        <v>1</v>
      </c>
      <c r="Q33">
        <v>0</v>
      </c>
      <c r="R33">
        <v>0</v>
      </c>
      <c r="S33">
        <v>0</v>
      </c>
      <c r="T33">
        <v>0</v>
      </c>
      <c r="U33">
        <v>0</v>
      </c>
      <c r="V33">
        <v>1</v>
      </c>
      <c r="W33">
        <v>1</v>
      </c>
      <c r="X33">
        <v>0</v>
      </c>
      <c r="Y33">
        <v>0</v>
      </c>
      <c r="Z33">
        <v>1</v>
      </c>
      <c r="AA33">
        <v>0</v>
      </c>
      <c r="AB33">
        <v>1</v>
      </c>
      <c r="AC33">
        <v>0</v>
      </c>
      <c r="AD33">
        <v>1</v>
      </c>
      <c r="AE33">
        <v>0</v>
      </c>
      <c r="AF33">
        <v>0</v>
      </c>
      <c r="AG33">
        <v>1</v>
      </c>
      <c r="AH33">
        <v>0</v>
      </c>
      <c r="AI33">
        <v>0</v>
      </c>
      <c r="AJ33">
        <v>0</v>
      </c>
      <c r="AK33">
        <v>0</v>
      </c>
      <c r="AL33">
        <v>0</v>
      </c>
      <c r="AM33">
        <v>0</v>
      </c>
      <c r="AN33">
        <v>1</v>
      </c>
      <c r="AO33">
        <v>0</v>
      </c>
      <c r="AP33">
        <v>0</v>
      </c>
      <c r="AQ33">
        <v>1</v>
      </c>
      <c r="AR33">
        <v>1</v>
      </c>
      <c r="AS33">
        <v>1</v>
      </c>
      <c r="AT33">
        <v>0</v>
      </c>
      <c r="AU33">
        <v>0</v>
      </c>
      <c r="AV33">
        <v>0</v>
      </c>
      <c r="AW33">
        <v>0</v>
      </c>
      <c r="AX33">
        <v>0</v>
      </c>
      <c r="AY33">
        <v>0</v>
      </c>
      <c r="AZ33">
        <v>0</v>
      </c>
      <c r="BA33">
        <v>0</v>
      </c>
      <c r="BB33">
        <v>0</v>
      </c>
      <c r="BC33">
        <v>0</v>
      </c>
      <c r="BD33">
        <v>0</v>
      </c>
      <c r="BE33">
        <v>0</v>
      </c>
      <c r="BF33">
        <v>0</v>
      </c>
      <c r="BG33">
        <v>1</v>
      </c>
      <c r="BH33">
        <v>0</v>
      </c>
      <c r="BI33">
        <v>0</v>
      </c>
      <c r="BJ33">
        <v>0</v>
      </c>
      <c r="BK33">
        <v>0</v>
      </c>
      <c r="BL33">
        <v>0</v>
      </c>
      <c r="BM33">
        <v>1</v>
      </c>
      <c r="BN33">
        <v>0</v>
      </c>
      <c r="BO33">
        <v>1</v>
      </c>
      <c r="BP33">
        <v>0</v>
      </c>
      <c r="BQ33">
        <v>1</v>
      </c>
      <c r="BR33">
        <v>0</v>
      </c>
      <c r="BS33">
        <v>1</v>
      </c>
      <c r="BT33">
        <v>0</v>
      </c>
      <c r="BU33">
        <v>0</v>
      </c>
      <c r="BV33">
        <v>0</v>
      </c>
      <c r="BW33">
        <v>1</v>
      </c>
      <c r="BX33">
        <v>1</v>
      </c>
      <c r="BY33">
        <v>0</v>
      </c>
      <c r="BZ33">
        <v>0</v>
      </c>
      <c r="CA33">
        <v>1</v>
      </c>
      <c r="CB33">
        <v>0</v>
      </c>
      <c r="CC33">
        <v>0</v>
      </c>
      <c r="CD33">
        <v>0</v>
      </c>
      <c r="CE33">
        <v>0</v>
      </c>
      <c r="CF33">
        <v>0</v>
      </c>
      <c r="CG33">
        <v>0</v>
      </c>
      <c r="CH33">
        <v>0</v>
      </c>
      <c r="CI33">
        <v>1</v>
      </c>
      <c r="CJ33">
        <v>0</v>
      </c>
      <c r="CK33">
        <v>1</v>
      </c>
      <c r="CL33">
        <v>0</v>
      </c>
      <c r="CM33">
        <v>0</v>
      </c>
      <c r="CN33">
        <v>0</v>
      </c>
      <c r="CO33">
        <v>1</v>
      </c>
      <c r="CP33">
        <v>1</v>
      </c>
      <c r="CQ33">
        <v>0</v>
      </c>
      <c r="CR33">
        <v>1</v>
      </c>
      <c r="CS33">
        <v>0</v>
      </c>
      <c r="CT33">
        <v>0</v>
      </c>
      <c r="CU33">
        <v>1</v>
      </c>
      <c r="CV33">
        <v>1</v>
      </c>
      <c r="CW33">
        <v>0</v>
      </c>
      <c r="CX33">
        <v>1</v>
      </c>
      <c r="CY33">
        <v>1</v>
      </c>
      <c r="CZ33">
        <v>0</v>
      </c>
      <c r="DA33">
        <v>0</v>
      </c>
      <c r="DB33">
        <v>1</v>
      </c>
      <c r="DC33">
        <v>0</v>
      </c>
      <c r="DD33">
        <v>0</v>
      </c>
      <c r="DE33">
        <v>0</v>
      </c>
      <c r="DF33">
        <v>0</v>
      </c>
      <c r="DG33">
        <v>0</v>
      </c>
      <c r="DH33">
        <v>0</v>
      </c>
      <c r="DI33">
        <v>0</v>
      </c>
      <c r="DJ33">
        <v>1</v>
      </c>
      <c r="DK33">
        <v>0</v>
      </c>
      <c r="DL33">
        <v>0</v>
      </c>
      <c r="DM33">
        <v>1</v>
      </c>
      <c r="DN33">
        <v>0</v>
      </c>
      <c r="DO33">
        <v>0</v>
      </c>
      <c r="DP33">
        <v>1</v>
      </c>
      <c r="DQ33">
        <v>0</v>
      </c>
      <c r="DR33">
        <v>0</v>
      </c>
      <c r="DS33">
        <v>0</v>
      </c>
      <c r="DT33">
        <v>0</v>
      </c>
      <c r="DU33">
        <v>0</v>
      </c>
      <c r="DV33">
        <v>0</v>
      </c>
      <c r="DW33">
        <v>1</v>
      </c>
      <c r="DX33">
        <v>0</v>
      </c>
      <c r="DY33">
        <v>0</v>
      </c>
      <c r="DZ33">
        <v>1</v>
      </c>
      <c r="EA33">
        <v>0</v>
      </c>
      <c r="EB33">
        <v>1</v>
      </c>
      <c r="EC33">
        <v>0</v>
      </c>
      <c r="ED33">
        <v>0</v>
      </c>
      <c r="EE33">
        <v>0</v>
      </c>
      <c r="EF33">
        <v>0</v>
      </c>
      <c r="EG33">
        <v>0</v>
      </c>
      <c r="EH33">
        <v>0</v>
      </c>
      <c r="EI33">
        <v>0</v>
      </c>
      <c r="EJ33">
        <v>0</v>
      </c>
      <c r="EK33">
        <v>0</v>
      </c>
      <c r="EL33">
        <v>0</v>
      </c>
      <c r="EM33">
        <v>0</v>
      </c>
      <c r="EN33">
        <v>0</v>
      </c>
      <c r="EO33">
        <v>0</v>
      </c>
      <c r="EP33">
        <v>0</v>
      </c>
      <c r="EQ33">
        <v>0</v>
      </c>
      <c r="ER33">
        <v>0</v>
      </c>
      <c r="ES33">
        <v>0</v>
      </c>
      <c r="ET33">
        <v>1</v>
      </c>
      <c r="EU33">
        <v>0</v>
      </c>
      <c r="EV33">
        <v>0</v>
      </c>
    </row>
    <row r="34" spans="1:152">
      <c r="A34" t="str">
        <v>SUB_2(1)</v>
      </c>
      <c r="B34" t="str">
        <v>If you tried this product and it met your expectations for taste and effectiveness, which of the fol... (1)-Caffeinated soda (examples: Coke, Pepsi, Mountain Dew)</v>
      </c>
      <c r="C34">
        <v>0</v>
      </c>
      <c r="D34">
        <v>0</v>
      </c>
      <c r="E34">
        <v>1</v>
      </c>
      <c r="F34">
        <v>0</v>
      </c>
      <c r="G34">
        <v>0</v>
      </c>
      <c r="H34">
        <v>0</v>
      </c>
      <c r="I34">
        <v>0</v>
      </c>
      <c r="J34">
        <v>0</v>
      </c>
      <c r="K34">
        <v>1</v>
      </c>
      <c r="L34">
        <v>0</v>
      </c>
      <c r="M34">
        <v>1</v>
      </c>
      <c r="N34">
        <v>0</v>
      </c>
      <c r="O34">
        <v>0</v>
      </c>
      <c r="P34">
        <v>0</v>
      </c>
      <c r="Q34">
        <v>0</v>
      </c>
      <c r="R34">
        <v>0</v>
      </c>
      <c r="S34">
        <v>0</v>
      </c>
      <c r="T34">
        <v>0</v>
      </c>
      <c r="U34">
        <v>0</v>
      </c>
      <c r="V34">
        <v>0</v>
      </c>
      <c r="W34">
        <v>0</v>
      </c>
      <c r="X34">
        <v>0</v>
      </c>
      <c r="Y34">
        <v>0</v>
      </c>
      <c r="Z34">
        <v>0</v>
      </c>
      <c r="AA34">
        <v>0</v>
      </c>
      <c r="AB34">
        <v>0</v>
      </c>
      <c r="AC34">
        <v>0</v>
      </c>
      <c r="AD34">
        <v>0</v>
      </c>
      <c r="AE34">
        <v>0</v>
      </c>
      <c r="AF34">
        <v>0</v>
      </c>
      <c r="AG34">
        <v>1</v>
      </c>
      <c r="AH34">
        <v>0</v>
      </c>
      <c r="AI34">
        <v>0</v>
      </c>
      <c r="AJ34">
        <v>1</v>
      </c>
      <c r="AK34">
        <v>0</v>
      </c>
      <c r="AL34">
        <v>0</v>
      </c>
      <c r="AM34">
        <v>1</v>
      </c>
      <c r="AN34">
        <v>0</v>
      </c>
      <c r="AO34">
        <v>0</v>
      </c>
      <c r="AP34">
        <v>1</v>
      </c>
      <c r="AQ34">
        <v>0</v>
      </c>
      <c r="AR34">
        <v>0</v>
      </c>
      <c r="AS34">
        <v>0</v>
      </c>
      <c r="AT34">
        <v>0</v>
      </c>
      <c r="AU34">
        <v>0</v>
      </c>
      <c r="AV34">
        <v>0</v>
      </c>
      <c r="AW34">
        <v>0</v>
      </c>
      <c r="AX34">
        <v>0</v>
      </c>
      <c r="AY34">
        <v>0</v>
      </c>
      <c r="AZ34">
        <v>0</v>
      </c>
      <c r="BA34">
        <v>1</v>
      </c>
      <c r="BB34">
        <v>1</v>
      </c>
      <c r="BC34">
        <v>0</v>
      </c>
      <c r="BD34">
        <v>0</v>
      </c>
      <c r="BE34">
        <v>0</v>
      </c>
      <c r="BF34">
        <v>0</v>
      </c>
      <c r="BG34">
        <v>0</v>
      </c>
      <c r="BH34">
        <v>0</v>
      </c>
      <c r="BI34">
        <v>0</v>
      </c>
      <c r="BJ34">
        <v>0</v>
      </c>
      <c r="BK34">
        <v>0</v>
      </c>
      <c r="BL34">
        <v>0</v>
      </c>
      <c r="BM34">
        <v>1</v>
      </c>
      <c r="BN34">
        <v>0</v>
      </c>
      <c r="BO34">
        <v>1</v>
      </c>
      <c r="BP34">
        <v>0</v>
      </c>
      <c r="BQ34">
        <v>1</v>
      </c>
      <c r="BR34">
        <v>1</v>
      </c>
      <c r="BS34">
        <v>0</v>
      </c>
      <c r="BT34">
        <v>0</v>
      </c>
      <c r="BU34">
        <v>0</v>
      </c>
      <c r="BV34">
        <v>0</v>
      </c>
      <c r="BW34">
        <v>1</v>
      </c>
      <c r="BX34">
        <v>0</v>
      </c>
      <c r="BY34">
        <v>0</v>
      </c>
      <c r="BZ34">
        <v>0</v>
      </c>
      <c r="CA34">
        <v>0</v>
      </c>
      <c r="CB34">
        <v>1</v>
      </c>
      <c r="CC34">
        <v>0</v>
      </c>
      <c r="CD34">
        <v>0</v>
      </c>
      <c r="CE34">
        <v>0</v>
      </c>
      <c r="CF34">
        <v>0</v>
      </c>
      <c r="CG34">
        <v>0</v>
      </c>
      <c r="CH34">
        <v>1</v>
      </c>
      <c r="CI34">
        <v>0</v>
      </c>
      <c r="CJ34">
        <v>0</v>
      </c>
      <c r="CK34">
        <v>0</v>
      </c>
      <c r="CL34">
        <v>0</v>
      </c>
      <c r="CM34">
        <v>0</v>
      </c>
      <c r="CN34">
        <v>0</v>
      </c>
      <c r="CO34">
        <v>0</v>
      </c>
      <c r="CP34">
        <v>1</v>
      </c>
      <c r="CQ34">
        <v>1</v>
      </c>
      <c r="CR34">
        <v>1</v>
      </c>
      <c r="CS34">
        <v>0</v>
      </c>
      <c r="CT34">
        <v>0</v>
      </c>
      <c r="CU34">
        <v>0</v>
      </c>
      <c r="CV34">
        <v>0</v>
      </c>
      <c r="CW34">
        <v>1</v>
      </c>
      <c r="CX34">
        <v>0</v>
      </c>
      <c r="CY34">
        <v>0</v>
      </c>
      <c r="CZ34">
        <v>0</v>
      </c>
      <c r="DA34">
        <v>0</v>
      </c>
      <c r="DB34">
        <v>0</v>
      </c>
      <c r="DC34">
        <v>0</v>
      </c>
      <c r="DD34">
        <v>0</v>
      </c>
      <c r="DE34">
        <v>0</v>
      </c>
      <c r="DF34">
        <v>0</v>
      </c>
      <c r="DG34">
        <v>0</v>
      </c>
      <c r="DH34">
        <v>1</v>
      </c>
      <c r="DI34">
        <v>0</v>
      </c>
      <c r="DJ34">
        <v>0</v>
      </c>
      <c r="DK34">
        <v>0</v>
      </c>
      <c r="DL34">
        <v>1</v>
      </c>
      <c r="DM34">
        <v>0</v>
      </c>
      <c r="DN34">
        <v>0</v>
      </c>
      <c r="DO34">
        <v>0</v>
      </c>
      <c r="DP34">
        <v>0</v>
      </c>
      <c r="DQ34">
        <v>0</v>
      </c>
      <c r="DR34">
        <v>0</v>
      </c>
      <c r="DS34">
        <v>0</v>
      </c>
      <c r="DT34">
        <v>0</v>
      </c>
      <c r="DU34">
        <v>0</v>
      </c>
      <c r="DV34">
        <v>0</v>
      </c>
      <c r="DW34">
        <v>1</v>
      </c>
      <c r="DX34">
        <v>0</v>
      </c>
      <c r="DY34">
        <v>0</v>
      </c>
      <c r="DZ34">
        <v>1</v>
      </c>
      <c r="EA34">
        <v>1</v>
      </c>
      <c r="EB34">
        <v>0</v>
      </c>
      <c r="EC34">
        <v>0</v>
      </c>
      <c r="ED34">
        <v>0</v>
      </c>
      <c r="EE34">
        <v>0</v>
      </c>
      <c r="EF34">
        <v>0</v>
      </c>
      <c r="EG34">
        <v>0</v>
      </c>
      <c r="EH34">
        <v>0</v>
      </c>
      <c r="EI34">
        <v>0</v>
      </c>
      <c r="EJ34">
        <v>0</v>
      </c>
      <c r="EK34">
        <v>0</v>
      </c>
      <c r="EL34">
        <v>0</v>
      </c>
      <c r="EM34">
        <v>0</v>
      </c>
      <c r="EN34">
        <v>0</v>
      </c>
      <c r="EO34">
        <v>0</v>
      </c>
      <c r="EP34">
        <v>1</v>
      </c>
      <c r="EQ34">
        <v>0</v>
      </c>
      <c r="ER34">
        <v>0</v>
      </c>
      <c r="ES34">
        <v>0</v>
      </c>
      <c r="ET34">
        <v>1</v>
      </c>
      <c r="EU34">
        <v>0</v>
      </c>
      <c r="EV34">
        <v>0</v>
      </c>
    </row>
    <row r="35" spans="1:152">
      <c r="A35" t="str">
        <v>SUB_3(1)</v>
      </c>
      <c r="B35" t="str">
        <v>If you tried this product and it met your expectations for taste and effectiveness, which of the fol... (1)-Any brand of caffeinated energy drink (examples: Monster, Rockstar, Red Bull)</v>
      </c>
      <c r="C35">
        <v>0</v>
      </c>
      <c r="D35">
        <v>0</v>
      </c>
      <c r="E35">
        <v>0</v>
      </c>
      <c r="F35">
        <v>0</v>
      </c>
      <c r="G35">
        <v>0</v>
      </c>
      <c r="H35">
        <v>0</v>
      </c>
      <c r="I35">
        <v>0</v>
      </c>
      <c r="J35">
        <v>0</v>
      </c>
      <c r="K35">
        <v>0</v>
      </c>
      <c r="L35">
        <v>1</v>
      </c>
      <c r="M35">
        <v>1</v>
      </c>
      <c r="N35">
        <v>0</v>
      </c>
      <c r="O35">
        <v>0</v>
      </c>
      <c r="P35">
        <v>0</v>
      </c>
      <c r="Q35">
        <v>0</v>
      </c>
      <c r="R35">
        <v>0</v>
      </c>
      <c r="S35">
        <v>0</v>
      </c>
      <c r="T35">
        <v>0</v>
      </c>
      <c r="U35">
        <v>0</v>
      </c>
      <c r="V35">
        <v>0</v>
      </c>
      <c r="W35">
        <v>0</v>
      </c>
      <c r="X35">
        <v>0</v>
      </c>
      <c r="Y35">
        <v>0</v>
      </c>
      <c r="Z35">
        <v>0</v>
      </c>
      <c r="AA35">
        <v>1</v>
      </c>
      <c r="AB35">
        <v>0</v>
      </c>
      <c r="AC35">
        <v>0</v>
      </c>
      <c r="AD35">
        <v>0</v>
      </c>
      <c r="AE35">
        <v>0</v>
      </c>
      <c r="AF35">
        <v>0</v>
      </c>
      <c r="AG35">
        <v>0</v>
      </c>
      <c r="AH35">
        <v>0</v>
      </c>
      <c r="AI35">
        <v>0</v>
      </c>
      <c r="AJ35">
        <v>1</v>
      </c>
      <c r="AK35">
        <v>0</v>
      </c>
      <c r="AL35">
        <v>0</v>
      </c>
      <c r="AM35">
        <v>0</v>
      </c>
      <c r="AN35">
        <v>1</v>
      </c>
      <c r="AO35">
        <v>0</v>
      </c>
      <c r="AP35">
        <v>0</v>
      </c>
      <c r="AQ35">
        <v>0</v>
      </c>
      <c r="AR35">
        <v>0</v>
      </c>
      <c r="AS35">
        <v>0</v>
      </c>
      <c r="AT35">
        <v>0</v>
      </c>
      <c r="AU35">
        <v>0</v>
      </c>
      <c r="AV35">
        <v>0</v>
      </c>
      <c r="AW35">
        <v>0</v>
      </c>
      <c r="AX35">
        <v>0</v>
      </c>
      <c r="AY35">
        <v>0</v>
      </c>
      <c r="AZ35">
        <v>0</v>
      </c>
      <c r="BA35">
        <v>1</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1</v>
      </c>
      <c r="BW35">
        <v>1</v>
      </c>
      <c r="BX35">
        <v>0</v>
      </c>
      <c r="BY35">
        <v>0</v>
      </c>
      <c r="BZ35">
        <v>0</v>
      </c>
      <c r="CA35">
        <v>0</v>
      </c>
      <c r="CB35">
        <v>0</v>
      </c>
      <c r="CC35">
        <v>0</v>
      </c>
      <c r="CD35">
        <v>0</v>
      </c>
      <c r="CE35">
        <v>0</v>
      </c>
      <c r="CF35">
        <v>0</v>
      </c>
      <c r="CG35">
        <v>0</v>
      </c>
      <c r="CH35">
        <v>1</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1</v>
      </c>
      <c r="EA35">
        <v>1</v>
      </c>
      <c r="EB35">
        <v>0</v>
      </c>
      <c r="EC35">
        <v>1</v>
      </c>
      <c r="ED35">
        <v>0</v>
      </c>
      <c r="EE35">
        <v>0</v>
      </c>
      <c r="EF35">
        <v>0</v>
      </c>
      <c r="EG35">
        <v>0</v>
      </c>
      <c r="EH35">
        <v>0</v>
      </c>
      <c r="EI35">
        <v>0</v>
      </c>
      <c r="EJ35">
        <v>0</v>
      </c>
      <c r="EK35">
        <v>0</v>
      </c>
      <c r="EL35">
        <v>0</v>
      </c>
      <c r="EM35">
        <v>0</v>
      </c>
      <c r="EN35">
        <v>0</v>
      </c>
      <c r="EO35">
        <v>0</v>
      </c>
      <c r="EP35">
        <v>0</v>
      </c>
      <c r="EQ35">
        <v>0</v>
      </c>
      <c r="ER35">
        <v>0</v>
      </c>
      <c r="ES35">
        <v>0</v>
      </c>
      <c r="ET35">
        <v>1</v>
      </c>
      <c r="EU35">
        <v>0</v>
      </c>
      <c r="EV35">
        <v>0</v>
      </c>
    </row>
    <row r="36" spans="1:152">
      <c r="A36" t="str">
        <v>SUB_4(1)</v>
      </c>
      <c r="B36" t="str">
        <v>If you tried this product and it met your expectations for taste and effectiveness, which of the fol... (1)-Any brand of energy shots (example: 5-hr energy)</v>
      </c>
      <c r="C36">
        <v>0</v>
      </c>
      <c r="D36">
        <v>0</v>
      </c>
      <c r="E36">
        <v>0</v>
      </c>
      <c r="F36">
        <v>0</v>
      </c>
      <c r="G36">
        <v>1</v>
      </c>
      <c r="H36">
        <v>0</v>
      </c>
      <c r="I36">
        <v>0</v>
      </c>
      <c r="J36">
        <v>0</v>
      </c>
      <c r="K36">
        <v>0</v>
      </c>
      <c r="L36">
        <v>1</v>
      </c>
      <c r="M36">
        <v>0</v>
      </c>
      <c r="N36">
        <v>0</v>
      </c>
      <c r="O36">
        <v>0</v>
      </c>
      <c r="P36">
        <v>0</v>
      </c>
      <c r="Q36">
        <v>0</v>
      </c>
      <c r="R36">
        <v>0</v>
      </c>
      <c r="S36">
        <v>0</v>
      </c>
      <c r="T36">
        <v>0</v>
      </c>
      <c r="U36">
        <v>0</v>
      </c>
      <c r="V36">
        <v>0</v>
      </c>
      <c r="W36">
        <v>0</v>
      </c>
      <c r="X36">
        <v>0</v>
      </c>
      <c r="Y36">
        <v>0</v>
      </c>
      <c r="Z36">
        <v>0</v>
      </c>
      <c r="AA36">
        <v>1</v>
      </c>
      <c r="AB36">
        <v>0</v>
      </c>
      <c r="AC36">
        <v>0</v>
      </c>
      <c r="AD36">
        <v>0</v>
      </c>
      <c r="AE36">
        <v>0</v>
      </c>
      <c r="AF36">
        <v>0</v>
      </c>
      <c r="AG36">
        <v>0</v>
      </c>
      <c r="AH36">
        <v>0</v>
      </c>
      <c r="AI36">
        <v>0</v>
      </c>
      <c r="AJ36">
        <v>0</v>
      </c>
      <c r="AK36">
        <v>0</v>
      </c>
      <c r="AL36">
        <v>0</v>
      </c>
      <c r="AM36">
        <v>0</v>
      </c>
      <c r="AN36">
        <v>1</v>
      </c>
      <c r="AO36">
        <v>0</v>
      </c>
      <c r="AP36">
        <v>0</v>
      </c>
      <c r="AQ36">
        <v>0</v>
      </c>
      <c r="AR36">
        <v>0</v>
      </c>
      <c r="AS36">
        <v>0</v>
      </c>
      <c r="AT36">
        <v>0</v>
      </c>
      <c r="AU36">
        <v>0</v>
      </c>
      <c r="AV36">
        <v>0</v>
      </c>
      <c r="AW36">
        <v>0</v>
      </c>
      <c r="AX36">
        <v>0</v>
      </c>
      <c r="AY36">
        <v>0</v>
      </c>
      <c r="AZ36">
        <v>1</v>
      </c>
      <c r="BA36">
        <v>1</v>
      </c>
      <c r="BB36">
        <v>0</v>
      </c>
      <c r="BC36">
        <v>0</v>
      </c>
      <c r="BD36">
        <v>0</v>
      </c>
      <c r="BE36">
        <v>0</v>
      </c>
      <c r="BF36">
        <v>0</v>
      </c>
      <c r="BG36">
        <v>0</v>
      </c>
      <c r="BH36">
        <v>1</v>
      </c>
      <c r="BI36">
        <v>0</v>
      </c>
      <c r="BJ36">
        <v>0</v>
      </c>
      <c r="BK36">
        <v>0</v>
      </c>
      <c r="BL36">
        <v>0</v>
      </c>
      <c r="BM36">
        <v>0</v>
      </c>
      <c r="BN36">
        <v>1</v>
      </c>
      <c r="BO36">
        <v>0</v>
      </c>
      <c r="BP36">
        <v>0</v>
      </c>
      <c r="BQ36">
        <v>0</v>
      </c>
      <c r="BR36">
        <v>0</v>
      </c>
      <c r="BS36">
        <v>0</v>
      </c>
      <c r="BT36">
        <v>0</v>
      </c>
      <c r="BU36">
        <v>0</v>
      </c>
      <c r="BV36">
        <v>1</v>
      </c>
      <c r="BW36">
        <v>1</v>
      </c>
      <c r="BX36">
        <v>0</v>
      </c>
      <c r="BY36">
        <v>0</v>
      </c>
      <c r="BZ36">
        <v>0</v>
      </c>
      <c r="CA36">
        <v>0</v>
      </c>
      <c r="CB36">
        <v>0</v>
      </c>
      <c r="CC36">
        <v>0</v>
      </c>
      <c r="CD36">
        <v>0</v>
      </c>
      <c r="CE36">
        <v>0</v>
      </c>
      <c r="CF36">
        <v>0</v>
      </c>
      <c r="CG36">
        <v>0</v>
      </c>
      <c r="CH36">
        <v>1</v>
      </c>
      <c r="CI36">
        <v>0</v>
      </c>
      <c r="CJ36">
        <v>0</v>
      </c>
      <c r="CK36">
        <v>0</v>
      </c>
      <c r="CL36">
        <v>0</v>
      </c>
      <c r="CM36">
        <v>0</v>
      </c>
      <c r="CN36">
        <v>0</v>
      </c>
      <c r="CO36">
        <v>0</v>
      </c>
      <c r="CP36">
        <v>0</v>
      </c>
      <c r="CQ36">
        <v>0</v>
      </c>
      <c r="CR36">
        <v>0</v>
      </c>
      <c r="CS36">
        <v>0</v>
      </c>
      <c r="CT36">
        <v>0</v>
      </c>
      <c r="CU36">
        <v>0</v>
      </c>
      <c r="CV36">
        <v>0</v>
      </c>
      <c r="CW36">
        <v>0</v>
      </c>
      <c r="CX36">
        <v>0</v>
      </c>
      <c r="CY36">
        <v>0</v>
      </c>
      <c r="CZ36">
        <v>0</v>
      </c>
      <c r="DA36">
        <v>1</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1</v>
      </c>
      <c r="EA36">
        <v>1</v>
      </c>
      <c r="EB36">
        <v>0</v>
      </c>
      <c r="EC36">
        <v>1</v>
      </c>
      <c r="ED36">
        <v>0</v>
      </c>
      <c r="EE36">
        <v>0</v>
      </c>
      <c r="EF36">
        <v>0</v>
      </c>
      <c r="EG36">
        <v>0</v>
      </c>
      <c r="EH36">
        <v>0</v>
      </c>
      <c r="EI36">
        <v>0</v>
      </c>
      <c r="EJ36">
        <v>0</v>
      </c>
      <c r="EK36">
        <v>0</v>
      </c>
      <c r="EL36">
        <v>0</v>
      </c>
      <c r="EM36">
        <v>0</v>
      </c>
      <c r="EN36">
        <v>0</v>
      </c>
      <c r="EO36">
        <v>0</v>
      </c>
      <c r="EP36">
        <v>0</v>
      </c>
      <c r="EQ36">
        <v>0</v>
      </c>
      <c r="ER36">
        <v>0</v>
      </c>
      <c r="ES36">
        <v>0</v>
      </c>
      <c r="ET36">
        <v>1</v>
      </c>
      <c r="EU36">
        <v>0</v>
      </c>
      <c r="EV36">
        <v>0</v>
      </c>
    </row>
    <row r="37" spans="1:152">
      <c r="A37" t="str">
        <v>SUB_5(1)</v>
      </c>
      <c r="B37" t="str">
        <v>If you tried this product and it met your expectations for taste and effectiveness, which of the fol... (1)-Any brand of energy bars (example: PowerBar, LunaBar, Clif Bar)</v>
      </c>
      <c r="C37">
        <v>0</v>
      </c>
      <c r="D37">
        <v>1</v>
      </c>
      <c r="E37">
        <v>0</v>
      </c>
      <c r="F37">
        <v>1</v>
      </c>
      <c r="G37">
        <v>1</v>
      </c>
      <c r="H37">
        <v>1</v>
      </c>
      <c r="I37">
        <v>0</v>
      </c>
      <c r="J37">
        <v>0</v>
      </c>
      <c r="K37">
        <v>0</v>
      </c>
      <c r="L37">
        <v>1</v>
      </c>
      <c r="M37">
        <v>0</v>
      </c>
      <c r="N37">
        <v>0</v>
      </c>
      <c r="O37">
        <v>0</v>
      </c>
      <c r="P37">
        <v>0</v>
      </c>
      <c r="Q37">
        <v>1</v>
      </c>
      <c r="R37">
        <v>0</v>
      </c>
      <c r="S37">
        <v>1</v>
      </c>
      <c r="T37">
        <v>0</v>
      </c>
      <c r="U37">
        <v>1</v>
      </c>
      <c r="V37">
        <v>1</v>
      </c>
      <c r="W37">
        <v>1</v>
      </c>
      <c r="X37">
        <v>0</v>
      </c>
      <c r="Y37">
        <v>0</v>
      </c>
      <c r="Z37">
        <v>0</v>
      </c>
      <c r="AA37">
        <v>1</v>
      </c>
      <c r="AB37">
        <v>0</v>
      </c>
      <c r="AC37">
        <v>0</v>
      </c>
      <c r="AD37">
        <v>0</v>
      </c>
      <c r="AE37">
        <v>0</v>
      </c>
      <c r="AF37">
        <v>0</v>
      </c>
      <c r="AG37">
        <v>0</v>
      </c>
      <c r="AH37">
        <v>1</v>
      </c>
      <c r="AI37">
        <v>0</v>
      </c>
      <c r="AJ37">
        <v>0</v>
      </c>
      <c r="AK37">
        <v>0</v>
      </c>
      <c r="AL37">
        <v>0</v>
      </c>
      <c r="AM37">
        <v>0</v>
      </c>
      <c r="AN37">
        <v>0</v>
      </c>
      <c r="AO37">
        <v>0</v>
      </c>
      <c r="AP37">
        <v>0</v>
      </c>
      <c r="AQ37">
        <v>0</v>
      </c>
      <c r="AR37">
        <v>0</v>
      </c>
      <c r="AS37">
        <v>0</v>
      </c>
      <c r="AT37">
        <v>0</v>
      </c>
      <c r="AU37">
        <v>0</v>
      </c>
      <c r="AV37">
        <v>0</v>
      </c>
      <c r="AW37">
        <v>1</v>
      </c>
      <c r="AX37">
        <v>0</v>
      </c>
      <c r="AY37">
        <v>0</v>
      </c>
      <c r="AZ37">
        <v>0</v>
      </c>
      <c r="BA37">
        <v>1</v>
      </c>
      <c r="BB37">
        <v>1</v>
      </c>
      <c r="BC37">
        <v>1</v>
      </c>
      <c r="BD37">
        <v>1</v>
      </c>
      <c r="BE37">
        <v>0</v>
      </c>
      <c r="BF37">
        <v>0</v>
      </c>
      <c r="BG37">
        <v>0</v>
      </c>
      <c r="BH37">
        <v>0</v>
      </c>
      <c r="BI37">
        <v>0</v>
      </c>
      <c r="BJ37">
        <v>0</v>
      </c>
      <c r="BK37">
        <v>0</v>
      </c>
      <c r="BL37">
        <v>0</v>
      </c>
      <c r="BM37">
        <v>0</v>
      </c>
      <c r="BN37">
        <v>0</v>
      </c>
      <c r="BO37">
        <v>1</v>
      </c>
      <c r="BP37">
        <v>1</v>
      </c>
      <c r="BQ37">
        <v>1</v>
      </c>
      <c r="BR37">
        <v>0</v>
      </c>
      <c r="BS37">
        <v>0</v>
      </c>
      <c r="BT37">
        <v>0</v>
      </c>
      <c r="BU37">
        <v>0</v>
      </c>
      <c r="BV37">
        <v>1</v>
      </c>
      <c r="BW37">
        <v>1</v>
      </c>
      <c r="BX37">
        <v>0</v>
      </c>
      <c r="BY37">
        <v>0</v>
      </c>
      <c r="BZ37">
        <v>0</v>
      </c>
      <c r="CA37">
        <v>0</v>
      </c>
      <c r="CB37">
        <v>0</v>
      </c>
      <c r="CC37">
        <v>1</v>
      </c>
      <c r="CD37">
        <v>0</v>
      </c>
      <c r="CE37">
        <v>0</v>
      </c>
      <c r="CF37">
        <v>1</v>
      </c>
      <c r="CG37">
        <v>0</v>
      </c>
      <c r="CH37">
        <v>1</v>
      </c>
      <c r="CI37">
        <v>0</v>
      </c>
      <c r="CJ37">
        <v>1</v>
      </c>
      <c r="CK37">
        <v>0</v>
      </c>
      <c r="CL37">
        <v>1</v>
      </c>
      <c r="CM37">
        <v>0</v>
      </c>
      <c r="CN37">
        <v>0</v>
      </c>
      <c r="CO37">
        <v>0</v>
      </c>
      <c r="CP37">
        <v>1</v>
      </c>
      <c r="CQ37">
        <v>0</v>
      </c>
      <c r="CR37">
        <v>1</v>
      </c>
      <c r="CS37">
        <v>1</v>
      </c>
      <c r="CT37">
        <v>0</v>
      </c>
      <c r="CU37">
        <v>0</v>
      </c>
      <c r="CV37">
        <v>0</v>
      </c>
      <c r="CW37">
        <v>1</v>
      </c>
      <c r="CX37">
        <v>0</v>
      </c>
      <c r="CY37">
        <v>0</v>
      </c>
      <c r="CZ37">
        <v>0</v>
      </c>
      <c r="DA37">
        <v>0</v>
      </c>
      <c r="DB37">
        <v>1</v>
      </c>
      <c r="DC37">
        <v>1</v>
      </c>
      <c r="DD37">
        <v>0</v>
      </c>
      <c r="DE37">
        <v>1</v>
      </c>
      <c r="DF37">
        <v>1</v>
      </c>
      <c r="DG37">
        <v>0</v>
      </c>
      <c r="DH37">
        <v>0</v>
      </c>
      <c r="DI37">
        <v>0</v>
      </c>
      <c r="DJ37">
        <v>1</v>
      </c>
      <c r="DK37">
        <v>1</v>
      </c>
      <c r="DL37">
        <v>0</v>
      </c>
      <c r="DM37">
        <v>0</v>
      </c>
      <c r="DN37">
        <v>1</v>
      </c>
      <c r="DO37">
        <v>0</v>
      </c>
      <c r="DP37">
        <v>0</v>
      </c>
      <c r="DQ37">
        <v>0</v>
      </c>
      <c r="DR37">
        <v>1</v>
      </c>
      <c r="DS37">
        <v>0</v>
      </c>
      <c r="DT37">
        <v>1</v>
      </c>
      <c r="DU37">
        <v>0</v>
      </c>
      <c r="DV37">
        <v>1</v>
      </c>
      <c r="DW37">
        <v>0</v>
      </c>
      <c r="DX37">
        <v>1</v>
      </c>
      <c r="DY37">
        <v>0</v>
      </c>
      <c r="DZ37">
        <v>0</v>
      </c>
      <c r="EA37">
        <v>1</v>
      </c>
      <c r="EB37">
        <v>0</v>
      </c>
      <c r="EC37">
        <v>0</v>
      </c>
      <c r="ED37">
        <v>0</v>
      </c>
      <c r="EE37">
        <v>0</v>
      </c>
      <c r="EF37">
        <v>0</v>
      </c>
      <c r="EG37">
        <v>0</v>
      </c>
      <c r="EH37">
        <v>0</v>
      </c>
      <c r="EI37">
        <v>1</v>
      </c>
      <c r="EJ37">
        <v>0</v>
      </c>
      <c r="EK37">
        <v>0</v>
      </c>
      <c r="EL37">
        <v>0</v>
      </c>
      <c r="EM37">
        <v>0</v>
      </c>
      <c r="EN37">
        <v>0</v>
      </c>
      <c r="EO37">
        <v>0</v>
      </c>
      <c r="EP37">
        <v>0</v>
      </c>
      <c r="EQ37">
        <v>0</v>
      </c>
      <c r="ER37">
        <v>0</v>
      </c>
      <c r="ES37">
        <v>0</v>
      </c>
      <c r="ET37">
        <v>1</v>
      </c>
      <c r="EU37">
        <v>0</v>
      </c>
      <c r="EV37">
        <v>0</v>
      </c>
    </row>
    <row r="38" spans="1:152">
      <c r="A38" t="str">
        <v>SUB_1(2)</v>
      </c>
      <c r="B38" t="str">
        <v>If you tried this product and it met your expectations for taste and effectiveness, which of the fol... (2)-Regular coffee or espresso, latte, cappuccino, etc (not decaffeinated)</v>
      </c>
      <c r="C38">
        <v>1</v>
      </c>
      <c r="D38">
        <v>1</v>
      </c>
      <c r="E38">
        <v>0</v>
      </c>
      <c r="F38">
        <v>0</v>
      </c>
      <c r="G38">
        <v>0</v>
      </c>
      <c r="H38">
        <v>0</v>
      </c>
      <c r="I38">
        <v>0</v>
      </c>
      <c r="J38">
        <v>0</v>
      </c>
      <c r="K38">
        <v>0</v>
      </c>
      <c r="L38">
        <v>0</v>
      </c>
      <c r="M38">
        <v>0</v>
      </c>
      <c r="N38">
        <v>0</v>
      </c>
      <c r="O38">
        <v>1</v>
      </c>
      <c r="P38">
        <v>1</v>
      </c>
      <c r="Q38">
        <v>0</v>
      </c>
      <c r="R38">
        <v>0</v>
      </c>
      <c r="S38">
        <v>0</v>
      </c>
      <c r="T38">
        <v>0</v>
      </c>
      <c r="U38">
        <v>0</v>
      </c>
      <c r="V38">
        <v>0</v>
      </c>
      <c r="W38">
        <v>1</v>
      </c>
      <c r="X38">
        <v>0</v>
      </c>
      <c r="Y38">
        <v>0</v>
      </c>
      <c r="Z38">
        <v>1</v>
      </c>
      <c r="AA38">
        <v>0</v>
      </c>
      <c r="AB38">
        <v>1</v>
      </c>
      <c r="AC38">
        <v>0</v>
      </c>
      <c r="AD38">
        <v>1</v>
      </c>
      <c r="AE38">
        <v>0</v>
      </c>
      <c r="AF38">
        <v>0</v>
      </c>
      <c r="AG38">
        <v>1</v>
      </c>
      <c r="AH38">
        <v>0</v>
      </c>
      <c r="AI38">
        <v>0</v>
      </c>
      <c r="AJ38">
        <v>1</v>
      </c>
      <c r="AK38">
        <v>0</v>
      </c>
      <c r="AL38">
        <v>0</v>
      </c>
      <c r="AM38">
        <v>0</v>
      </c>
      <c r="AN38">
        <v>0</v>
      </c>
      <c r="AO38">
        <v>0</v>
      </c>
      <c r="AP38">
        <v>0</v>
      </c>
      <c r="AQ38">
        <v>0</v>
      </c>
      <c r="AR38">
        <v>0</v>
      </c>
      <c r="AS38">
        <v>1</v>
      </c>
      <c r="AT38">
        <v>0</v>
      </c>
      <c r="AU38">
        <v>0</v>
      </c>
      <c r="AV38">
        <v>0</v>
      </c>
      <c r="AW38">
        <v>0</v>
      </c>
      <c r="AX38">
        <v>0</v>
      </c>
      <c r="AY38">
        <v>0</v>
      </c>
      <c r="AZ38">
        <v>1</v>
      </c>
      <c r="BA38">
        <v>0</v>
      </c>
      <c r="BB38">
        <v>0</v>
      </c>
      <c r="BC38">
        <v>0</v>
      </c>
      <c r="BD38">
        <v>0</v>
      </c>
      <c r="BE38">
        <v>0</v>
      </c>
      <c r="BF38">
        <v>0</v>
      </c>
      <c r="BG38">
        <v>0</v>
      </c>
      <c r="BH38">
        <v>0</v>
      </c>
      <c r="BI38">
        <v>0</v>
      </c>
      <c r="BJ38">
        <v>0</v>
      </c>
      <c r="BK38">
        <v>0</v>
      </c>
      <c r="BL38">
        <v>1</v>
      </c>
      <c r="BM38">
        <v>0</v>
      </c>
      <c r="BN38">
        <v>0</v>
      </c>
      <c r="BO38">
        <v>0</v>
      </c>
      <c r="BP38">
        <v>0</v>
      </c>
      <c r="BQ38">
        <v>1</v>
      </c>
      <c r="BR38">
        <v>0</v>
      </c>
      <c r="BS38">
        <v>0</v>
      </c>
      <c r="BT38">
        <v>0</v>
      </c>
      <c r="BU38">
        <v>0</v>
      </c>
      <c r="BV38">
        <v>0</v>
      </c>
      <c r="BW38">
        <v>1</v>
      </c>
      <c r="BX38">
        <v>1</v>
      </c>
      <c r="BY38">
        <v>0</v>
      </c>
      <c r="BZ38">
        <v>0</v>
      </c>
      <c r="CA38">
        <v>1</v>
      </c>
      <c r="CB38">
        <v>0</v>
      </c>
      <c r="CC38">
        <v>0</v>
      </c>
      <c r="CD38">
        <v>0</v>
      </c>
      <c r="CE38">
        <v>0</v>
      </c>
      <c r="CF38">
        <v>0</v>
      </c>
      <c r="CG38">
        <v>0</v>
      </c>
      <c r="CH38">
        <v>0</v>
      </c>
      <c r="CI38">
        <v>0</v>
      </c>
      <c r="CJ38">
        <v>0</v>
      </c>
      <c r="CK38">
        <v>1</v>
      </c>
      <c r="CL38">
        <v>0</v>
      </c>
      <c r="CM38">
        <v>0</v>
      </c>
      <c r="CN38">
        <v>0</v>
      </c>
      <c r="CO38">
        <v>1</v>
      </c>
      <c r="CP38">
        <v>0</v>
      </c>
      <c r="CQ38">
        <v>0</v>
      </c>
      <c r="CR38">
        <v>0</v>
      </c>
      <c r="CS38">
        <v>0</v>
      </c>
      <c r="CT38">
        <v>0</v>
      </c>
      <c r="CU38">
        <v>1</v>
      </c>
      <c r="CV38">
        <v>1</v>
      </c>
      <c r="CW38">
        <v>0</v>
      </c>
      <c r="CX38">
        <v>1</v>
      </c>
      <c r="CY38">
        <v>1</v>
      </c>
      <c r="CZ38">
        <v>0</v>
      </c>
      <c r="DA38">
        <v>0</v>
      </c>
      <c r="DB38">
        <v>0</v>
      </c>
      <c r="DC38">
        <v>0</v>
      </c>
      <c r="DD38">
        <v>0</v>
      </c>
      <c r="DE38">
        <v>0</v>
      </c>
      <c r="DF38">
        <v>0</v>
      </c>
      <c r="DG38">
        <v>0</v>
      </c>
      <c r="DH38">
        <v>0</v>
      </c>
      <c r="DI38">
        <v>0</v>
      </c>
      <c r="DJ38">
        <v>1</v>
      </c>
      <c r="DK38">
        <v>0</v>
      </c>
      <c r="DL38">
        <v>0</v>
      </c>
      <c r="DM38">
        <v>1</v>
      </c>
      <c r="DN38">
        <v>0</v>
      </c>
      <c r="DO38">
        <v>0</v>
      </c>
      <c r="DP38">
        <v>0</v>
      </c>
      <c r="DQ38">
        <v>0</v>
      </c>
      <c r="DR38">
        <v>1</v>
      </c>
      <c r="DS38">
        <v>1</v>
      </c>
      <c r="DT38">
        <v>0</v>
      </c>
      <c r="DU38">
        <v>0</v>
      </c>
      <c r="DV38">
        <v>0</v>
      </c>
      <c r="DW38">
        <v>1</v>
      </c>
      <c r="DX38">
        <v>0</v>
      </c>
      <c r="DY38">
        <v>1</v>
      </c>
      <c r="DZ38">
        <v>1</v>
      </c>
      <c r="EA38">
        <v>0</v>
      </c>
      <c r="EB38">
        <v>1</v>
      </c>
      <c r="EC38">
        <v>0</v>
      </c>
      <c r="ED38">
        <v>0</v>
      </c>
      <c r="EE38">
        <v>0</v>
      </c>
      <c r="EF38">
        <v>0</v>
      </c>
      <c r="EG38">
        <v>0</v>
      </c>
      <c r="EH38">
        <v>0</v>
      </c>
      <c r="EI38">
        <v>0</v>
      </c>
      <c r="EJ38">
        <v>0</v>
      </c>
      <c r="EK38">
        <v>0</v>
      </c>
      <c r="EL38">
        <v>0</v>
      </c>
      <c r="EM38">
        <v>0</v>
      </c>
      <c r="EN38">
        <v>0</v>
      </c>
      <c r="EO38">
        <v>0</v>
      </c>
      <c r="EP38">
        <v>0</v>
      </c>
      <c r="EQ38">
        <v>0</v>
      </c>
      <c r="ER38">
        <v>0</v>
      </c>
      <c r="ES38">
        <v>0</v>
      </c>
      <c r="ET38">
        <v>1</v>
      </c>
      <c r="EU38">
        <v>0</v>
      </c>
      <c r="EV38">
        <v>0</v>
      </c>
    </row>
    <row r="39" spans="1:152">
      <c r="A39" t="str">
        <v>SUB_2(2)</v>
      </c>
      <c r="B39" t="str">
        <v>If you tried this product and it met your expectations for taste and effectiveness, which of the fol... (2)-Caffeinated soda (examples: Coke, Pepsi, Mountain Dew)</v>
      </c>
      <c r="C39">
        <v>0</v>
      </c>
      <c r="D39">
        <v>0</v>
      </c>
      <c r="E39">
        <v>1</v>
      </c>
      <c r="F39">
        <v>0</v>
      </c>
      <c r="G39">
        <v>0</v>
      </c>
      <c r="H39">
        <v>0</v>
      </c>
      <c r="I39">
        <v>0</v>
      </c>
      <c r="J39">
        <v>1</v>
      </c>
      <c r="K39">
        <v>0</v>
      </c>
      <c r="L39">
        <v>1</v>
      </c>
      <c r="M39">
        <v>1</v>
      </c>
      <c r="N39">
        <v>0</v>
      </c>
      <c r="O39">
        <v>0</v>
      </c>
      <c r="P39">
        <v>0</v>
      </c>
      <c r="Q39">
        <v>0</v>
      </c>
      <c r="R39">
        <v>0</v>
      </c>
      <c r="S39">
        <v>0</v>
      </c>
      <c r="T39">
        <v>0</v>
      </c>
      <c r="U39">
        <v>0</v>
      </c>
      <c r="V39">
        <v>0</v>
      </c>
      <c r="W39">
        <v>0</v>
      </c>
      <c r="X39">
        <v>0</v>
      </c>
      <c r="Y39">
        <v>0</v>
      </c>
      <c r="Z39">
        <v>0</v>
      </c>
      <c r="AA39">
        <v>0</v>
      </c>
      <c r="AB39">
        <v>0</v>
      </c>
      <c r="AC39">
        <v>0</v>
      </c>
      <c r="AD39">
        <v>0</v>
      </c>
      <c r="AE39">
        <v>0</v>
      </c>
      <c r="AF39">
        <v>0</v>
      </c>
      <c r="AG39">
        <v>1</v>
      </c>
      <c r="AH39">
        <v>0</v>
      </c>
      <c r="AI39">
        <v>0</v>
      </c>
      <c r="AJ39">
        <v>1</v>
      </c>
      <c r="AK39">
        <v>0</v>
      </c>
      <c r="AL39">
        <v>0</v>
      </c>
      <c r="AM39">
        <v>1</v>
      </c>
      <c r="AN39">
        <v>0</v>
      </c>
      <c r="AO39">
        <v>0</v>
      </c>
      <c r="AP39">
        <v>1</v>
      </c>
      <c r="AQ39">
        <v>0</v>
      </c>
      <c r="AR39">
        <v>0</v>
      </c>
      <c r="AS39">
        <v>0</v>
      </c>
      <c r="AT39">
        <v>0</v>
      </c>
      <c r="AU39">
        <v>0</v>
      </c>
      <c r="AV39">
        <v>0</v>
      </c>
      <c r="AW39">
        <v>0</v>
      </c>
      <c r="AX39">
        <v>0</v>
      </c>
      <c r="AY39">
        <v>0</v>
      </c>
      <c r="AZ39">
        <v>0</v>
      </c>
      <c r="BA39">
        <v>0</v>
      </c>
      <c r="BB39">
        <v>1</v>
      </c>
      <c r="BC39">
        <v>0</v>
      </c>
      <c r="BD39">
        <v>0</v>
      </c>
      <c r="BE39">
        <v>0</v>
      </c>
      <c r="BF39">
        <v>0</v>
      </c>
      <c r="BG39">
        <v>0</v>
      </c>
      <c r="BH39">
        <v>0</v>
      </c>
      <c r="BI39">
        <v>0</v>
      </c>
      <c r="BJ39">
        <v>0</v>
      </c>
      <c r="BK39">
        <v>0</v>
      </c>
      <c r="BL39">
        <v>0</v>
      </c>
      <c r="BM39">
        <v>1</v>
      </c>
      <c r="BN39">
        <v>0</v>
      </c>
      <c r="BO39">
        <v>1</v>
      </c>
      <c r="BP39">
        <v>0</v>
      </c>
      <c r="BQ39">
        <v>1</v>
      </c>
      <c r="BR39">
        <v>1</v>
      </c>
      <c r="BS39">
        <v>0</v>
      </c>
      <c r="BT39">
        <v>0</v>
      </c>
      <c r="BU39">
        <v>0</v>
      </c>
      <c r="BV39">
        <v>0</v>
      </c>
      <c r="BW39">
        <v>1</v>
      </c>
      <c r="BX39">
        <v>0</v>
      </c>
      <c r="BY39">
        <v>0</v>
      </c>
      <c r="BZ39">
        <v>0</v>
      </c>
      <c r="CA39">
        <v>1</v>
      </c>
      <c r="CB39">
        <v>0</v>
      </c>
      <c r="CC39">
        <v>0</v>
      </c>
      <c r="CD39">
        <v>0</v>
      </c>
      <c r="CE39">
        <v>0</v>
      </c>
      <c r="CF39">
        <v>0</v>
      </c>
      <c r="CG39">
        <v>0</v>
      </c>
      <c r="CH39">
        <v>1</v>
      </c>
      <c r="CI39">
        <v>0</v>
      </c>
      <c r="CJ39">
        <v>0</v>
      </c>
      <c r="CK39">
        <v>0</v>
      </c>
      <c r="CL39">
        <v>0</v>
      </c>
      <c r="CM39">
        <v>0</v>
      </c>
      <c r="CN39">
        <v>0</v>
      </c>
      <c r="CO39">
        <v>0</v>
      </c>
      <c r="CP39">
        <v>1</v>
      </c>
      <c r="CQ39">
        <v>1</v>
      </c>
      <c r="CR39">
        <v>0</v>
      </c>
      <c r="CS39">
        <v>0</v>
      </c>
      <c r="CT39">
        <v>0</v>
      </c>
      <c r="CU39">
        <v>0</v>
      </c>
      <c r="CV39">
        <v>0</v>
      </c>
      <c r="CW39">
        <v>0</v>
      </c>
      <c r="CX39">
        <v>0</v>
      </c>
      <c r="CY39">
        <v>0</v>
      </c>
      <c r="CZ39">
        <v>0</v>
      </c>
      <c r="DA39">
        <v>0</v>
      </c>
      <c r="DB39">
        <v>0</v>
      </c>
      <c r="DC39">
        <v>0</v>
      </c>
      <c r="DD39">
        <v>0</v>
      </c>
      <c r="DE39">
        <v>0</v>
      </c>
      <c r="DF39">
        <v>0</v>
      </c>
      <c r="DG39">
        <v>0</v>
      </c>
      <c r="DH39">
        <v>1</v>
      </c>
      <c r="DI39">
        <v>0</v>
      </c>
      <c r="DJ39">
        <v>0</v>
      </c>
      <c r="DK39">
        <v>0</v>
      </c>
      <c r="DL39">
        <v>0</v>
      </c>
      <c r="DM39">
        <v>0</v>
      </c>
      <c r="DN39">
        <v>0</v>
      </c>
      <c r="DO39">
        <v>0</v>
      </c>
      <c r="DP39">
        <v>0</v>
      </c>
      <c r="DQ39">
        <v>0</v>
      </c>
      <c r="DR39">
        <v>0</v>
      </c>
      <c r="DS39">
        <v>0</v>
      </c>
      <c r="DT39">
        <v>0</v>
      </c>
      <c r="DU39">
        <v>0</v>
      </c>
      <c r="DV39">
        <v>0</v>
      </c>
      <c r="DW39">
        <v>1</v>
      </c>
      <c r="DX39">
        <v>0</v>
      </c>
      <c r="DY39">
        <v>0</v>
      </c>
      <c r="DZ39">
        <v>1</v>
      </c>
      <c r="EA39">
        <v>0</v>
      </c>
      <c r="EB39">
        <v>0</v>
      </c>
      <c r="EC39">
        <v>0</v>
      </c>
      <c r="ED39">
        <v>0</v>
      </c>
      <c r="EE39">
        <v>0</v>
      </c>
      <c r="EF39">
        <v>0</v>
      </c>
      <c r="EG39">
        <v>0</v>
      </c>
      <c r="EH39">
        <v>0</v>
      </c>
      <c r="EI39">
        <v>1</v>
      </c>
      <c r="EJ39">
        <v>0</v>
      </c>
      <c r="EK39">
        <v>0</v>
      </c>
      <c r="EL39">
        <v>0</v>
      </c>
      <c r="EM39">
        <v>0</v>
      </c>
      <c r="EN39">
        <v>0</v>
      </c>
      <c r="EO39">
        <v>0</v>
      </c>
      <c r="EP39">
        <v>1</v>
      </c>
      <c r="EQ39">
        <v>0</v>
      </c>
      <c r="ER39">
        <v>0</v>
      </c>
      <c r="ES39">
        <v>0</v>
      </c>
      <c r="ET39">
        <v>1</v>
      </c>
      <c r="EU39">
        <v>0</v>
      </c>
      <c r="EV39">
        <v>0</v>
      </c>
    </row>
    <row r="40" spans="1:152">
      <c r="A40" t="str">
        <v>SUB_3(2)</v>
      </c>
      <c r="B40" t="str">
        <v>If you tried this product and it met your expectations for taste and effectiveness, which of the fol... (2)-Any brand of caffeinated energy drink (examples: Monster, Rockstar, Red Bull)</v>
      </c>
      <c r="C40">
        <v>0</v>
      </c>
      <c r="D40">
        <v>0</v>
      </c>
      <c r="E40">
        <v>0</v>
      </c>
      <c r="F40">
        <v>0</v>
      </c>
      <c r="G40">
        <v>0</v>
      </c>
      <c r="H40">
        <v>0</v>
      </c>
      <c r="I40">
        <v>0</v>
      </c>
      <c r="J40">
        <v>0</v>
      </c>
      <c r="K40">
        <v>0</v>
      </c>
      <c r="L40">
        <v>1</v>
      </c>
      <c r="M40">
        <v>0</v>
      </c>
      <c r="N40">
        <v>0</v>
      </c>
      <c r="O40">
        <v>0</v>
      </c>
      <c r="P40">
        <v>0</v>
      </c>
      <c r="Q40">
        <v>0</v>
      </c>
      <c r="R40">
        <v>0</v>
      </c>
      <c r="S40">
        <v>0</v>
      </c>
      <c r="T40">
        <v>0</v>
      </c>
      <c r="U40">
        <v>0</v>
      </c>
      <c r="V40">
        <v>0</v>
      </c>
      <c r="W40">
        <v>0</v>
      </c>
      <c r="X40">
        <v>0</v>
      </c>
      <c r="Y40">
        <v>0</v>
      </c>
      <c r="Z40">
        <v>0</v>
      </c>
      <c r="AA40">
        <v>1</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1</v>
      </c>
      <c r="BW40">
        <v>1</v>
      </c>
      <c r="BX40">
        <v>0</v>
      </c>
      <c r="BY40">
        <v>0</v>
      </c>
      <c r="BZ40">
        <v>0</v>
      </c>
      <c r="CA40">
        <v>0</v>
      </c>
      <c r="CB40">
        <v>0</v>
      </c>
      <c r="CC40">
        <v>0</v>
      </c>
      <c r="CD40">
        <v>0</v>
      </c>
      <c r="CE40">
        <v>0</v>
      </c>
      <c r="CF40">
        <v>0</v>
      </c>
      <c r="CG40">
        <v>0</v>
      </c>
      <c r="CH40">
        <v>1</v>
      </c>
      <c r="CI40">
        <v>1</v>
      </c>
      <c r="CJ40">
        <v>0</v>
      </c>
      <c r="CK40">
        <v>0</v>
      </c>
      <c r="CL40">
        <v>0</v>
      </c>
      <c r="CM40">
        <v>0</v>
      </c>
      <c r="CN40">
        <v>0</v>
      </c>
      <c r="CO40">
        <v>0</v>
      </c>
      <c r="CP40">
        <v>0</v>
      </c>
      <c r="CQ40">
        <v>0</v>
      </c>
      <c r="CR40">
        <v>0</v>
      </c>
      <c r="CS40">
        <v>0</v>
      </c>
      <c r="CT40">
        <v>0</v>
      </c>
      <c r="CU40">
        <v>0</v>
      </c>
      <c r="CV40">
        <v>0</v>
      </c>
      <c r="CW40">
        <v>1</v>
      </c>
      <c r="CX40">
        <v>0</v>
      </c>
      <c r="CY40">
        <v>0</v>
      </c>
      <c r="CZ40">
        <v>0</v>
      </c>
      <c r="DA40">
        <v>0</v>
      </c>
      <c r="DB40">
        <v>0</v>
      </c>
      <c r="DC40">
        <v>0</v>
      </c>
      <c r="DD40">
        <v>0</v>
      </c>
      <c r="DE40">
        <v>0</v>
      </c>
      <c r="DF40">
        <v>0</v>
      </c>
      <c r="DG40">
        <v>0</v>
      </c>
      <c r="DH40">
        <v>0</v>
      </c>
      <c r="DI40">
        <v>0</v>
      </c>
      <c r="DJ40">
        <v>0</v>
      </c>
      <c r="DK40">
        <v>1</v>
      </c>
      <c r="DL40">
        <v>0</v>
      </c>
      <c r="DM40">
        <v>0</v>
      </c>
      <c r="DN40">
        <v>0</v>
      </c>
      <c r="DO40">
        <v>0</v>
      </c>
      <c r="DP40">
        <v>0</v>
      </c>
      <c r="DQ40">
        <v>0</v>
      </c>
      <c r="DR40">
        <v>0</v>
      </c>
      <c r="DS40">
        <v>0</v>
      </c>
      <c r="DT40">
        <v>0</v>
      </c>
      <c r="DU40">
        <v>0</v>
      </c>
      <c r="DV40">
        <v>0</v>
      </c>
      <c r="DW40">
        <v>0</v>
      </c>
      <c r="DX40">
        <v>0</v>
      </c>
      <c r="DY40">
        <v>0</v>
      </c>
      <c r="DZ40">
        <v>1</v>
      </c>
      <c r="EA40">
        <v>0</v>
      </c>
      <c r="EB40">
        <v>0</v>
      </c>
      <c r="EC40">
        <v>1</v>
      </c>
      <c r="ED40">
        <v>0</v>
      </c>
      <c r="EE40">
        <v>0</v>
      </c>
      <c r="EF40">
        <v>0</v>
      </c>
      <c r="EG40">
        <v>0</v>
      </c>
      <c r="EH40">
        <v>0</v>
      </c>
      <c r="EI40">
        <v>0</v>
      </c>
      <c r="EJ40">
        <v>0</v>
      </c>
      <c r="EK40">
        <v>0</v>
      </c>
      <c r="EL40">
        <v>0</v>
      </c>
      <c r="EM40">
        <v>0</v>
      </c>
      <c r="EN40">
        <v>0</v>
      </c>
      <c r="EO40">
        <v>0</v>
      </c>
      <c r="EP40">
        <v>0</v>
      </c>
      <c r="EQ40">
        <v>0</v>
      </c>
      <c r="ER40">
        <v>0</v>
      </c>
      <c r="ES40">
        <v>0</v>
      </c>
      <c r="ET40">
        <v>1</v>
      </c>
      <c r="EU40">
        <v>0</v>
      </c>
      <c r="EV40">
        <v>0</v>
      </c>
    </row>
    <row r="41" spans="1:152">
      <c r="A41" t="str">
        <v>SUB_4(2)</v>
      </c>
      <c r="B41" t="str">
        <v>If you tried this product and it met your expectations for taste and effectiveness, which of the fol... (2)-Any brand of energy shots (example: 5-hr energy)</v>
      </c>
      <c r="C41">
        <v>0</v>
      </c>
      <c r="D41">
        <v>0</v>
      </c>
      <c r="E41">
        <v>0</v>
      </c>
      <c r="F41">
        <v>0</v>
      </c>
      <c r="G41">
        <v>0</v>
      </c>
      <c r="H41">
        <v>0</v>
      </c>
      <c r="I41">
        <v>0</v>
      </c>
      <c r="J41">
        <v>0</v>
      </c>
      <c r="K41">
        <v>0</v>
      </c>
      <c r="L41">
        <v>1</v>
      </c>
      <c r="M41">
        <v>0</v>
      </c>
      <c r="N41">
        <v>0</v>
      </c>
      <c r="O41">
        <v>0</v>
      </c>
      <c r="P41">
        <v>0</v>
      </c>
      <c r="Q41">
        <v>1</v>
      </c>
      <c r="R41">
        <v>0</v>
      </c>
      <c r="S41">
        <v>0</v>
      </c>
      <c r="T41">
        <v>0</v>
      </c>
      <c r="U41">
        <v>0</v>
      </c>
      <c r="V41">
        <v>0</v>
      </c>
      <c r="W41">
        <v>0</v>
      </c>
      <c r="X41">
        <v>0</v>
      </c>
      <c r="Y41">
        <v>0</v>
      </c>
      <c r="Z41">
        <v>0</v>
      </c>
      <c r="AA41">
        <v>1</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1</v>
      </c>
      <c r="BW41">
        <v>1</v>
      </c>
      <c r="BX41">
        <v>0</v>
      </c>
      <c r="BY41">
        <v>0</v>
      </c>
      <c r="BZ41">
        <v>0</v>
      </c>
      <c r="CA41">
        <v>0</v>
      </c>
      <c r="CB41">
        <v>0</v>
      </c>
      <c r="CC41">
        <v>0</v>
      </c>
      <c r="CD41">
        <v>0</v>
      </c>
      <c r="CE41">
        <v>0</v>
      </c>
      <c r="CF41">
        <v>0</v>
      </c>
      <c r="CG41">
        <v>0</v>
      </c>
      <c r="CH41">
        <v>1</v>
      </c>
      <c r="CI41">
        <v>0</v>
      </c>
      <c r="CJ41">
        <v>0</v>
      </c>
      <c r="CK41">
        <v>0</v>
      </c>
      <c r="CL41">
        <v>0</v>
      </c>
      <c r="CM41">
        <v>0</v>
      </c>
      <c r="CN41">
        <v>0</v>
      </c>
      <c r="CO41">
        <v>0</v>
      </c>
      <c r="CP41">
        <v>0</v>
      </c>
      <c r="CQ41">
        <v>0</v>
      </c>
      <c r="CR41">
        <v>0</v>
      </c>
      <c r="CS41">
        <v>0</v>
      </c>
      <c r="CT41">
        <v>0</v>
      </c>
      <c r="CU41">
        <v>0</v>
      </c>
      <c r="CV41">
        <v>0</v>
      </c>
      <c r="CW41">
        <v>0</v>
      </c>
      <c r="CX41">
        <v>0</v>
      </c>
      <c r="CY41">
        <v>0</v>
      </c>
      <c r="CZ41">
        <v>0</v>
      </c>
      <c r="DA41">
        <v>1</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1</v>
      </c>
      <c r="ED41">
        <v>0</v>
      </c>
      <c r="EE41">
        <v>0</v>
      </c>
      <c r="EF41">
        <v>0</v>
      </c>
      <c r="EG41">
        <v>0</v>
      </c>
      <c r="EH41">
        <v>0</v>
      </c>
      <c r="EI41">
        <v>0</v>
      </c>
      <c r="EJ41">
        <v>0</v>
      </c>
      <c r="EK41">
        <v>0</v>
      </c>
      <c r="EL41">
        <v>0</v>
      </c>
      <c r="EM41">
        <v>0</v>
      </c>
      <c r="EN41">
        <v>0</v>
      </c>
      <c r="EO41">
        <v>0</v>
      </c>
      <c r="EP41">
        <v>0</v>
      </c>
      <c r="EQ41">
        <v>0</v>
      </c>
      <c r="ER41">
        <v>0</v>
      </c>
      <c r="ES41">
        <v>0</v>
      </c>
      <c r="ET41">
        <v>1</v>
      </c>
      <c r="EU41">
        <v>0</v>
      </c>
      <c r="EV41">
        <v>0</v>
      </c>
    </row>
    <row r="42" spans="1:152">
      <c r="A42" t="str">
        <v>SUB_5(2)</v>
      </c>
      <c r="B42" t="str">
        <v>If you tried this product and it met your expectations for taste and effectiveness, which of the fol... (2)-Any brand of energy bars (example: PowerBar, LunaBar, Clif Bar)</v>
      </c>
      <c r="C42">
        <v>0</v>
      </c>
      <c r="D42">
        <v>0</v>
      </c>
      <c r="E42">
        <v>0</v>
      </c>
      <c r="F42">
        <v>0</v>
      </c>
      <c r="G42">
        <v>0</v>
      </c>
      <c r="H42">
        <v>0</v>
      </c>
      <c r="I42">
        <v>0</v>
      </c>
      <c r="J42">
        <v>0</v>
      </c>
      <c r="K42">
        <v>0</v>
      </c>
      <c r="L42">
        <v>1</v>
      </c>
      <c r="M42">
        <v>0</v>
      </c>
      <c r="N42">
        <v>0</v>
      </c>
      <c r="O42">
        <v>0</v>
      </c>
      <c r="P42">
        <v>0</v>
      </c>
      <c r="Q42">
        <v>0</v>
      </c>
      <c r="R42">
        <v>0</v>
      </c>
      <c r="S42">
        <v>1</v>
      </c>
      <c r="T42">
        <v>0</v>
      </c>
      <c r="U42">
        <v>1</v>
      </c>
      <c r="V42">
        <v>1</v>
      </c>
      <c r="W42">
        <v>0</v>
      </c>
      <c r="X42">
        <v>0</v>
      </c>
      <c r="Y42">
        <v>0</v>
      </c>
      <c r="Z42">
        <v>0</v>
      </c>
      <c r="AA42">
        <v>0</v>
      </c>
      <c r="AB42">
        <v>0</v>
      </c>
      <c r="AC42">
        <v>0</v>
      </c>
      <c r="AD42">
        <v>0</v>
      </c>
      <c r="AE42">
        <v>0</v>
      </c>
      <c r="AF42">
        <v>0</v>
      </c>
      <c r="AG42">
        <v>0</v>
      </c>
      <c r="AH42">
        <v>1</v>
      </c>
      <c r="AI42">
        <v>0</v>
      </c>
      <c r="AJ42">
        <v>1</v>
      </c>
      <c r="AK42">
        <v>0</v>
      </c>
      <c r="AL42">
        <v>0</v>
      </c>
      <c r="AM42">
        <v>0</v>
      </c>
      <c r="AN42">
        <v>1</v>
      </c>
      <c r="AO42">
        <v>0</v>
      </c>
      <c r="AP42">
        <v>0</v>
      </c>
      <c r="AQ42">
        <v>1</v>
      </c>
      <c r="AR42">
        <v>0</v>
      </c>
      <c r="AS42">
        <v>0</v>
      </c>
      <c r="AT42">
        <v>0</v>
      </c>
      <c r="AU42">
        <v>0</v>
      </c>
      <c r="AV42">
        <v>0</v>
      </c>
      <c r="AW42">
        <v>1</v>
      </c>
      <c r="AX42">
        <v>0</v>
      </c>
      <c r="AY42">
        <v>0</v>
      </c>
      <c r="AZ42">
        <v>0</v>
      </c>
      <c r="BA42">
        <v>0</v>
      </c>
      <c r="BB42">
        <v>0</v>
      </c>
      <c r="BC42">
        <v>1</v>
      </c>
      <c r="BD42">
        <v>1</v>
      </c>
      <c r="BE42">
        <v>0</v>
      </c>
      <c r="BF42">
        <v>0</v>
      </c>
      <c r="BG42">
        <v>1</v>
      </c>
      <c r="BH42">
        <v>1</v>
      </c>
      <c r="BI42">
        <v>0</v>
      </c>
      <c r="BJ42">
        <v>0</v>
      </c>
      <c r="BK42">
        <v>0</v>
      </c>
      <c r="BL42">
        <v>0</v>
      </c>
      <c r="BM42">
        <v>0</v>
      </c>
      <c r="BN42">
        <v>1</v>
      </c>
      <c r="BO42">
        <v>0</v>
      </c>
      <c r="BP42">
        <v>1</v>
      </c>
      <c r="BQ42">
        <v>1</v>
      </c>
      <c r="BR42">
        <v>0</v>
      </c>
      <c r="BS42">
        <v>0</v>
      </c>
      <c r="BT42">
        <v>0</v>
      </c>
      <c r="BU42">
        <v>0</v>
      </c>
      <c r="BV42">
        <v>1</v>
      </c>
      <c r="BW42">
        <v>0</v>
      </c>
      <c r="BX42">
        <v>0</v>
      </c>
      <c r="BY42">
        <v>0</v>
      </c>
      <c r="BZ42">
        <v>0</v>
      </c>
      <c r="CA42">
        <v>0</v>
      </c>
      <c r="CB42">
        <v>0</v>
      </c>
      <c r="CC42">
        <v>1</v>
      </c>
      <c r="CD42">
        <v>0</v>
      </c>
      <c r="CE42">
        <v>0</v>
      </c>
      <c r="CF42">
        <v>1</v>
      </c>
      <c r="CG42">
        <v>0</v>
      </c>
      <c r="CH42">
        <v>0</v>
      </c>
      <c r="CI42">
        <v>0</v>
      </c>
      <c r="CJ42">
        <v>1</v>
      </c>
      <c r="CK42">
        <v>0</v>
      </c>
      <c r="CL42">
        <v>0</v>
      </c>
      <c r="CM42">
        <v>0</v>
      </c>
      <c r="CN42">
        <v>0</v>
      </c>
      <c r="CO42">
        <v>0</v>
      </c>
      <c r="CP42">
        <v>0</v>
      </c>
      <c r="CQ42">
        <v>0</v>
      </c>
      <c r="CR42">
        <v>1</v>
      </c>
      <c r="CS42">
        <v>1</v>
      </c>
      <c r="CT42">
        <v>0</v>
      </c>
      <c r="CU42">
        <v>0</v>
      </c>
      <c r="CV42">
        <v>0</v>
      </c>
      <c r="CW42">
        <v>1</v>
      </c>
      <c r="CX42">
        <v>0</v>
      </c>
      <c r="CY42">
        <v>0</v>
      </c>
      <c r="CZ42">
        <v>0</v>
      </c>
      <c r="DA42">
        <v>0</v>
      </c>
      <c r="DB42">
        <v>1</v>
      </c>
      <c r="DC42">
        <v>1</v>
      </c>
      <c r="DD42">
        <v>0</v>
      </c>
      <c r="DE42">
        <v>1</v>
      </c>
      <c r="DF42">
        <v>1</v>
      </c>
      <c r="DG42">
        <v>0</v>
      </c>
      <c r="DH42">
        <v>0</v>
      </c>
      <c r="DI42">
        <v>0</v>
      </c>
      <c r="DJ42">
        <v>1</v>
      </c>
      <c r="DK42">
        <v>0</v>
      </c>
      <c r="DL42">
        <v>0</v>
      </c>
      <c r="DM42">
        <v>0</v>
      </c>
      <c r="DN42">
        <v>0</v>
      </c>
      <c r="DO42">
        <v>0</v>
      </c>
      <c r="DP42">
        <v>0</v>
      </c>
      <c r="DQ42">
        <v>0</v>
      </c>
      <c r="DR42">
        <v>0</v>
      </c>
      <c r="DS42">
        <v>0</v>
      </c>
      <c r="DT42">
        <v>1</v>
      </c>
      <c r="DU42">
        <v>0</v>
      </c>
      <c r="DV42">
        <v>1</v>
      </c>
      <c r="DW42">
        <v>0</v>
      </c>
      <c r="DX42">
        <v>1</v>
      </c>
      <c r="DY42">
        <v>0</v>
      </c>
      <c r="DZ42">
        <v>0</v>
      </c>
      <c r="EA42">
        <v>0</v>
      </c>
      <c r="EB42">
        <v>0</v>
      </c>
      <c r="EC42">
        <v>0</v>
      </c>
      <c r="ED42">
        <v>0</v>
      </c>
      <c r="EE42">
        <v>0</v>
      </c>
      <c r="EF42">
        <v>0</v>
      </c>
      <c r="EG42">
        <v>0</v>
      </c>
      <c r="EH42">
        <v>0</v>
      </c>
      <c r="EI42">
        <v>1</v>
      </c>
      <c r="EJ42">
        <v>0</v>
      </c>
      <c r="EK42">
        <v>1</v>
      </c>
      <c r="EL42">
        <v>1</v>
      </c>
      <c r="EM42">
        <v>0</v>
      </c>
      <c r="EN42">
        <v>0</v>
      </c>
      <c r="EO42">
        <v>0</v>
      </c>
      <c r="EP42">
        <v>0</v>
      </c>
      <c r="EQ42">
        <v>0</v>
      </c>
      <c r="ER42">
        <v>0</v>
      </c>
      <c r="ES42">
        <v>0</v>
      </c>
      <c r="ET42">
        <v>1</v>
      </c>
      <c r="EU42">
        <v>0</v>
      </c>
      <c r="EV42">
        <v>0</v>
      </c>
    </row>
    <row r="43" spans="1:152">
      <c r="A43" t="str">
        <v>SUB_1(3)</v>
      </c>
      <c r="B43" t="str">
        <v>If you tried this product and it met your expectations for taste and effectiveness, which of the fol... (3)-Regular coffee or espresso, latte, cappuccino, etc (not decaffeinated)</v>
      </c>
      <c r="C43">
        <v>1</v>
      </c>
      <c r="D43">
        <v>1</v>
      </c>
      <c r="E43">
        <v>0</v>
      </c>
      <c r="F43">
        <v>0</v>
      </c>
      <c r="G43">
        <v>0</v>
      </c>
      <c r="H43">
        <v>1</v>
      </c>
      <c r="I43">
        <v>0</v>
      </c>
      <c r="J43">
        <v>1</v>
      </c>
      <c r="K43">
        <v>1</v>
      </c>
      <c r="L43">
        <v>0</v>
      </c>
      <c r="M43">
        <v>0</v>
      </c>
      <c r="N43">
        <v>0</v>
      </c>
      <c r="O43">
        <v>1</v>
      </c>
      <c r="P43">
        <v>1</v>
      </c>
      <c r="Q43">
        <v>0</v>
      </c>
      <c r="R43">
        <v>0</v>
      </c>
      <c r="S43">
        <v>0</v>
      </c>
      <c r="T43">
        <v>0</v>
      </c>
      <c r="U43">
        <v>1</v>
      </c>
      <c r="V43">
        <v>1</v>
      </c>
      <c r="W43">
        <v>1</v>
      </c>
      <c r="X43">
        <v>0</v>
      </c>
      <c r="Y43">
        <v>0</v>
      </c>
      <c r="Z43">
        <v>1</v>
      </c>
      <c r="AA43">
        <v>0</v>
      </c>
      <c r="AB43">
        <v>1</v>
      </c>
      <c r="AC43">
        <v>0</v>
      </c>
      <c r="AD43">
        <v>1</v>
      </c>
      <c r="AE43">
        <v>0</v>
      </c>
      <c r="AF43">
        <v>0</v>
      </c>
      <c r="AG43">
        <v>1</v>
      </c>
      <c r="AH43">
        <v>0</v>
      </c>
      <c r="AI43">
        <v>0</v>
      </c>
      <c r="AJ43">
        <v>0</v>
      </c>
      <c r="AK43">
        <v>0</v>
      </c>
      <c r="AL43">
        <v>0</v>
      </c>
      <c r="AM43">
        <v>0</v>
      </c>
      <c r="AN43">
        <v>1</v>
      </c>
      <c r="AO43">
        <v>0</v>
      </c>
      <c r="AP43">
        <v>1</v>
      </c>
      <c r="AQ43">
        <v>0</v>
      </c>
      <c r="AR43">
        <v>1</v>
      </c>
      <c r="AS43">
        <v>1</v>
      </c>
      <c r="AT43">
        <v>0</v>
      </c>
      <c r="AU43">
        <v>0</v>
      </c>
      <c r="AV43">
        <v>0</v>
      </c>
      <c r="AW43">
        <v>1</v>
      </c>
      <c r="AX43">
        <v>0</v>
      </c>
      <c r="AY43">
        <v>0</v>
      </c>
      <c r="AZ43">
        <v>1</v>
      </c>
      <c r="BA43">
        <v>0</v>
      </c>
      <c r="BB43">
        <v>0</v>
      </c>
      <c r="BC43">
        <v>0</v>
      </c>
      <c r="BD43">
        <v>0</v>
      </c>
      <c r="BE43">
        <v>0</v>
      </c>
      <c r="BF43">
        <v>0</v>
      </c>
      <c r="BG43">
        <v>1</v>
      </c>
      <c r="BH43">
        <v>0</v>
      </c>
      <c r="BI43">
        <v>0</v>
      </c>
      <c r="BJ43">
        <v>0</v>
      </c>
      <c r="BK43">
        <v>0</v>
      </c>
      <c r="BL43">
        <v>1</v>
      </c>
      <c r="BM43">
        <v>1</v>
      </c>
      <c r="BN43">
        <v>0</v>
      </c>
      <c r="BO43">
        <v>1</v>
      </c>
      <c r="BP43">
        <v>0</v>
      </c>
      <c r="BQ43">
        <v>1</v>
      </c>
      <c r="BR43">
        <v>0</v>
      </c>
      <c r="BS43">
        <v>1</v>
      </c>
      <c r="BT43">
        <v>0</v>
      </c>
      <c r="BU43">
        <v>0</v>
      </c>
      <c r="BV43">
        <v>0</v>
      </c>
      <c r="BW43">
        <v>1</v>
      </c>
      <c r="BX43">
        <v>1</v>
      </c>
      <c r="BY43">
        <v>0</v>
      </c>
      <c r="BZ43">
        <v>0</v>
      </c>
      <c r="CA43">
        <v>1</v>
      </c>
      <c r="CB43">
        <v>0</v>
      </c>
      <c r="CC43">
        <v>0</v>
      </c>
      <c r="CD43">
        <v>0</v>
      </c>
      <c r="CE43">
        <v>0</v>
      </c>
      <c r="CF43">
        <v>0</v>
      </c>
      <c r="CG43">
        <v>0</v>
      </c>
      <c r="CH43">
        <v>0</v>
      </c>
      <c r="CI43">
        <v>1</v>
      </c>
      <c r="CJ43">
        <v>0</v>
      </c>
      <c r="CK43">
        <v>1</v>
      </c>
      <c r="CL43">
        <v>0</v>
      </c>
      <c r="CM43">
        <v>0</v>
      </c>
      <c r="CN43">
        <v>0</v>
      </c>
      <c r="CO43">
        <v>1</v>
      </c>
      <c r="CP43">
        <v>0</v>
      </c>
      <c r="CQ43">
        <v>0</v>
      </c>
      <c r="CR43">
        <v>1</v>
      </c>
      <c r="CS43">
        <v>0</v>
      </c>
      <c r="CT43">
        <v>0</v>
      </c>
      <c r="CU43">
        <v>1</v>
      </c>
      <c r="CV43">
        <v>1</v>
      </c>
      <c r="CW43">
        <v>0</v>
      </c>
      <c r="CX43">
        <v>1</v>
      </c>
      <c r="CY43">
        <v>1</v>
      </c>
      <c r="CZ43">
        <v>0</v>
      </c>
      <c r="DA43">
        <v>0</v>
      </c>
      <c r="DB43">
        <v>1</v>
      </c>
      <c r="DC43">
        <v>0</v>
      </c>
      <c r="DD43">
        <v>0</v>
      </c>
      <c r="DE43">
        <v>0</v>
      </c>
      <c r="DF43">
        <v>1</v>
      </c>
      <c r="DG43">
        <v>0</v>
      </c>
      <c r="DH43">
        <v>0</v>
      </c>
      <c r="DI43">
        <v>0</v>
      </c>
      <c r="DJ43">
        <v>1</v>
      </c>
      <c r="DK43">
        <v>1</v>
      </c>
      <c r="DL43">
        <v>0</v>
      </c>
      <c r="DM43">
        <v>1</v>
      </c>
      <c r="DN43">
        <v>0</v>
      </c>
      <c r="DO43">
        <v>0</v>
      </c>
      <c r="DP43">
        <v>1</v>
      </c>
      <c r="DQ43">
        <v>0</v>
      </c>
      <c r="DR43">
        <v>0</v>
      </c>
      <c r="DS43">
        <v>0</v>
      </c>
      <c r="DT43">
        <v>1</v>
      </c>
      <c r="DU43">
        <v>0</v>
      </c>
      <c r="DV43">
        <v>0</v>
      </c>
      <c r="DW43">
        <v>1</v>
      </c>
      <c r="DX43">
        <v>0</v>
      </c>
      <c r="DY43">
        <v>1</v>
      </c>
      <c r="DZ43">
        <v>1</v>
      </c>
      <c r="EA43">
        <v>0</v>
      </c>
      <c r="EB43">
        <v>1</v>
      </c>
      <c r="EC43">
        <v>0</v>
      </c>
      <c r="ED43">
        <v>0</v>
      </c>
      <c r="EE43">
        <v>0</v>
      </c>
      <c r="EF43">
        <v>0</v>
      </c>
      <c r="EG43">
        <v>0</v>
      </c>
      <c r="EH43">
        <v>0</v>
      </c>
      <c r="EI43">
        <v>0</v>
      </c>
      <c r="EJ43">
        <v>0</v>
      </c>
      <c r="EK43">
        <v>0</v>
      </c>
      <c r="EL43">
        <v>1</v>
      </c>
      <c r="EM43">
        <v>0</v>
      </c>
      <c r="EN43">
        <v>0</v>
      </c>
      <c r="EO43">
        <v>0</v>
      </c>
      <c r="EP43">
        <v>0</v>
      </c>
      <c r="EQ43">
        <v>0</v>
      </c>
      <c r="ER43">
        <v>0</v>
      </c>
      <c r="ES43">
        <v>0</v>
      </c>
      <c r="ET43">
        <v>1</v>
      </c>
      <c r="EU43">
        <v>0</v>
      </c>
      <c r="EV43">
        <v>0</v>
      </c>
    </row>
    <row r="44" spans="1:152">
      <c r="A44" t="str">
        <v>SUB_2(3)</v>
      </c>
      <c r="B44" t="str">
        <v>If you tried this product and it met your expectations for taste and effectiveness, which of the fol... (3)-Caffeinated soda (examples: Coke, Pepsi, Mountain Dew)</v>
      </c>
      <c r="C44">
        <v>0</v>
      </c>
      <c r="D44">
        <v>0</v>
      </c>
      <c r="E44">
        <v>1</v>
      </c>
      <c r="F44">
        <v>0</v>
      </c>
      <c r="G44">
        <v>0</v>
      </c>
      <c r="H44">
        <v>1</v>
      </c>
      <c r="I44">
        <v>0</v>
      </c>
      <c r="J44">
        <v>1</v>
      </c>
      <c r="K44">
        <v>1</v>
      </c>
      <c r="L44">
        <v>0</v>
      </c>
      <c r="M44">
        <v>1</v>
      </c>
      <c r="N44">
        <v>0</v>
      </c>
      <c r="O44">
        <v>0</v>
      </c>
      <c r="P44">
        <v>0</v>
      </c>
      <c r="Q44">
        <v>1</v>
      </c>
      <c r="R44">
        <v>0</v>
      </c>
      <c r="S44">
        <v>0</v>
      </c>
      <c r="T44">
        <v>0</v>
      </c>
      <c r="U44">
        <v>0</v>
      </c>
      <c r="V44">
        <v>0</v>
      </c>
      <c r="W44">
        <v>0</v>
      </c>
      <c r="X44">
        <v>0</v>
      </c>
      <c r="Y44">
        <v>0</v>
      </c>
      <c r="Z44">
        <v>0</v>
      </c>
      <c r="AA44">
        <v>0</v>
      </c>
      <c r="AB44">
        <v>0</v>
      </c>
      <c r="AC44">
        <v>0</v>
      </c>
      <c r="AD44">
        <v>0</v>
      </c>
      <c r="AE44">
        <v>0</v>
      </c>
      <c r="AF44">
        <v>0</v>
      </c>
      <c r="AG44">
        <v>1</v>
      </c>
      <c r="AH44">
        <v>0</v>
      </c>
      <c r="AI44">
        <v>0</v>
      </c>
      <c r="AJ44">
        <v>1</v>
      </c>
      <c r="AK44">
        <v>0</v>
      </c>
      <c r="AL44">
        <v>0</v>
      </c>
      <c r="AM44">
        <v>1</v>
      </c>
      <c r="AN44">
        <v>0</v>
      </c>
      <c r="AO44">
        <v>0</v>
      </c>
      <c r="AP44">
        <v>1</v>
      </c>
      <c r="AQ44">
        <v>0</v>
      </c>
      <c r="AR44">
        <v>1</v>
      </c>
      <c r="AS44">
        <v>0</v>
      </c>
      <c r="AT44">
        <v>0</v>
      </c>
      <c r="AU44">
        <v>0</v>
      </c>
      <c r="AV44">
        <v>0</v>
      </c>
      <c r="AW44">
        <v>0</v>
      </c>
      <c r="AX44">
        <v>0</v>
      </c>
      <c r="AY44">
        <v>0</v>
      </c>
      <c r="AZ44">
        <v>0</v>
      </c>
      <c r="BA44">
        <v>1</v>
      </c>
      <c r="BB44">
        <v>1</v>
      </c>
      <c r="BC44">
        <v>0</v>
      </c>
      <c r="BD44">
        <v>0</v>
      </c>
      <c r="BE44">
        <v>0</v>
      </c>
      <c r="BF44">
        <v>0</v>
      </c>
      <c r="BG44">
        <v>0</v>
      </c>
      <c r="BH44">
        <v>0</v>
      </c>
      <c r="BI44">
        <v>0</v>
      </c>
      <c r="BJ44">
        <v>0</v>
      </c>
      <c r="BK44">
        <v>0</v>
      </c>
      <c r="BL44">
        <v>0</v>
      </c>
      <c r="BM44">
        <v>1</v>
      </c>
      <c r="BN44">
        <v>0</v>
      </c>
      <c r="BO44">
        <v>1</v>
      </c>
      <c r="BP44">
        <v>0</v>
      </c>
      <c r="BQ44">
        <v>1</v>
      </c>
      <c r="BR44">
        <v>1</v>
      </c>
      <c r="BS44">
        <v>0</v>
      </c>
      <c r="BT44">
        <v>0</v>
      </c>
      <c r="BU44">
        <v>0</v>
      </c>
      <c r="BV44">
        <v>0</v>
      </c>
      <c r="BW44">
        <v>1</v>
      </c>
      <c r="BX44">
        <v>0</v>
      </c>
      <c r="BY44">
        <v>0</v>
      </c>
      <c r="BZ44">
        <v>0</v>
      </c>
      <c r="CA44">
        <v>1</v>
      </c>
      <c r="CB44">
        <v>1</v>
      </c>
      <c r="CC44">
        <v>0</v>
      </c>
      <c r="CD44">
        <v>0</v>
      </c>
      <c r="CE44">
        <v>0</v>
      </c>
      <c r="CF44">
        <v>0</v>
      </c>
      <c r="CG44">
        <v>0</v>
      </c>
      <c r="CH44">
        <v>1</v>
      </c>
      <c r="CI44">
        <v>0</v>
      </c>
      <c r="CJ44">
        <v>0</v>
      </c>
      <c r="CK44">
        <v>0</v>
      </c>
      <c r="CL44">
        <v>0</v>
      </c>
      <c r="CM44">
        <v>0</v>
      </c>
      <c r="CN44">
        <v>0</v>
      </c>
      <c r="CO44">
        <v>0</v>
      </c>
      <c r="CP44">
        <v>1</v>
      </c>
      <c r="CQ44">
        <v>1</v>
      </c>
      <c r="CR44">
        <v>1</v>
      </c>
      <c r="CS44">
        <v>0</v>
      </c>
      <c r="CT44">
        <v>0</v>
      </c>
      <c r="CU44">
        <v>0</v>
      </c>
      <c r="CV44">
        <v>0</v>
      </c>
      <c r="CW44">
        <v>1</v>
      </c>
      <c r="CX44">
        <v>0</v>
      </c>
      <c r="CY44">
        <v>0</v>
      </c>
      <c r="CZ44">
        <v>0</v>
      </c>
      <c r="DA44">
        <v>0</v>
      </c>
      <c r="DB44">
        <v>1</v>
      </c>
      <c r="DC44">
        <v>0</v>
      </c>
      <c r="DD44">
        <v>0</v>
      </c>
      <c r="DE44">
        <v>0</v>
      </c>
      <c r="DF44">
        <v>0</v>
      </c>
      <c r="DG44">
        <v>0</v>
      </c>
      <c r="DH44">
        <v>1</v>
      </c>
      <c r="DI44">
        <v>0</v>
      </c>
      <c r="DJ44">
        <v>0</v>
      </c>
      <c r="DK44">
        <v>0</v>
      </c>
      <c r="DL44">
        <v>1</v>
      </c>
      <c r="DM44">
        <v>0</v>
      </c>
      <c r="DN44">
        <v>0</v>
      </c>
      <c r="DO44">
        <v>0</v>
      </c>
      <c r="DP44">
        <v>0</v>
      </c>
      <c r="DQ44">
        <v>0</v>
      </c>
      <c r="DR44">
        <v>0</v>
      </c>
      <c r="DS44">
        <v>0</v>
      </c>
      <c r="DT44">
        <v>1</v>
      </c>
      <c r="DU44">
        <v>0</v>
      </c>
      <c r="DV44">
        <v>0</v>
      </c>
      <c r="DW44">
        <v>1</v>
      </c>
      <c r="DX44">
        <v>0</v>
      </c>
      <c r="DY44">
        <v>0</v>
      </c>
      <c r="DZ44">
        <v>1</v>
      </c>
      <c r="EA44">
        <v>1</v>
      </c>
      <c r="EB44">
        <v>0</v>
      </c>
      <c r="EC44">
        <v>0</v>
      </c>
      <c r="ED44">
        <v>0</v>
      </c>
      <c r="EE44">
        <v>0</v>
      </c>
      <c r="EF44">
        <v>0</v>
      </c>
      <c r="EG44">
        <v>0</v>
      </c>
      <c r="EH44">
        <v>0</v>
      </c>
      <c r="EI44">
        <v>0</v>
      </c>
      <c r="EJ44">
        <v>0</v>
      </c>
      <c r="EK44">
        <v>0</v>
      </c>
      <c r="EL44">
        <v>1</v>
      </c>
      <c r="EM44">
        <v>0</v>
      </c>
      <c r="EN44">
        <v>0</v>
      </c>
      <c r="EO44">
        <v>0</v>
      </c>
      <c r="EP44">
        <v>1</v>
      </c>
      <c r="EQ44">
        <v>0</v>
      </c>
      <c r="ER44">
        <v>0</v>
      </c>
      <c r="ES44">
        <v>0</v>
      </c>
      <c r="ET44">
        <v>1</v>
      </c>
      <c r="EU44">
        <v>0</v>
      </c>
      <c r="EV44">
        <v>0</v>
      </c>
    </row>
    <row r="45" spans="1:152">
      <c r="A45" t="str">
        <v>SUB_3(3)</v>
      </c>
      <c r="B45" t="str">
        <v>If you tried this product and it met your expectations for taste and effectiveness, which of the fol... (3)-Any brand of caffeinated energy drink (examples: Monster, Rockstar, Red Bull)</v>
      </c>
      <c r="C45">
        <v>0</v>
      </c>
      <c r="D45">
        <v>0</v>
      </c>
      <c r="E45">
        <v>0</v>
      </c>
      <c r="F45">
        <v>0</v>
      </c>
      <c r="G45">
        <v>0</v>
      </c>
      <c r="H45">
        <v>1</v>
      </c>
      <c r="I45">
        <v>0</v>
      </c>
      <c r="J45">
        <v>0</v>
      </c>
      <c r="K45">
        <v>0</v>
      </c>
      <c r="L45">
        <v>1</v>
      </c>
      <c r="M45">
        <v>0</v>
      </c>
      <c r="N45">
        <v>0</v>
      </c>
      <c r="O45">
        <v>0</v>
      </c>
      <c r="P45">
        <v>0</v>
      </c>
      <c r="Q45">
        <v>0</v>
      </c>
      <c r="R45">
        <v>0</v>
      </c>
      <c r="S45">
        <v>0</v>
      </c>
      <c r="T45">
        <v>0</v>
      </c>
      <c r="U45">
        <v>0</v>
      </c>
      <c r="V45">
        <v>0</v>
      </c>
      <c r="W45">
        <v>0</v>
      </c>
      <c r="X45">
        <v>0</v>
      </c>
      <c r="Y45">
        <v>0</v>
      </c>
      <c r="Z45">
        <v>0</v>
      </c>
      <c r="AA45">
        <v>1</v>
      </c>
      <c r="AB45">
        <v>0</v>
      </c>
      <c r="AC45">
        <v>0</v>
      </c>
      <c r="AD45">
        <v>0</v>
      </c>
      <c r="AE45">
        <v>0</v>
      </c>
      <c r="AF45">
        <v>0</v>
      </c>
      <c r="AG45">
        <v>0</v>
      </c>
      <c r="AH45">
        <v>0</v>
      </c>
      <c r="AI45">
        <v>0</v>
      </c>
      <c r="AJ45">
        <v>0</v>
      </c>
      <c r="AK45">
        <v>0</v>
      </c>
      <c r="AL45">
        <v>0</v>
      </c>
      <c r="AM45">
        <v>0</v>
      </c>
      <c r="AN45">
        <v>0</v>
      </c>
      <c r="AO45">
        <v>0</v>
      </c>
      <c r="AP45">
        <v>0</v>
      </c>
      <c r="AQ45">
        <v>1</v>
      </c>
      <c r="AR45">
        <v>0</v>
      </c>
      <c r="AS45">
        <v>0</v>
      </c>
      <c r="AT45">
        <v>0</v>
      </c>
      <c r="AU45">
        <v>0</v>
      </c>
      <c r="AV45">
        <v>0</v>
      </c>
      <c r="AW45">
        <v>0</v>
      </c>
      <c r="AX45">
        <v>0</v>
      </c>
      <c r="AY45">
        <v>0</v>
      </c>
      <c r="AZ45">
        <v>0</v>
      </c>
      <c r="BA45">
        <v>1</v>
      </c>
      <c r="BB45">
        <v>0</v>
      </c>
      <c r="BC45">
        <v>0</v>
      </c>
      <c r="BD45">
        <v>0</v>
      </c>
      <c r="BE45">
        <v>0</v>
      </c>
      <c r="BF45">
        <v>0</v>
      </c>
      <c r="BG45">
        <v>0</v>
      </c>
      <c r="BH45">
        <v>0</v>
      </c>
      <c r="BI45">
        <v>0</v>
      </c>
      <c r="BJ45">
        <v>0</v>
      </c>
      <c r="BK45">
        <v>0</v>
      </c>
      <c r="BL45">
        <v>0</v>
      </c>
      <c r="BM45">
        <v>1</v>
      </c>
      <c r="BN45">
        <v>1</v>
      </c>
      <c r="BO45">
        <v>0</v>
      </c>
      <c r="BP45">
        <v>0</v>
      </c>
      <c r="BQ45">
        <v>0</v>
      </c>
      <c r="BR45">
        <v>0</v>
      </c>
      <c r="BS45">
        <v>0</v>
      </c>
      <c r="BT45">
        <v>0</v>
      </c>
      <c r="BU45">
        <v>0</v>
      </c>
      <c r="BV45">
        <v>1</v>
      </c>
      <c r="BW45">
        <v>1</v>
      </c>
      <c r="BX45">
        <v>0</v>
      </c>
      <c r="BY45">
        <v>0</v>
      </c>
      <c r="BZ45">
        <v>0</v>
      </c>
      <c r="CA45">
        <v>0</v>
      </c>
      <c r="CB45">
        <v>0</v>
      </c>
      <c r="CC45">
        <v>0</v>
      </c>
      <c r="CD45">
        <v>0</v>
      </c>
      <c r="CE45">
        <v>0</v>
      </c>
      <c r="CF45">
        <v>0</v>
      </c>
      <c r="CG45">
        <v>0</v>
      </c>
      <c r="CH45">
        <v>1</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1</v>
      </c>
      <c r="DU45">
        <v>0</v>
      </c>
      <c r="DV45">
        <v>0</v>
      </c>
      <c r="DW45">
        <v>0</v>
      </c>
      <c r="DX45">
        <v>0</v>
      </c>
      <c r="DY45">
        <v>0</v>
      </c>
      <c r="DZ45">
        <v>1</v>
      </c>
      <c r="EA45">
        <v>1</v>
      </c>
      <c r="EB45">
        <v>0</v>
      </c>
      <c r="EC45">
        <v>1</v>
      </c>
      <c r="ED45">
        <v>0</v>
      </c>
      <c r="EE45">
        <v>0</v>
      </c>
      <c r="EF45">
        <v>0</v>
      </c>
      <c r="EG45">
        <v>0</v>
      </c>
      <c r="EH45">
        <v>0</v>
      </c>
      <c r="EI45">
        <v>0</v>
      </c>
      <c r="EJ45">
        <v>0</v>
      </c>
      <c r="EK45">
        <v>0</v>
      </c>
      <c r="EL45">
        <v>0</v>
      </c>
      <c r="EM45">
        <v>0</v>
      </c>
      <c r="EN45">
        <v>0</v>
      </c>
      <c r="EO45">
        <v>0</v>
      </c>
      <c r="EP45">
        <v>0</v>
      </c>
      <c r="EQ45">
        <v>0</v>
      </c>
      <c r="ER45">
        <v>0</v>
      </c>
      <c r="ES45">
        <v>0</v>
      </c>
      <c r="ET45">
        <v>1</v>
      </c>
      <c r="EU45">
        <v>0</v>
      </c>
      <c r="EV45">
        <v>0</v>
      </c>
    </row>
    <row r="46" spans="1:152">
      <c r="A46" t="str">
        <v>SUB_4(3)</v>
      </c>
      <c r="B46" t="str">
        <v>If you tried this product and it met your expectations for taste and effectiveness, which of the fol... (3)-Any brand of energy shots (example: 5-hr energy)</v>
      </c>
      <c r="C46">
        <v>0</v>
      </c>
      <c r="D46">
        <v>0</v>
      </c>
      <c r="E46">
        <v>0</v>
      </c>
      <c r="F46">
        <v>0</v>
      </c>
      <c r="G46">
        <v>0</v>
      </c>
      <c r="H46">
        <v>1</v>
      </c>
      <c r="I46">
        <v>0</v>
      </c>
      <c r="J46">
        <v>0</v>
      </c>
      <c r="K46">
        <v>0</v>
      </c>
      <c r="L46">
        <v>1</v>
      </c>
      <c r="M46">
        <v>0</v>
      </c>
      <c r="N46">
        <v>0</v>
      </c>
      <c r="O46">
        <v>0</v>
      </c>
      <c r="P46">
        <v>0</v>
      </c>
      <c r="Q46">
        <v>0</v>
      </c>
      <c r="R46">
        <v>0</v>
      </c>
      <c r="S46">
        <v>0</v>
      </c>
      <c r="T46">
        <v>0</v>
      </c>
      <c r="U46">
        <v>0</v>
      </c>
      <c r="V46">
        <v>0</v>
      </c>
      <c r="W46">
        <v>0</v>
      </c>
      <c r="X46">
        <v>0</v>
      </c>
      <c r="Y46">
        <v>0</v>
      </c>
      <c r="Z46">
        <v>0</v>
      </c>
      <c r="AA46">
        <v>1</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1</v>
      </c>
      <c r="AY46">
        <v>0</v>
      </c>
      <c r="AZ46">
        <v>0</v>
      </c>
      <c r="BA46">
        <v>1</v>
      </c>
      <c r="BB46">
        <v>0</v>
      </c>
      <c r="BC46">
        <v>0</v>
      </c>
      <c r="BD46">
        <v>0</v>
      </c>
      <c r="BE46">
        <v>0</v>
      </c>
      <c r="BF46">
        <v>0</v>
      </c>
      <c r="BG46">
        <v>0</v>
      </c>
      <c r="BH46">
        <v>1</v>
      </c>
      <c r="BI46">
        <v>0</v>
      </c>
      <c r="BJ46">
        <v>0</v>
      </c>
      <c r="BK46">
        <v>0</v>
      </c>
      <c r="BL46">
        <v>0</v>
      </c>
      <c r="BM46">
        <v>0</v>
      </c>
      <c r="BN46">
        <v>1</v>
      </c>
      <c r="BO46">
        <v>0</v>
      </c>
      <c r="BP46">
        <v>0</v>
      </c>
      <c r="BQ46">
        <v>0</v>
      </c>
      <c r="BR46">
        <v>0</v>
      </c>
      <c r="BS46">
        <v>0</v>
      </c>
      <c r="BT46">
        <v>0</v>
      </c>
      <c r="BU46">
        <v>0</v>
      </c>
      <c r="BV46">
        <v>1</v>
      </c>
      <c r="BW46">
        <v>1</v>
      </c>
      <c r="BX46">
        <v>0</v>
      </c>
      <c r="BY46">
        <v>0</v>
      </c>
      <c r="BZ46">
        <v>0</v>
      </c>
      <c r="CA46">
        <v>0</v>
      </c>
      <c r="CB46">
        <v>0</v>
      </c>
      <c r="CC46">
        <v>0</v>
      </c>
      <c r="CD46">
        <v>0</v>
      </c>
      <c r="CE46">
        <v>0</v>
      </c>
      <c r="CF46">
        <v>0</v>
      </c>
      <c r="CG46">
        <v>0</v>
      </c>
      <c r="CH46">
        <v>1</v>
      </c>
      <c r="CI46">
        <v>0</v>
      </c>
      <c r="CJ46">
        <v>0</v>
      </c>
      <c r="CK46">
        <v>0</v>
      </c>
      <c r="CL46">
        <v>0</v>
      </c>
      <c r="CM46">
        <v>0</v>
      </c>
      <c r="CN46">
        <v>0</v>
      </c>
      <c r="CO46">
        <v>0</v>
      </c>
      <c r="CP46">
        <v>0</v>
      </c>
      <c r="CQ46">
        <v>0</v>
      </c>
      <c r="CR46">
        <v>0</v>
      </c>
      <c r="CS46">
        <v>0</v>
      </c>
      <c r="CT46">
        <v>0</v>
      </c>
      <c r="CU46">
        <v>0</v>
      </c>
      <c r="CV46">
        <v>0</v>
      </c>
      <c r="CW46">
        <v>0</v>
      </c>
      <c r="CX46">
        <v>0</v>
      </c>
      <c r="CY46">
        <v>0</v>
      </c>
      <c r="CZ46">
        <v>0</v>
      </c>
      <c r="DA46">
        <v>1</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1</v>
      </c>
      <c r="EB46">
        <v>0</v>
      </c>
      <c r="EC46">
        <v>1</v>
      </c>
      <c r="ED46">
        <v>0</v>
      </c>
      <c r="EE46">
        <v>0</v>
      </c>
      <c r="EF46">
        <v>0</v>
      </c>
      <c r="EG46">
        <v>0</v>
      </c>
      <c r="EH46">
        <v>0</v>
      </c>
      <c r="EI46">
        <v>0</v>
      </c>
      <c r="EJ46">
        <v>0</v>
      </c>
      <c r="EK46">
        <v>0</v>
      </c>
      <c r="EL46">
        <v>0</v>
      </c>
      <c r="EM46">
        <v>0</v>
      </c>
      <c r="EN46">
        <v>0</v>
      </c>
      <c r="EO46">
        <v>0</v>
      </c>
      <c r="EP46">
        <v>0</v>
      </c>
      <c r="EQ46">
        <v>0</v>
      </c>
      <c r="ER46">
        <v>0</v>
      </c>
      <c r="ES46">
        <v>0</v>
      </c>
      <c r="ET46">
        <v>1</v>
      </c>
      <c r="EU46">
        <v>0</v>
      </c>
      <c r="EV46">
        <v>0</v>
      </c>
    </row>
    <row r="47" spans="1:152">
      <c r="A47" t="str">
        <v>SUB_5(3)</v>
      </c>
      <c r="B47" t="str">
        <v>If you tried this product and it met your expectations for taste and effectiveness, which of the fol... (3)-Any brand of energy bars (example: PowerBar, LunaBar, Clif Bar)</v>
      </c>
      <c r="C47">
        <v>0</v>
      </c>
      <c r="D47">
        <v>0</v>
      </c>
      <c r="E47">
        <v>0</v>
      </c>
      <c r="F47">
        <v>1</v>
      </c>
      <c r="G47">
        <v>0</v>
      </c>
      <c r="H47">
        <v>0</v>
      </c>
      <c r="I47">
        <v>0</v>
      </c>
      <c r="J47">
        <v>0</v>
      </c>
      <c r="K47">
        <v>0</v>
      </c>
      <c r="L47">
        <v>1</v>
      </c>
      <c r="M47">
        <v>0</v>
      </c>
      <c r="N47">
        <v>0</v>
      </c>
      <c r="O47">
        <v>0</v>
      </c>
      <c r="P47">
        <v>0</v>
      </c>
      <c r="Q47">
        <v>0</v>
      </c>
      <c r="R47">
        <v>1</v>
      </c>
      <c r="S47">
        <v>0</v>
      </c>
      <c r="T47">
        <v>0</v>
      </c>
      <c r="U47">
        <v>0</v>
      </c>
      <c r="V47">
        <v>1</v>
      </c>
      <c r="W47">
        <v>0</v>
      </c>
      <c r="X47">
        <v>0</v>
      </c>
      <c r="Y47">
        <v>0</v>
      </c>
      <c r="Z47">
        <v>0</v>
      </c>
      <c r="AA47">
        <v>0</v>
      </c>
      <c r="AB47">
        <v>0</v>
      </c>
      <c r="AC47">
        <v>0</v>
      </c>
      <c r="AD47">
        <v>0</v>
      </c>
      <c r="AE47">
        <v>0</v>
      </c>
      <c r="AF47">
        <v>0</v>
      </c>
      <c r="AG47">
        <v>0</v>
      </c>
      <c r="AH47">
        <v>1</v>
      </c>
      <c r="AI47">
        <v>0</v>
      </c>
      <c r="AJ47">
        <v>0</v>
      </c>
      <c r="AK47">
        <v>0</v>
      </c>
      <c r="AL47">
        <v>0</v>
      </c>
      <c r="AM47">
        <v>0</v>
      </c>
      <c r="AN47">
        <v>1</v>
      </c>
      <c r="AO47">
        <v>0</v>
      </c>
      <c r="AP47">
        <v>0</v>
      </c>
      <c r="AQ47">
        <v>0</v>
      </c>
      <c r="AR47">
        <v>0</v>
      </c>
      <c r="AS47">
        <v>0</v>
      </c>
      <c r="AT47">
        <v>0</v>
      </c>
      <c r="AU47">
        <v>0</v>
      </c>
      <c r="AV47">
        <v>0</v>
      </c>
      <c r="AW47">
        <v>1</v>
      </c>
      <c r="AX47">
        <v>0</v>
      </c>
      <c r="AY47">
        <v>0</v>
      </c>
      <c r="AZ47">
        <v>0</v>
      </c>
      <c r="BA47">
        <v>1</v>
      </c>
      <c r="BB47">
        <v>1</v>
      </c>
      <c r="BC47">
        <v>1</v>
      </c>
      <c r="BD47">
        <v>1</v>
      </c>
      <c r="BE47">
        <v>0</v>
      </c>
      <c r="BF47">
        <v>0</v>
      </c>
      <c r="BG47">
        <v>0</v>
      </c>
      <c r="BH47">
        <v>0</v>
      </c>
      <c r="BI47">
        <v>0</v>
      </c>
      <c r="BJ47">
        <v>0</v>
      </c>
      <c r="BK47">
        <v>0</v>
      </c>
      <c r="BL47">
        <v>0</v>
      </c>
      <c r="BM47">
        <v>0</v>
      </c>
      <c r="BN47">
        <v>0</v>
      </c>
      <c r="BO47">
        <v>1</v>
      </c>
      <c r="BP47">
        <v>1</v>
      </c>
      <c r="BQ47">
        <v>1</v>
      </c>
      <c r="BR47">
        <v>0</v>
      </c>
      <c r="BS47">
        <v>0</v>
      </c>
      <c r="BT47">
        <v>1</v>
      </c>
      <c r="BU47">
        <v>0</v>
      </c>
      <c r="BV47">
        <v>1</v>
      </c>
      <c r="BW47">
        <v>0</v>
      </c>
      <c r="BX47">
        <v>0</v>
      </c>
      <c r="BY47">
        <v>0</v>
      </c>
      <c r="BZ47">
        <v>0</v>
      </c>
      <c r="CA47">
        <v>0</v>
      </c>
      <c r="CB47">
        <v>0</v>
      </c>
      <c r="CC47">
        <v>1</v>
      </c>
      <c r="CD47">
        <v>0</v>
      </c>
      <c r="CE47">
        <v>0</v>
      </c>
      <c r="CF47">
        <v>1</v>
      </c>
      <c r="CG47">
        <v>0</v>
      </c>
      <c r="CH47">
        <v>0</v>
      </c>
      <c r="CI47">
        <v>0</v>
      </c>
      <c r="CJ47">
        <v>1</v>
      </c>
      <c r="CK47">
        <v>0</v>
      </c>
      <c r="CL47">
        <v>1</v>
      </c>
      <c r="CM47">
        <v>0</v>
      </c>
      <c r="CN47">
        <v>0</v>
      </c>
      <c r="CO47">
        <v>0</v>
      </c>
      <c r="CP47">
        <v>0</v>
      </c>
      <c r="CQ47">
        <v>0</v>
      </c>
      <c r="CR47">
        <v>1</v>
      </c>
      <c r="CS47">
        <v>1</v>
      </c>
      <c r="CT47">
        <v>0</v>
      </c>
      <c r="CU47">
        <v>0</v>
      </c>
      <c r="CV47">
        <v>0</v>
      </c>
      <c r="CW47">
        <v>1</v>
      </c>
      <c r="CX47">
        <v>0</v>
      </c>
      <c r="CY47">
        <v>0</v>
      </c>
      <c r="CZ47">
        <v>0</v>
      </c>
      <c r="DA47">
        <v>0</v>
      </c>
      <c r="DB47">
        <v>1</v>
      </c>
      <c r="DC47">
        <v>1</v>
      </c>
      <c r="DD47">
        <v>0</v>
      </c>
      <c r="DE47">
        <v>1</v>
      </c>
      <c r="DF47">
        <v>0</v>
      </c>
      <c r="DG47">
        <v>0</v>
      </c>
      <c r="DH47">
        <v>0</v>
      </c>
      <c r="DI47">
        <v>0</v>
      </c>
      <c r="DJ47">
        <v>1</v>
      </c>
      <c r="DK47">
        <v>0</v>
      </c>
      <c r="DL47">
        <v>0</v>
      </c>
      <c r="DM47">
        <v>0</v>
      </c>
      <c r="DN47">
        <v>0</v>
      </c>
      <c r="DO47">
        <v>0</v>
      </c>
      <c r="DP47">
        <v>0</v>
      </c>
      <c r="DQ47">
        <v>0</v>
      </c>
      <c r="DR47">
        <v>1</v>
      </c>
      <c r="DS47">
        <v>0</v>
      </c>
      <c r="DT47">
        <v>0</v>
      </c>
      <c r="DU47">
        <v>0</v>
      </c>
      <c r="DV47">
        <v>1</v>
      </c>
      <c r="DW47">
        <v>0</v>
      </c>
      <c r="DX47">
        <v>1</v>
      </c>
      <c r="DY47">
        <v>0</v>
      </c>
      <c r="DZ47">
        <v>0</v>
      </c>
      <c r="EA47">
        <v>1</v>
      </c>
      <c r="EB47">
        <v>0</v>
      </c>
      <c r="EC47">
        <v>0</v>
      </c>
      <c r="ED47">
        <v>0</v>
      </c>
      <c r="EE47">
        <v>0</v>
      </c>
      <c r="EF47">
        <v>0</v>
      </c>
      <c r="EG47">
        <v>0</v>
      </c>
      <c r="EH47">
        <v>0</v>
      </c>
      <c r="EI47">
        <v>1</v>
      </c>
      <c r="EJ47">
        <v>0</v>
      </c>
      <c r="EK47">
        <v>0</v>
      </c>
      <c r="EL47">
        <v>0</v>
      </c>
      <c r="EM47">
        <v>0</v>
      </c>
      <c r="EN47">
        <v>0</v>
      </c>
      <c r="EO47">
        <v>0</v>
      </c>
      <c r="EP47">
        <v>0</v>
      </c>
      <c r="EQ47">
        <v>0</v>
      </c>
      <c r="ER47">
        <v>0</v>
      </c>
      <c r="ES47">
        <v>0</v>
      </c>
      <c r="ET47">
        <v>1</v>
      </c>
      <c r="EU47">
        <v>0</v>
      </c>
      <c r="EV47">
        <v>0</v>
      </c>
    </row>
    <row r="48" spans="1:152">
      <c r="A48" t="str">
        <v>SUB_1(4)</v>
      </c>
      <c r="B48" t="str">
        <v>If you tried this product and it met your expectations for taste and effectiveness, which of the fol... (4)-Regular coffee or espresso, latte, cappuccino, etc (not decaffeinated)</v>
      </c>
      <c r="C48">
        <v>1</v>
      </c>
      <c r="D48">
        <v>0</v>
      </c>
      <c r="E48">
        <v>0</v>
      </c>
      <c r="F48">
        <v>0</v>
      </c>
      <c r="G48">
        <v>0</v>
      </c>
      <c r="H48">
        <v>0</v>
      </c>
      <c r="I48">
        <v>0</v>
      </c>
      <c r="J48">
        <v>0</v>
      </c>
      <c r="K48">
        <v>0</v>
      </c>
      <c r="L48">
        <v>0</v>
      </c>
      <c r="M48">
        <v>0</v>
      </c>
      <c r="N48">
        <v>0</v>
      </c>
      <c r="O48">
        <v>1</v>
      </c>
      <c r="P48">
        <v>1</v>
      </c>
      <c r="Q48">
        <v>0</v>
      </c>
      <c r="R48">
        <v>0</v>
      </c>
      <c r="S48">
        <v>0</v>
      </c>
      <c r="T48">
        <v>0</v>
      </c>
      <c r="U48">
        <v>0</v>
      </c>
      <c r="V48">
        <v>0</v>
      </c>
      <c r="W48">
        <v>0</v>
      </c>
      <c r="X48">
        <v>0</v>
      </c>
      <c r="Y48">
        <v>0</v>
      </c>
      <c r="Z48">
        <v>0</v>
      </c>
      <c r="AA48">
        <v>0</v>
      </c>
      <c r="AB48">
        <v>0</v>
      </c>
      <c r="AC48">
        <v>0</v>
      </c>
      <c r="AD48">
        <v>1</v>
      </c>
      <c r="AE48">
        <v>0</v>
      </c>
      <c r="AF48">
        <v>0</v>
      </c>
      <c r="AG48">
        <v>0</v>
      </c>
      <c r="AH48">
        <v>0</v>
      </c>
      <c r="AI48">
        <v>0</v>
      </c>
      <c r="AJ48">
        <v>0</v>
      </c>
      <c r="AK48">
        <v>0</v>
      </c>
      <c r="AL48">
        <v>0</v>
      </c>
      <c r="AM48">
        <v>0</v>
      </c>
      <c r="AN48">
        <v>0</v>
      </c>
      <c r="AO48">
        <v>0</v>
      </c>
      <c r="AP48">
        <v>0</v>
      </c>
      <c r="AQ48">
        <v>0</v>
      </c>
      <c r="AR48">
        <v>0</v>
      </c>
      <c r="AS48">
        <v>1</v>
      </c>
      <c r="AT48">
        <v>0</v>
      </c>
      <c r="AU48">
        <v>0</v>
      </c>
      <c r="AV48">
        <v>0</v>
      </c>
      <c r="AW48">
        <v>0</v>
      </c>
      <c r="AX48">
        <v>0</v>
      </c>
      <c r="AY48">
        <v>0</v>
      </c>
      <c r="AZ48">
        <v>0</v>
      </c>
      <c r="BA48">
        <v>0</v>
      </c>
      <c r="BB48">
        <v>0</v>
      </c>
      <c r="BC48">
        <v>0</v>
      </c>
      <c r="BD48">
        <v>0</v>
      </c>
      <c r="BE48">
        <v>0</v>
      </c>
      <c r="BF48">
        <v>0</v>
      </c>
      <c r="BG48">
        <v>1</v>
      </c>
      <c r="BH48">
        <v>0</v>
      </c>
      <c r="BI48">
        <v>0</v>
      </c>
      <c r="BJ48">
        <v>0</v>
      </c>
      <c r="BK48">
        <v>0</v>
      </c>
      <c r="BL48">
        <v>0</v>
      </c>
      <c r="BM48">
        <v>0</v>
      </c>
      <c r="BN48">
        <v>1</v>
      </c>
      <c r="BO48">
        <v>0</v>
      </c>
      <c r="BP48">
        <v>0</v>
      </c>
      <c r="BQ48">
        <v>0</v>
      </c>
      <c r="BR48">
        <v>0</v>
      </c>
      <c r="BS48">
        <v>0</v>
      </c>
      <c r="BT48">
        <v>0</v>
      </c>
      <c r="BU48">
        <v>0</v>
      </c>
      <c r="BV48">
        <v>0</v>
      </c>
      <c r="BW48">
        <v>1</v>
      </c>
      <c r="BX48">
        <v>1</v>
      </c>
      <c r="BY48">
        <v>0</v>
      </c>
      <c r="BZ48">
        <v>0</v>
      </c>
      <c r="CA48">
        <v>0</v>
      </c>
      <c r="CB48">
        <v>0</v>
      </c>
      <c r="CC48">
        <v>1</v>
      </c>
      <c r="CD48">
        <v>0</v>
      </c>
      <c r="CE48">
        <v>0</v>
      </c>
      <c r="CF48">
        <v>0</v>
      </c>
      <c r="CG48">
        <v>0</v>
      </c>
      <c r="CH48">
        <v>0</v>
      </c>
      <c r="CI48">
        <v>1</v>
      </c>
      <c r="CJ48">
        <v>0</v>
      </c>
      <c r="CK48">
        <v>0</v>
      </c>
      <c r="CL48">
        <v>0</v>
      </c>
      <c r="CM48">
        <v>0</v>
      </c>
      <c r="CN48">
        <v>0</v>
      </c>
      <c r="CO48">
        <v>1</v>
      </c>
      <c r="CP48">
        <v>0</v>
      </c>
      <c r="CQ48">
        <v>0</v>
      </c>
      <c r="CR48">
        <v>0</v>
      </c>
      <c r="CS48">
        <v>0</v>
      </c>
      <c r="CT48">
        <v>0</v>
      </c>
      <c r="CU48">
        <v>1</v>
      </c>
      <c r="CV48">
        <v>1</v>
      </c>
      <c r="CW48">
        <v>0</v>
      </c>
      <c r="CX48">
        <v>1</v>
      </c>
      <c r="CY48">
        <v>1</v>
      </c>
      <c r="CZ48">
        <v>0</v>
      </c>
      <c r="DA48">
        <v>0</v>
      </c>
      <c r="DB48">
        <v>0</v>
      </c>
      <c r="DC48">
        <v>0</v>
      </c>
      <c r="DD48">
        <v>0</v>
      </c>
      <c r="DE48">
        <v>0</v>
      </c>
      <c r="DF48">
        <v>0</v>
      </c>
      <c r="DG48">
        <v>0</v>
      </c>
      <c r="DH48">
        <v>0</v>
      </c>
      <c r="DI48">
        <v>0</v>
      </c>
      <c r="DJ48">
        <v>0</v>
      </c>
      <c r="DK48">
        <v>0</v>
      </c>
      <c r="DL48">
        <v>0</v>
      </c>
      <c r="DM48">
        <v>0</v>
      </c>
      <c r="DN48">
        <v>0</v>
      </c>
      <c r="DO48">
        <v>1</v>
      </c>
      <c r="DP48">
        <v>0</v>
      </c>
      <c r="DQ48">
        <v>0</v>
      </c>
      <c r="DR48">
        <v>0</v>
      </c>
      <c r="DS48">
        <v>1</v>
      </c>
      <c r="DT48">
        <v>0</v>
      </c>
      <c r="DU48">
        <v>0</v>
      </c>
      <c r="DV48">
        <v>0</v>
      </c>
      <c r="DW48">
        <v>1</v>
      </c>
      <c r="DX48">
        <v>0</v>
      </c>
      <c r="DY48">
        <v>1</v>
      </c>
      <c r="DZ48">
        <v>1</v>
      </c>
      <c r="EA48">
        <v>0</v>
      </c>
      <c r="EB48">
        <v>1</v>
      </c>
      <c r="EC48">
        <v>0</v>
      </c>
      <c r="ED48">
        <v>0</v>
      </c>
      <c r="EE48">
        <v>0</v>
      </c>
      <c r="EF48">
        <v>0</v>
      </c>
      <c r="EG48">
        <v>0</v>
      </c>
      <c r="EH48">
        <v>0</v>
      </c>
      <c r="EI48">
        <v>0</v>
      </c>
      <c r="EJ48">
        <v>0</v>
      </c>
      <c r="EK48">
        <v>0</v>
      </c>
      <c r="EL48">
        <v>1</v>
      </c>
      <c r="EM48">
        <v>0</v>
      </c>
      <c r="EN48">
        <v>0</v>
      </c>
      <c r="EO48">
        <v>0</v>
      </c>
      <c r="EP48">
        <v>0</v>
      </c>
      <c r="EQ48">
        <v>0</v>
      </c>
      <c r="ER48">
        <v>0</v>
      </c>
      <c r="ES48">
        <v>0</v>
      </c>
      <c r="ET48">
        <v>1</v>
      </c>
      <c r="EU48">
        <v>0</v>
      </c>
      <c r="EV48">
        <v>0</v>
      </c>
    </row>
    <row r="49" spans="1:152">
      <c r="A49" t="str">
        <v>SUB_2(4)</v>
      </c>
      <c r="B49" t="str">
        <v>If you tried this product and it met your expectations for taste and effectiveness, which of the fol... (4)-Caffeinated soda (examples: Coke, Pepsi, Mountain Dew)</v>
      </c>
      <c r="C49">
        <v>0</v>
      </c>
      <c r="D49">
        <v>0</v>
      </c>
      <c r="E49">
        <v>0</v>
      </c>
      <c r="F49">
        <v>0</v>
      </c>
      <c r="G49">
        <v>0</v>
      </c>
      <c r="H49">
        <v>0</v>
      </c>
      <c r="I49">
        <v>0</v>
      </c>
      <c r="J49">
        <v>0</v>
      </c>
      <c r="K49">
        <v>0</v>
      </c>
      <c r="L49">
        <v>0</v>
      </c>
      <c r="M49">
        <v>1</v>
      </c>
      <c r="N49">
        <v>1</v>
      </c>
      <c r="O49">
        <v>0</v>
      </c>
      <c r="P49">
        <v>0</v>
      </c>
      <c r="Q49">
        <v>1</v>
      </c>
      <c r="R49">
        <v>0</v>
      </c>
      <c r="S49">
        <v>1</v>
      </c>
      <c r="T49">
        <v>0</v>
      </c>
      <c r="U49">
        <v>0</v>
      </c>
      <c r="V49">
        <v>0</v>
      </c>
      <c r="W49">
        <v>0</v>
      </c>
      <c r="X49">
        <v>0</v>
      </c>
      <c r="Y49">
        <v>0</v>
      </c>
      <c r="Z49">
        <v>0</v>
      </c>
      <c r="AA49">
        <v>0</v>
      </c>
      <c r="AB49">
        <v>0</v>
      </c>
      <c r="AC49">
        <v>0</v>
      </c>
      <c r="AD49">
        <v>0</v>
      </c>
      <c r="AE49">
        <v>0</v>
      </c>
      <c r="AF49">
        <v>0</v>
      </c>
      <c r="AG49">
        <v>1</v>
      </c>
      <c r="AH49">
        <v>0</v>
      </c>
      <c r="AI49">
        <v>0</v>
      </c>
      <c r="AJ49">
        <v>0</v>
      </c>
      <c r="AK49">
        <v>0</v>
      </c>
      <c r="AL49">
        <v>0</v>
      </c>
      <c r="AM49">
        <v>1</v>
      </c>
      <c r="AN49">
        <v>0</v>
      </c>
      <c r="AO49">
        <v>0</v>
      </c>
      <c r="AP49">
        <v>1</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1</v>
      </c>
      <c r="BN49">
        <v>0</v>
      </c>
      <c r="BO49">
        <v>1</v>
      </c>
      <c r="BP49">
        <v>0</v>
      </c>
      <c r="BQ49">
        <v>0</v>
      </c>
      <c r="BR49">
        <v>1</v>
      </c>
      <c r="BS49">
        <v>0</v>
      </c>
      <c r="BT49">
        <v>0</v>
      </c>
      <c r="BU49">
        <v>0</v>
      </c>
      <c r="BV49">
        <v>0</v>
      </c>
      <c r="BW49">
        <v>1</v>
      </c>
      <c r="BX49">
        <v>0</v>
      </c>
      <c r="BY49">
        <v>0</v>
      </c>
      <c r="BZ49">
        <v>0</v>
      </c>
      <c r="CA49">
        <v>1</v>
      </c>
      <c r="CB49">
        <v>0</v>
      </c>
      <c r="CC49">
        <v>0</v>
      </c>
      <c r="CD49">
        <v>0</v>
      </c>
      <c r="CE49">
        <v>0</v>
      </c>
      <c r="CF49">
        <v>0</v>
      </c>
      <c r="CG49">
        <v>0</v>
      </c>
      <c r="CH49">
        <v>1</v>
      </c>
      <c r="CI49">
        <v>0</v>
      </c>
      <c r="CJ49">
        <v>0</v>
      </c>
      <c r="CK49">
        <v>0</v>
      </c>
      <c r="CL49">
        <v>0</v>
      </c>
      <c r="CM49">
        <v>0</v>
      </c>
      <c r="CN49">
        <v>0</v>
      </c>
      <c r="CO49">
        <v>0</v>
      </c>
      <c r="CP49">
        <v>1</v>
      </c>
      <c r="CQ49">
        <v>1</v>
      </c>
      <c r="CR49">
        <v>0</v>
      </c>
      <c r="CS49">
        <v>0</v>
      </c>
      <c r="CT49">
        <v>0</v>
      </c>
      <c r="CU49">
        <v>0</v>
      </c>
      <c r="CV49">
        <v>0</v>
      </c>
      <c r="CW49">
        <v>1</v>
      </c>
      <c r="CX49">
        <v>0</v>
      </c>
      <c r="CY49">
        <v>0</v>
      </c>
      <c r="CZ49">
        <v>0</v>
      </c>
      <c r="DA49">
        <v>0</v>
      </c>
      <c r="DB49">
        <v>0</v>
      </c>
      <c r="DC49">
        <v>0</v>
      </c>
      <c r="DD49">
        <v>0</v>
      </c>
      <c r="DE49">
        <v>0</v>
      </c>
      <c r="DF49">
        <v>0</v>
      </c>
      <c r="DG49">
        <v>0</v>
      </c>
      <c r="DH49">
        <v>1</v>
      </c>
      <c r="DI49">
        <v>0</v>
      </c>
      <c r="DJ49">
        <v>0</v>
      </c>
      <c r="DK49">
        <v>0</v>
      </c>
      <c r="DL49">
        <v>0</v>
      </c>
      <c r="DM49">
        <v>0</v>
      </c>
      <c r="DN49">
        <v>0</v>
      </c>
      <c r="DO49">
        <v>0</v>
      </c>
      <c r="DP49">
        <v>0</v>
      </c>
      <c r="DQ49">
        <v>0</v>
      </c>
      <c r="DR49">
        <v>0</v>
      </c>
      <c r="DS49">
        <v>0</v>
      </c>
      <c r="DT49">
        <v>0</v>
      </c>
      <c r="DU49">
        <v>0</v>
      </c>
      <c r="DV49">
        <v>0</v>
      </c>
      <c r="DW49">
        <v>1</v>
      </c>
      <c r="DX49">
        <v>0</v>
      </c>
      <c r="DY49">
        <v>0</v>
      </c>
      <c r="DZ49">
        <v>1</v>
      </c>
      <c r="EA49">
        <v>0</v>
      </c>
      <c r="EB49">
        <v>0</v>
      </c>
      <c r="EC49">
        <v>0</v>
      </c>
      <c r="ED49">
        <v>0</v>
      </c>
      <c r="EE49">
        <v>0</v>
      </c>
      <c r="EF49">
        <v>0</v>
      </c>
      <c r="EG49">
        <v>0</v>
      </c>
      <c r="EH49">
        <v>0</v>
      </c>
      <c r="EI49">
        <v>0</v>
      </c>
      <c r="EJ49">
        <v>0</v>
      </c>
      <c r="EK49">
        <v>0</v>
      </c>
      <c r="EL49">
        <v>0</v>
      </c>
      <c r="EM49">
        <v>0</v>
      </c>
      <c r="EN49">
        <v>0</v>
      </c>
      <c r="EO49">
        <v>0</v>
      </c>
      <c r="EP49">
        <v>0</v>
      </c>
      <c r="EQ49">
        <v>0</v>
      </c>
      <c r="ER49">
        <v>0</v>
      </c>
      <c r="ES49">
        <v>0</v>
      </c>
      <c r="ET49">
        <v>1</v>
      </c>
      <c r="EU49">
        <v>1</v>
      </c>
      <c r="EV49">
        <v>0</v>
      </c>
    </row>
    <row r="50" spans="1:152">
      <c r="A50" t="str">
        <v>SUB_3(4)</v>
      </c>
      <c r="B50" t="str">
        <v>If you tried this product and it met your expectations for taste and effectiveness, which of the fol... (4)-Any brand of caffeinated energy drink (examples: Monster, Rockstar, Red Bull)</v>
      </c>
      <c r="C50">
        <v>0</v>
      </c>
      <c r="D50">
        <v>0</v>
      </c>
      <c r="E50">
        <v>0</v>
      </c>
      <c r="F50">
        <v>0</v>
      </c>
      <c r="G50">
        <v>0</v>
      </c>
      <c r="H50">
        <v>0</v>
      </c>
      <c r="I50">
        <v>0</v>
      </c>
      <c r="J50">
        <v>0</v>
      </c>
      <c r="K50">
        <v>0</v>
      </c>
      <c r="L50">
        <v>1</v>
      </c>
      <c r="M50">
        <v>0</v>
      </c>
      <c r="N50">
        <v>0</v>
      </c>
      <c r="O50">
        <v>0</v>
      </c>
      <c r="P50">
        <v>0</v>
      </c>
      <c r="Q50">
        <v>0</v>
      </c>
      <c r="R50">
        <v>0</v>
      </c>
      <c r="S50">
        <v>0</v>
      </c>
      <c r="T50">
        <v>0</v>
      </c>
      <c r="U50">
        <v>0</v>
      </c>
      <c r="V50">
        <v>0</v>
      </c>
      <c r="W50">
        <v>0</v>
      </c>
      <c r="X50">
        <v>0</v>
      </c>
      <c r="Y50">
        <v>0</v>
      </c>
      <c r="Z50">
        <v>0</v>
      </c>
      <c r="AA50">
        <v>1</v>
      </c>
      <c r="AB50">
        <v>0</v>
      </c>
      <c r="AC50">
        <v>0</v>
      </c>
      <c r="AD50">
        <v>0</v>
      </c>
      <c r="AE50">
        <v>0</v>
      </c>
      <c r="AF50">
        <v>0</v>
      </c>
      <c r="AG50">
        <v>0</v>
      </c>
      <c r="AH50">
        <v>0</v>
      </c>
      <c r="AI50">
        <v>0</v>
      </c>
      <c r="AJ50">
        <v>0</v>
      </c>
      <c r="AK50">
        <v>0</v>
      </c>
      <c r="AL50">
        <v>0</v>
      </c>
      <c r="AM50">
        <v>0</v>
      </c>
      <c r="AN50">
        <v>0</v>
      </c>
      <c r="AO50">
        <v>0</v>
      </c>
      <c r="AP50">
        <v>0</v>
      </c>
      <c r="AQ50">
        <v>1</v>
      </c>
      <c r="AR50">
        <v>0</v>
      </c>
      <c r="AS50">
        <v>0</v>
      </c>
      <c r="AT50">
        <v>0</v>
      </c>
      <c r="AU50">
        <v>0</v>
      </c>
      <c r="AV50">
        <v>0</v>
      </c>
      <c r="AW50">
        <v>0</v>
      </c>
      <c r="AX50">
        <v>0</v>
      </c>
      <c r="AY50">
        <v>0</v>
      </c>
      <c r="AZ50">
        <v>0</v>
      </c>
      <c r="BA50">
        <v>0</v>
      </c>
      <c r="BB50">
        <v>0</v>
      </c>
      <c r="BC50">
        <v>0</v>
      </c>
      <c r="BD50">
        <v>0</v>
      </c>
      <c r="BE50">
        <v>0</v>
      </c>
      <c r="BF50">
        <v>0</v>
      </c>
      <c r="BG50">
        <v>0</v>
      </c>
      <c r="BH50">
        <v>1</v>
      </c>
      <c r="BI50">
        <v>0</v>
      </c>
      <c r="BJ50">
        <v>0</v>
      </c>
      <c r="BK50">
        <v>0</v>
      </c>
      <c r="BL50">
        <v>0</v>
      </c>
      <c r="BM50">
        <v>0</v>
      </c>
      <c r="BN50">
        <v>0</v>
      </c>
      <c r="BO50">
        <v>0</v>
      </c>
      <c r="BP50">
        <v>0</v>
      </c>
      <c r="BQ50">
        <v>0</v>
      </c>
      <c r="BR50">
        <v>0</v>
      </c>
      <c r="BS50">
        <v>0</v>
      </c>
      <c r="BT50">
        <v>0</v>
      </c>
      <c r="BU50">
        <v>0</v>
      </c>
      <c r="BV50">
        <v>1</v>
      </c>
      <c r="BW50">
        <v>1</v>
      </c>
      <c r="BX50">
        <v>0</v>
      </c>
      <c r="BY50">
        <v>0</v>
      </c>
      <c r="BZ50">
        <v>0</v>
      </c>
      <c r="CA50">
        <v>0</v>
      </c>
      <c r="CB50">
        <v>0</v>
      </c>
      <c r="CC50">
        <v>0</v>
      </c>
      <c r="CD50">
        <v>0</v>
      </c>
      <c r="CE50">
        <v>0</v>
      </c>
      <c r="CF50">
        <v>0</v>
      </c>
      <c r="CG50">
        <v>0</v>
      </c>
      <c r="CH50">
        <v>1</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1</v>
      </c>
      <c r="DL50">
        <v>0</v>
      </c>
      <c r="DM50">
        <v>0</v>
      </c>
      <c r="DN50">
        <v>0</v>
      </c>
      <c r="DO50">
        <v>0</v>
      </c>
      <c r="DP50">
        <v>0</v>
      </c>
      <c r="DQ50">
        <v>0</v>
      </c>
      <c r="DR50">
        <v>0</v>
      </c>
      <c r="DS50">
        <v>0</v>
      </c>
      <c r="DT50">
        <v>0</v>
      </c>
      <c r="DU50">
        <v>0</v>
      </c>
      <c r="DV50">
        <v>0</v>
      </c>
      <c r="DW50">
        <v>0</v>
      </c>
      <c r="DX50">
        <v>0</v>
      </c>
      <c r="DY50">
        <v>0</v>
      </c>
      <c r="DZ50">
        <v>1</v>
      </c>
      <c r="EA50">
        <v>0</v>
      </c>
      <c r="EB50">
        <v>0</v>
      </c>
      <c r="EC50">
        <v>0</v>
      </c>
      <c r="ED50">
        <v>0</v>
      </c>
      <c r="EE50">
        <v>0</v>
      </c>
      <c r="EF50">
        <v>0</v>
      </c>
      <c r="EG50">
        <v>0</v>
      </c>
      <c r="EH50">
        <v>0</v>
      </c>
      <c r="EI50">
        <v>0</v>
      </c>
      <c r="EJ50">
        <v>0</v>
      </c>
      <c r="EK50">
        <v>0</v>
      </c>
      <c r="EL50">
        <v>0</v>
      </c>
      <c r="EM50">
        <v>0</v>
      </c>
      <c r="EN50">
        <v>0</v>
      </c>
      <c r="EO50">
        <v>0</v>
      </c>
      <c r="EP50">
        <v>0</v>
      </c>
      <c r="EQ50">
        <v>0</v>
      </c>
      <c r="ER50">
        <v>0</v>
      </c>
      <c r="ES50">
        <v>0</v>
      </c>
      <c r="ET50">
        <v>1</v>
      </c>
      <c r="EU50">
        <v>0</v>
      </c>
      <c r="EV50">
        <v>0</v>
      </c>
    </row>
    <row r="51" spans="1:152">
      <c r="A51" t="str">
        <v>SUB_4(4)</v>
      </c>
      <c r="B51" t="str">
        <v>If you tried this product and it met your expectations for taste and effectiveness, which of the fol... (4)-Any brand of energy shots (example: 5-hr energy)</v>
      </c>
      <c r="C51">
        <v>0</v>
      </c>
      <c r="D51">
        <v>0</v>
      </c>
      <c r="E51">
        <v>0</v>
      </c>
      <c r="F51">
        <v>0</v>
      </c>
      <c r="G51">
        <v>0</v>
      </c>
      <c r="H51">
        <v>0</v>
      </c>
      <c r="I51">
        <v>0</v>
      </c>
      <c r="J51">
        <v>0</v>
      </c>
      <c r="K51">
        <v>0</v>
      </c>
      <c r="L51">
        <v>1</v>
      </c>
      <c r="M51">
        <v>0</v>
      </c>
      <c r="N51">
        <v>0</v>
      </c>
      <c r="O51">
        <v>0</v>
      </c>
      <c r="P51">
        <v>0</v>
      </c>
      <c r="Q51">
        <v>0</v>
      </c>
      <c r="R51">
        <v>0</v>
      </c>
      <c r="S51">
        <v>0</v>
      </c>
      <c r="T51">
        <v>0</v>
      </c>
      <c r="U51">
        <v>0</v>
      </c>
      <c r="V51">
        <v>0</v>
      </c>
      <c r="W51">
        <v>0</v>
      </c>
      <c r="X51">
        <v>0</v>
      </c>
      <c r="Y51">
        <v>0</v>
      </c>
      <c r="Z51">
        <v>0</v>
      </c>
      <c r="AA51">
        <v>1</v>
      </c>
      <c r="AB51">
        <v>1</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1</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1</v>
      </c>
      <c r="BW51">
        <v>1</v>
      </c>
      <c r="BX51">
        <v>0</v>
      </c>
      <c r="BY51">
        <v>0</v>
      </c>
      <c r="BZ51">
        <v>0</v>
      </c>
      <c r="CA51">
        <v>0</v>
      </c>
      <c r="CB51">
        <v>0</v>
      </c>
      <c r="CC51">
        <v>0</v>
      </c>
      <c r="CD51">
        <v>0</v>
      </c>
      <c r="CE51">
        <v>0</v>
      </c>
      <c r="CF51">
        <v>0</v>
      </c>
      <c r="CG51">
        <v>0</v>
      </c>
      <c r="CH51">
        <v>1</v>
      </c>
      <c r="CI51">
        <v>0</v>
      </c>
      <c r="CJ51">
        <v>0</v>
      </c>
      <c r="CK51">
        <v>0</v>
      </c>
      <c r="CL51">
        <v>0</v>
      </c>
      <c r="CM51">
        <v>0</v>
      </c>
      <c r="CN51">
        <v>0</v>
      </c>
      <c r="CO51">
        <v>0</v>
      </c>
      <c r="CP51">
        <v>0</v>
      </c>
      <c r="CQ51">
        <v>0</v>
      </c>
      <c r="CR51">
        <v>0</v>
      </c>
      <c r="CS51">
        <v>0</v>
      </c>
      <c r="CT51">
        <v>0</v>
      </c>
      <c r="CU51">
        <v>0</v>
      </c>
      <c r="CV51">
        <v>0</v>
      </c>
      <c r="CW51">
        <v>0</v>
      </c>
      <c r="CX51">
        <v>0</v>
      </c>
      <c r="CY51">
        <v>0</v>
      </c>
      <c r="CZ51">
        <v>0</v>
      </c>
      <c r="DA51">
        <v>1</v>
      </c>
      <c r="DB51">
        <v>0</v>
      </c>
      <c r="DC51">
        <v>0</v>
      </c>
      <c r="DD51">
        <v>0</v>
      </c>
      <c r="DE51">
        <v>0</v>
      </c>
      <c r="DF51">
        <v>0</v>
      </c>
      <c r="DG51">
        <v>0</v>
      </c>
      <c r="DH51">
        <v>0</v>
      </c>
      <c r="DI51">
        <v>0</v>
      </c>
      <c r="DJ51">
        <v>0</v>
      </c>
      <c r="DK51">
        <v>0</v>
      </c>
      <c r="DL51">
        <v>0</v>
      </c>
      <c r="DM51">
        <v>1</v>
      </c>
      <c r="DN51">
        <v>0</v>
      </c>
      <c r="DO51">
        <v>0</v>
      </c>
      <c r="DP51">
        <v>0</v>
      </c>
      <c r="DQ51">
        <v>0</v>
      </c>
      <c r="DR51">
        <v>0</v>
      </c>
      <c r="DS51">
        <v>0</v>
      </c>
      <c r="DT51">
        <v>1</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1</v>
      </c>
      <c r="EU51">
        <v>0</v>
      </c>
      <c r="EV51">
        <v>0</v>
      </c>
    </row>
    <row r="52" spans="1:152">
      <c r="A52" t="str">
        <v>SUB_5(4)</v>
      </c>
      <c r="B52" t="str">
        <v>If you tried this product and it met your expectations for taste and effectiveness, which of the fol... (4)-Any brand of energy bars (example: PowerBar, LunaBar, Clif Bar)</v>
      </c>
      <c r="C52">
        <v>0</v>
      </c>
      <c r="D52">
        <v>0</v>
      </c>
      <c r="E52">
        <v>0</v>
      </c>
      <c r="F52">
        <v>0</v>
      </c>
      <c r="G52">
        <v>0</v>
      </c>
      <c r="H52">
        <v>0</v>
      </c>
      <c r="I52">
        <v>0</v>
      </c>
      <c r="J52">
        <v>0</v>
      </c>
      <c r="K52">
        <v>0</v>
      </c>
      <c r="L52">
        <v>1</v>
      </c>
      <c r="M52">
        <v>0</v>
      </c>
      <c r="N52">
        <v>0</v>
      </c>
      <c r="O52">
        <v>0</v>
      </c>
      <c r="P52">
        <v>0</v>
      </c>
      <c r="Q52">
        <v>0</v>
      </c>
      <c r="R52">
        <v>0</v>
      </c>
      <c r="S52">
        <v>0</v>
      </c>
      <c r="T52">
        <v>0</v>
      </c>
      <c r="U52">
        <v>1</v>
      </c>
      <c r="V52">
        <v>1</v>
      </c>
      <c r="W52">
        <v>1</v>
      </c>
      <c r="X52">
        <v>0</v>
      </c>
      <c r="Y52">
        <v>0</v>
      </c>
      <c r="Z52">
        <v>0</v>
      </c>
      <c r="AA52">
        <v>1</v>
      </c>
      <c r="AB52">
        <v>0</v>
      </c>
      <c r="AC52">
        <v>0</v>
      </c>
      <c r="AD52">
        <v>0</v>
      </c>
      <c r="AE52">
        <v>0</v>
      </c>
      <c r="AF52">
        <v>0</v>
      </c>
      <c r="AG52">
        <v>0</v>
      </c>
      <c r="AH52">
        <v>1</v>
      </c>
      <c r="AI52">
        <v>0</v>
      </c>
      <c r="AJ52">
        <v>0</v>
      </c>
      <c r="AK52">
        <v>0</v>
      </c>
      <c r="AL52">
        <v>0</v>
      </c>
      <c r="AM52">
        <v>0</v>
      </c>
      <c r="AN52">
        <v>1</v>
      </c>
      <c r="AO52">
        <v>0</v>
      </c>
      <c r="AP52">
        <v>0</v>
      </c>
      <c r="AQ52">
        <v>0</v>
      </c>
      <c r="AR52">
        <v>0</v>
      </c>
      <c r="AS52">
        <v>0</v>
      </c>
      <c r="AT52">
        <v>0</v>
      </c>
      <c r="AU52">
        <v>0</v>
      </c>
      <c r="AV52">
        <v>0</v>
      </c>
      <c r="AW52">
        <v>0</v>
      </c>
      <c r="AX52">
        <v>0</v>
      </c>
      <c r="AY52">
        <v>0</v>
      </c>
      <c r="AZ52">
        <v>0</v>
      </c>
      <c r="BA52">
        <v>0</v>
      </c>
      <c r="BB52">
        <v>0</v>
      </c>
      <c r="BC52">
        <v>0</v>
      </c>
      <c r="BD52">
        <v>1</v>
      </c>
      <c r="BE52">
        <v>0</v>
      </c>
      <c r="BF52">
        <v>0</v>
      </c>
      <c r="BG52">
        <v>0</v>
      </c>
      <c r="BH52">
        <v>0</v>
      </c>
      <c r="BI52">
        <v>0</v>
      </c>
      <c r="BJ52">
        <v>0</v>
      </c>
      <c r="BK52">
        <v>0</v>
      </c>
      <c r="BL52">
        <v>0</v>
      </c>
      <c r="BM52">
        <v>0</v>
      </c>
      <c r="BN52">
        <v>0</v>
      </c>
      <c r="BO52">
        <v>0</v>
      </c>
      <c r="BP52">
        <v>1</v>
      </c>
      <c r="BQ52">
        <v>1</v>
      </c>
      <c r="BR52">
        <v>0</v>
      </c>
      <c r="BS52">
        <v>0</v>
      </c>
      <c r="BT52">
        <v>0</v>
      </c>
      <c r="BU52">
        <v>0</v>
      </c>
      <c r="BV52">
        <v>1</v>
      </c>
      <c r="BW52">
        <v>0</v>
      </c>
      <c r="BX52">
        <v>0</v>
      </c>
      <c r="BY52">
        <v>0</v>
      </c>
      <c r="BZ52">
        <v>0</v>
      </c>
      <c r="CA52">
        <v>0</v>
      </c>
      <c r="CB52">
        <v>0</v>
      </c>
      <c r="CC52">
        <v>0</v>
      </c>
      <c r="CD52">
        <v>0</v>
      </c>
      <c r="CE52">
        <v>0</v>
      </c>
      <c r="CF52">
        <v>0</v>
      </c>
      <c r="CG52">
        <v>0</v>
      </c>
      <c r="CH52">
        <v>0</v>
      </c>
      <c r="CI52">
        <v>0</v>
      </c>
      <c r="CJ52">
        <v>1</v>
      </c>
      <c r="CK52">
        <v>0</v>
      </c>
      <c r="CL52">
        <v>0</v>
      </c>
      <c r="CM52">
        <v>0</v>
      </c>
      <c r="CN52">
        <v>0</v>
      </c>
      <c r="CO52">
        <v>0</v>
      </c>
      <c r="CP52">
        <v>0</v>
      </c>
      <c r="CQ52">
        <v>0</v>
      </c>
      <c r="CR52">
        <v>1</v>
      </c>
      <c r="CS52">
        <v>1</v>
      </c>
      <c r="CT52">
        <v>0</v>
      </c>
      <c r="CU52">
        <v>0</v>
      </c>
      <c r="CV52">
        <v>0</v>
      </c>
      <c r="CW52">
        <v>1</v>
      </c>
      <c r="CX52">
        <v>0</v>
      </c>
      <c r="CY52">
        <v>0</v>
      </c>
      <c r="CZ52">
        <v>0</v>
      </c>
      <c r="DA52">
        <v>0</v>
      </c>
      <c r="DB52">
        <v>1</v>
      </c>
      <c r="DC52">
        <v>1</v>
      </c>
      <c r="DD52">
        <v>0</v>
      </c>
      <c r="DE52">
        <v>1</v>
      </c>
      <c r="DF52">
        <v>1</v>
      </c>
      <c r="DG52">
        <v>0</v>
      </c>
      <c r="DH52">
        <v>0</v>
      </c>
      <c r="DI52">
        <v>0</v>
      </c>
      <c r="DJ52">
        <v>1</v>
      </c>
      <c r="DK52">
        <v>0</v>
      </c>
      <c r="DL52">
        <v>0</v>
      </c>
      <c r="DM52">
        <v>0</v>
      </c>
      <c r="DN52">
        <v>0</v>
      </c>
      <c r="DO52">
        <v>0</v>
      </c>
      <c r="DP52">
        <v>0</v>
      </c>
      <c r="DQ52">
        <v>0</v>
      </c>
      <c r="DR52">
        <v>1</v>
      </c>
      <c r="DS52">
        <v>0</v>
      </c>
      <c r="DT52">
        <v>0</v>
      </c>
      <c r="DU52">
        <v>0</v>
      </c>
      <c r="DV52">
        <v>1</v>
      </c>
      <c r="DW52">
        <v>0</v>
      </c>
      <c r="DX52">
        <v>1</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1</v>
      </c>
      <c r="EU52">
        <v>0</v>
      </c>
      <c r="EV52">
        <v>0</v>
      </c>
    </row>
    <row r="53" spans="1:152">
      <c r="A53" t="str">
        <v>SUB_1(5)</v>
      </c>
      <c r="B53" t="str">
        <v>If you tried this product and it met your expectations for taste and effectiveness, which of the fol... (5)-Regular coffee or espresso, latte, cappuccino, etc (not decaffeinated)</v>
      </c>
      <c r="C53">
        <v>1</v>
      </c>
      <c r="D53">
        <v>1</v>
      </c>
      <c r="E53">
        <v>0</v>
      </c>
      <c r="F53">
        <v>1</v>
      </c>
      <c r="G53">
        <v>0</v>
      </c>
      <c r="H53">
        <v>0</v>
      </c>
      <c r="I53">
        <v>0</v>
      </c>
      <c r="J53">
        <v>0</v>
      </c>
      <c r="K53">
        <v>0</v>
      </c>
      <c r="L53">
        <v>0</v>
      </c>
      <c r="M53">
        <v>1</v>
      </c>
      <c r="N53">
        <v>1</v>
      </c>
      <c r="O53">
        <v>1</v>
      </c>
      <c r="P53">
        <v>0</v>
      </c>
      <c r="Q53">
        <v>1</v>
      </c>
      <c r="R53">
        <v>0</v>
      </c>
      <c r="S53">
        <v>0</v>
      </c>
      <c r="T53">
        <v>0</v>
      </c>
      <c r="U53">
        <v>1</v>
      </c>
      <c r="V53">
        <v>0</v>
      </c>
      <c r="W53">
        <v>1</v>
      </c>
      <c r="X53">
        <v>0</v>
      </c>
      <c r="Y53">
        <v>0</v>
      </c>
      <c r="Z53">
        <v>1</v>
      </c>
      <c r="AA53">
        <v>0</v>
      </c>
      <c r="AB53">
        <v>1</v>
      </c>
      <c r="AC53">
        <v>0</v>
      </c>
      <c r="AD53">
        <v>1</v>
      </c>
      <c r="AE53">
        <v>0</v>
      </c>
      <c r="AF53">
        <v>0</v>
      </c>
      <c r="AG53">
        <v>1</v>
      </c>
      <c r="AH53">
        <v>0</v>
      </c>
      <c r="AI53">
        <v>0</v>
      </c>
      <c r="AJ53">
        <v>1</v>
      </c>
      <c r="AK53">
        <v>1</v>
      </c>
      <c r="AL53">
        <v>0</v>
      </c>
      <c r="AM53">
        <v>0</v>
      </c>
      <c r="AN53">
        <v>1</v>
      </c>
      <c r="AO53">
        <v>0</v>
      </c>
      <c r="AP53">
        <v>0</v>
      </c>
      <c r="AQ53">
        <v>0</v>
      </c>
      <c r="AR53">
        <v>1</v>
      </c>
      <c r="AS53">
        <v>1</v>
      </c>
      <c r="AT53">
        <v>0</v>
      </c>
      <c r="AU53">
        <v>0</v>
      </c>
      <c r="AV53">
        <v>0</v>
      </c>
      <c r="AW53">
        <v>1</v>
      </c>
      <c r="AX53">
        <v>0</v>
      </c>
      <c r="AY53">
        <v>0</v>
      </c>
      <c r="AZ53">
        <v>0</v>
      </c>
      <c r="BA53">
        <v>0</v>
      </c>
      <c r="BB53">
        <v>0</v>
      </c>
      <c r="BC53">
        <v>0</v>
      </c>
      <c r="BD53">
        <v>0</v>
      </c>
      <c r="BE53">
        <v>0</v>
      </c>
      <c r="BF53">
        <v>0</v>
      </c>
      <c r="BG53">
        <v>1</v>
      </c>
      <c r="BH53">
        <v>0</v>
      </c>
      <c r="BI53">
        <v>0</v>
      </c>
      <c r="BJ53">
        <v>0</v>
      </c>
      <c r="BK53">
        <v>0</v>
      </c>
      <c r="BL53">
        <v>0</v>
      </c>
      <c r="BM53">
        <v>0</v>
      </c>
      <c r="BN53">
        <v>0</v>
      </c>
      <c r="BO53">
        <v>0</v>
      </c>
      <c r="BP53">
        <v>0</v>
      </c>
      <c r="BQ53">
        <v>1</v>
      </c>
      <c r="BR53">
        <v>0</v>
      </c>
      <c r="BS53">
        <v>0</v>
      </c>
      <c r="BT53">
        <v>0</v>
      </c>
      <c r="BU53">
        <v>0</v>
      </c>
      <c r="BV53">
        <v>0</v>
      </c>
      <c r="BW53">
        <v>1</v>
      </c>
      <c r="BX53">
        <v>1</v>
      </c>
      <c r="BY53">
        <v>0</v>
      </c>
      <c r="BZ53">
        <v>0</v>
      </c>
      <c r="CA53">
        <v>1</v>
      </c>
      <c r="CB53">
        <v>0</v>
      </c>
      <c r="CC53">
        <v>0</v>
      </c>
      <c r="CD53">
        <v>0</v>
      </c>
      <c r="CE53">
        <v>0</v>
      </c>
      <c r="CF53">
        <v>1</v>
      </c>
      <c r="CG53">
        <v>0</v>
      </c>
      <c r="CH53">
        <v>0</v>
      </c>
      <c r="CI53">
        <v>1</v>
      </c>
      <c r="CJ53">
        <v>0</v>
      </c>
      <c r="CK53">
        <v>1</v>
      </c>
      <c r="CL53">
        <v>1</v>
      </c>
      <c r="CM53">
        <v>0</v>
      </c>
      <c r="CN53">
        <v>0</v>
      </c>
      <c r="CO53">
        <v>1</v>
      </c>
      <c r="CP53">
        <v>1</v>
      </c>
      <c r="CQ53">
        <v>0</v>
      </c>
      <c r="CR53">
        <v>1</v>
      </c>
      <c r="CS53">
        <v>0</v>
      </c>
      <c r="CT53">
        <v>0</v>
      </c>
      <c r="CU53">
        <v>1</v>
      </c>
      <c r="CV53">
        <v>0</v>
      </c>
      <c r="CW53">
        <v>0</v>
      </c>
      <c r="CX53">
        <v>1</v>
      </c>
      <c r="CY53">
        <v>1</v>
      </c>
      <c r="CZ53">
        <v>0</v>
      </c>
      <c r="DA53">
        <v>0</v>
      </c>
      <c r="DB53">
        <v>1</v>
      </c>
      <c r="DC53">
        <v>0</v>
      </c>
      <c r="DD53">
        <v>0</v>
      </c>
      <c r="DE53">
        <v>0</v>
      </c>
      <c r="DF53">
        <v>0</v>
      </c>
      <c r="DG53">
        <v>0</v>
      </c>
      <c r="DH53">
        <v>0</v>
      </c>
      <c r="DI53">
        <v>0</v>
      </c>
      <c r="DJ53">
        <v>1</v>
      </c>
      <c r="DK53">
        <v>0</v>
      </c>
      <c r="DL53">
        <v>1</v>
      </c>
      <c r="DM53">
        <v>0</v>
      </c>
      <c r="DN53">
        <v>0</v>
      </c>
      <c r="DO53">
        <v>1</v>
      </c>
      <c r="DP53">
        <v>1</v>
      </c>
      <c r="DQ53">
        <v>1</v>
      </c>
      <c r="DR53">
        <v>0</v>
      </c>
      <c r="DS53">
        <v>0</v>
      </c>
      <c r="DT53">
        <v>0</v>
      </c>
      <c r="DU53">
        <v>0</v>
      </c>
      <c r="DV53">
        <v>0</v>
      </c>
      <c r="DW53">
        <v>1</v>
      </c>
      <c r="DX53">
        <v>0</v>
      </c>
      <c r="DY53">
        <v>1</v>
      </c>
      <c r="DZ53">
        <v>1</v>
      </c>
      <c r="EA53">
        <v>0</v>
      </c>
      <c r="EB53">
        <v>1</v>
      </c>
      <c r="EC53">
        <v>0</v>
      </c>
      <c r="ED53">
        <v>0</v>
      </c>
      <c r="EE53">
        <v>0</v>
      </c>
      <c r="EF53">
        <v>0</v>
      </c>
      <c r="EG53">
        <v>0</v>
      </c>
      <c r="EH53">
        <v>0</v>
      </c>
      <c r="EI53">
        <v>0</v>
      </c>
      <c r="EJ53">
        <v>0</v>
      </c>
      <c r="EK53">
        <v>0</v>
      </c>
      <c r="EL53">
        <v>0</v>
      </c>
      <c r="EM53">
        <v>0</v>
      </c>
      <c r="EN53">
        <v>0</v>
      </c>
      <c r="EO53">
        <v>0</v>
      </c>
      <c r="EP53">
        <v>0</v>
      </c>
      <c r="EQ53">
        <v>0</v>
      </c>
      <c r="ER53">
        <v>0</v>
      </c>
      <c r="ES53">
        <v>0</v>
      </c>
      <c r="ET53">
        <v>1</v>
      </c>
      <c r="EU53">
        <v>0</v>
      </c>
      <c r="EV53">
        <v>0</v>
      </c>
    </row>
    <row r="54" spans="1:152">
      <c r="A54" t="str">
        <v>SUB_2(5)</v>
      </c>
      <c r="B54" t="str">
        <v>If you tried this product and it met your expectations for taste and effectiveness, which of the fol... (5)-Caffeinated soda (examples: Coke, Pepsi, Mountain Dew)</v>
      </c>
      <c r="C54">
        <v>0</v>
      </c>
      <c r="D54">
        <v>0</v>
      </c>
      <c r="E54">
        <v>1</v>
      </c>
      <c r="F54">
        <v>0</v>
      </c>
      <c r="G54">
        <v>0</v>
      </c>
      <c r="H54">
        <v>0</v>
      </c>
      <c r="I54">
        <v>0</v>
      </c>
      <c r="J54">
        <v>1</v>
      </c>
      <c r="K54">
        <v>1</v>
      </c>
      <c r="L54">
        <v>0</v>
      </c>
      <c r="M54">
        <v>1</v>
      </c>
      <c r="N54">
        <v>1</v>
      </c>
      <c r="O54">
        <v>0</v>
      </c>
      <c r="P54">
        <v>0</v>
      </c>
      <c r="Q54">
        <v>0</v>
      </c>
      <c r="R54">
        <v>0</v>
      </c>
      <c r="S54">
        <v>1</v>
      </c>
      <c r="T54">
        <v>0</v>
      </c>
      <c r="U54">
        <v>0</v>
      </c>
      <c r="V54">
        <v>1</v>
      </c>
      <c r="W54">
        <v>0</v>
      </c>
      <c r="X54">
        <v>0</v>
      </c>
      <c r="Y54">
        <v>0</v>
      </c>
      <c r="Z54">
        <v>0</v>
      </c>
      <c r="AA54">
        <v>0</v>
      </c>
      <c r="AB54">
        <v>0</v>
      </c>
      <c r="AC54">
        <v>0</v>
      </c>
      <c r="AD54">
        <v>0</v>
      </c>
      <c r="AE54">
        <v>0</v>
      </c>
      <c r="AF54">
        <v>0</v>
      </c>
      <c r="AG54">
        <v>1</v>
      </c>
      <c r="AH54">
        <v>0</v>
      </c>
      <c r="AI54">
        <v>0</v>
      </c>
      <c r="AJ54">
        <v>1</v>
      </c>
      <c r="AK54">
        <v>0</v>
      </c>
      <c r="AL54">
        <v>0</v>
      </c>
      <c r="AM54">
        <v>1</v>
      </c>
      <c r="AN54">
        <v>1</v>
      </c>
      <c r="AO54">
        <v>0</v>
      </c>
      <c r="AP54">
        <v>1</v>
      </c>
      <c r="AQ54">
        <v>0</v>
      </c>
      <c r="AR54">
        <v>0</v>
      </c>
      <c r="AS54">
        <v>0</v>
      </c>
      <c r="AT54">
        <v>0</v>
      </c>
      <c r="AU54">
        <v>0</v>
      </c>
      <c r="AV54">
        <v>0</v>
      </c>
      <c r="AW54">
        <v>0</v>
      </c>
      <c r="AX54">
        <v>0</v>
      </c>
      <c r="AY54">
        <v>0</v>
      </c>
      <c r="AZ54">
        <v>1</v>
      </c>
      <c r="BA54">
        <v>1</v>
      </c>
      <c r="BB54">
        <v>1</v>
      </c>
      <c r="BC54">
        <v>1</v>
      </c>
      <c r="BD54">
        <v>0</v>
      </c>
      <c r="BE54">
        <v>0</v>
      </c>
      <c r="BF54">
        <v>0</v>
      </c>
      <c r="BG54">
        <v>0</v>
      </c>
      <c r="BH54">
        <v>0</v>
      </c>
      <c r="BI54">
        <v>0</v>
      </c>
      <c r="BJ54">
        <v>0</v>
      </c>
      <c r="BK54">
        <v>0</v>
      </c>
      <c r="BL54">
        <v>0</v>
      </c>
      <c r="BM54">
        <v>1</v>
      </c>
      <c r="BN54">
        <v>0</v>
      </c>
      <c r="BO54">
        <v>0</v>
      </c>
      <c r="BP54">
        <v>0</v>
      </c>
      <c r="BQ54">
        <v>0</v>
      </c>
      <c r="BR54">
        <v>1</v>
      </c>
      <c r="BS54">
        <v>0</v>
      </c>
      <c r="BT54">
        <v>1</v>
      </c>
      <c r="BU54">
        <v>0</v>
      </c>
      <c r="BV54">
        <v>0</v>
      </c>
      <c r="BW54">
        <v>1</v>
      </c>
      <c r="BX54">
        <v>0</v>
      </c>
      <c r="BY54">
        <v>0</v>
      </c>
      <c r="BZ54">
        <v>0</v>
      </c>
      <c r="CA54">
        <v>1</v>
      </c>
      <c r="CB54">
        <v>1</v>
      </c>
      <c r="CC54">
        <v>1</v>
      </c>
      <c r="CD54">
        <v>0</v>
      </c>
      <c r="CE54">
        <v>0</v>
      </c>
      <c r="CF54">
        <v>1</v>
      </c>
      <c r="CG54">
        <v>0</v>
      </c>
      <c r="CH54">
        <v>1</v>
      </c>
      <c r="CI54">
        <v>0</v>
      </c>
      <c r="CJ54">
        <v>0</v>
      </c>
      <c r="CK54">
        <v>0</v>
      </c>
      <c r="CL54">
        <v>0</v>
      </c>
      <c r="CM54">
        <v>1</v>
      </c>
      <c r="CN54">
        <v>0</v>
      </c>
      <c r="CO54">
        <v>0</v>
      </c>
      <c r="CP54">
        <v>1</v>
      </c>
      <c r="CQ54">
        <v>1</v>
      </c>
      <c r="CR54">
        <v>1</v>
      </c>
      <c r="CS54">
        <v>0</v>
      </c>
      <c r="CT54">
        <v>0</v>
      </c>
      <c r="CU54">
        <v>0</v>
      </c>
      <c r="CV54">
        <v>0</v>
      </c>
      <c r="CW54">
        <v>1</v>
      </c>
      <c r="CX54">
        <v>0</v>
      </c>
      <c r="CY54">
        <v>0</v>
      </c>
      <c r="CZ54">
        <v>0</v>
      </c>
      <c r="DA54">
        <v>0</v>
      </c>
      <c r="DB54">
        <v>0</v>
      </c>
      <c r="DC54">
        <v>0</v>
      </c>
      <c r="DD54">
        <v>0</v>
      </c>
      <c r="DE54">
        <v>0</v>
      </c>
      <c r="DF54">
        <v>1</v>
      </c>
      <c r="DG54">
        <v>0</v>
      </c>
      <c r="DH54">
        <v>1</v>
      </c>
      <c r="DI54">
        <v>0</v>
      </c>
      <c r="DJ54">
        <v>0</v>
      </c>
      <c r="DK54">
        <v>0</v>
      </c>
      <c r="DL54">
        <v>1</v>
      </c>
      <c r="DM54">
        <v>0</v>
      </c>
      <c r="DN54">
        <v>0</v>
      </c>
      <c r="DO54">
        <v>0</v>
      </c>
      <c r="DP54">
        <v>0</v>
      </c>
      <c r="DQ54">
        <v>1</v>
      </c>
      <c r="DR54">
        <v>0</v>
      </c>
      <c r="DS54">
        <v>0</v>
      </c>
      <c r="DT54">
        <v>1</v>
      </c>
      <c r="DU54">
        <v>0</v>
      </c>
      <c r="DV54">
        <v>0</v>
      </c>
      <c r="DW54">
        <v>1</v>
      </c>
      <c r="DX54">
        <v>0</v>
      </c>
      <c r="DY54">
        <v>0</v>
      </c>
      <c r="DZ54">
        <v>1</v>
      </c>
      <c r="EA54">
        <v>1</v>
      </c>
      <c r="EB54">
        <v>0</v>
      </c>
      <c r="EC54">
        <v>0</v>
      </c>
      <c r="ED54">
        <v>0</v>
      </c>
      <c r="EE54">
        <v>0</v>
      </c>
      <c r="EF54">
        <v>0</v>
      </c>
      <c r="EG54">
        <v>0</v>
      </c>
      <c r="EH54">
        <v>0</v>
      </c>
      <c r="EI54">
        <v>1</v>
      </c>
      <c r="EJ54">
        <v>0</v>
      </c>
      <c r="EK54">
        <v>1</v>
      </c>
      <c r="EL54">
        <v>1</v>
      </c>
      <c r="EM54">
        <v>0</v>
      </c>
      <c r="EN54">
        <v>0</v>
      </c>
      <c r="EO54">
        <v>0</v>
      </c>
      <c r="EP54">
        <v>0</v>
      </c>
      <c r="EQ54">
        <v>0</v>
      </c>
      <c r="ER54">
        <v>0</v>
      </c>
      <c r="ES54">
        <v>0</v>
      </c>
      <c r="ET54">
        <v>1</v>
      </c>
      <c r="EU54">
        <v>0</v>
      </c>
      <c r="EV54">
        <v>0</v>
      </c>
    </row>
    <row r="55" spans="1:152">
      <c r="A55" t="str">
        <v>SUB_3(5)</v>
      </c>
      <c r="B55" t="str">
        <v>If you tried this product and it met your expectations for taste and effectiveness, which of the fol... (5)-Any brand of caffeinated energy drink (examples: Monster, Rockstar, Red Bull)</v>
      </c>
      <c r="C55">
        <v>0</v>
      </c>
      <c r="D55">
        <v>0</v>
      </c>
      <c r="E55">
        <v>0</v>
      </c>
      <c r="F55">
        <v>0</v>
      </c>
      <c r="G55">
        <v>0</v>
      </c>
      <c r="H55">
        <v>1</v>
      </c>
      <c r="I55">
        <v>0</v>
      </c>
      <c r="J55">
        <v>1</v>
      </c>
      <c r="K55">
        <v>0</v>
      </c>
      <c r="L55">
        <v>1</v>
      </c>
      <c r="M55">
        <v>0</v>
      </c>
      <c r="N55">
        <v>0</v>
      </c>
      <c r="O55">
        <v>0</v>
      </c>
      <c r="P55">
        <v>1</v>
      </c>
      <c r="Q55">
        <v>0</v>
      </c>
      <c r="R55">
        <v>1</v>
      </c>
      <c r="S55">
        <v>0</v>
      </c>
      <c r="T55">
        <v>0</v>
      </c>
      <c r="U55">
        <v>0</v>
      </c>
      <c r="V55">
        <v>0</v>
      </c>
      <c r="W55">
        <v>0</v>
      </c>
      <c r="X55">
        <v>0</v>
      </c>
      <c r="Y55">
        <v>0</v>
      </c>
      <c r="Z55">
        <v>0</v>
      </c>
      <c r="AA55">
        <v>1</v>
      </c>
      <c r="AB55">
        <v>0</v>
      </c>
      <c r="AC55">
        <v>0</v>
      </c>
      <c r="AD55">
        <v>0</v>
      </c>
      <c r="AE55">
        <v>0</v>
      </c>
      <c r="AF55">
        <v>0</v>
      </c>
      <c r="AG55">
        <v>0</v>
      </c>
      <c r="AH55">
        <v>0</v>
      </c>
      <c r="AI55">
        <v>0</v>
      </c>
      <c r="AJ55">
        <v>0</v>
      </c>
      <c r="AK55">
        <v>0</v>
      </c>
      <c r="AL55">
        <v>0</v>
      </c>
      <c r="AM55">
        <v>0</v>
      </c>
      <c r="AN55">
        <v>1</v>
      </c>
      <c r="AO55">
        <v>0</v>
      </c>
      <c r="AP55">
        <v>0</v>
      </c>
      <c r="AQ55">
        <v>0</v>
      </c>
      <c r="AR55">
        <v>0</v>
      </c>
      <c r="AS55">
        <v>0</v>
      </c>
      <c r="AT55">
        <v>0</v>
      </c>
      <c r="AU55">
        <v>0</v>
      </c>
      <c r="AV55">
        <v>0</v>
      </c>
      <c r="AW55">
        <v>0</v>
      </c>
      <c r="AX55">
        <v>0</v>
      </c>
      <c r="AY55">
        <v>0</v>
      </c>
      <c r="AZ55">
        <v>0</v>
      </c>
      <c r="BA55">
        <v>1</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1</v>
      </c>
      <c r="BW55">
        <v>1</v>
      </c>
      <c r="BX55">
        <v>0</v>
      </c>
      <c r="BY55">
        <v>0</v>
      </c>
      <c r="BZ55">
        <v>0</v>
      </c>
      <c r="CA55">
        <v>0</v>
      </c>
      <c r="CB55">
        <v>0</v>
      </c>
      <c r="CC55">
        <v>0</v>
      </c>
      <c r="CD55">
        <v>0</v>
      </c>
      <c r="CE55">
        <v>0</v>
      </c>
      <c r="CF55">
        <v>1</v>
      </c>
      <c r="CG55">
        <v>0</v>
      </c>
      <c r="CH55">
        <v>1</v>
      </c>
      <c r="CI55">
        <v>0</v>
      </c>
      <c r="CJ55">
        <v>1</v>
      </c>
      <c r="CK55">
        <v>0</v>
      </c>
      <c r="CL55">
        <v>0</v>
      </c>
      <c r="CM55">
        <v>0</v>
      </c>
      <c r="CN55">
        <v>0</v>
      </c>
      <c r="CO55">
        <v>0</v>
      </c>
      <c r="CP55">
        <v>0</v>
      </c>
      <c r="CQ55">
        <v>0</v>
      </c>
      <c r="CR55">
        <v>0</v>
      </c>
      <c r="CS55">
        <v>0</v>
      </c>
      <c r="CT55">
        <v>0</v>
      </c>
      <c r="CU55">
        <v>0</v>
      </c>
      <c r="CV55">
        <v>1</v>
      </c>
      <c r="CW55">
        <v>0</v>
      </c>
      <c r="CX55">
        <v>0</v>
      </c>
      <c r="CY55">
        <v>0</v>
      </c>
      <c r="CZ55">
        <v>0</v>
      </c>
      <c r="DA55">
        <v>0</v>
      </c>
      <c r="DB55">
        <v>0</v>
      </c>
      <c r="DC55">
        <v>1</v>
      </c>
      <c r="DD55">
        <v>0</v>
      </c>
      <c r="DE55">
        <v>0</v>
      </c>
      <c r="DF55">
        <v>0</v>
      </c>
      <c r="DG55">
        <v>0</v>
      </c>
      <c r="DH55">
        <v>0</v>
      </c>
      <c r="DI55">
        <v>0</v>
      </c>
      <c r="DJ55">
        <v>0</v>
      </c>
      <c r="DK55">
        <v>1</v>
      </c>
      <c r="DL55">
        <v>0</v>
      </c>
      <c r="DM55">
        <v>0</v>
      </c>
      <c r="DN55">
        <v>0</v>
      </c>
      <c r="DO55">
        <v>0</v>
      </c>
      <c r="DP55">
        <v>0</v>
      </c>
      <c r="DQ55">
        <v>0</v>
      </c>
      <c r="DR55">
        <v>0</v>
      </c>
      <c r="DS55">
        <v>0</v>
      </c>
      <c r="DT55">
        <v>1</v>
      </c>
      <c r="DU55">
        <v>0</v>
      </c>
      <c r="DV55">
        <v>1</v>
      </c>
      <c r="DW55">
        <v>0</v>
      </c>
      <c r="DX55">
        <v>1</v>
      </c>
      <c r="DY55">
        <v>0</v>
      </c>
      <c r="DZ55">
        <v>1</v>
      </c>
      <c r="EA55">
        <v>1</v>
      </c>
      <c r="EB55">
        <v>0</v>
      </c>
      <c r="EC55">
        <v>1</v>
      </c>
      <c r="ED55">
        <v>0</v>
      </c>
      <c r="EE55">
        <v>0</v>
      </c>
      <c r="EF55">
        <v>0</v>
      </c>
      <c r="EG55">
        <v>0</v>
      </c>
      <c r="EH55">
        <v>0</v>
      </c>
      <c r="EI55">
        <v>0</v>
      </c>
      <c r="EJ55">
        <v>0</v>
      </c>
      <c r="EK55">
        <v>1</v>
      </c>
      <c r="EL55">
        <v>0</v>
      </c>
      <c r="EM55">
        <v>0</v>
      </c>
      <c r="EN55">
        <v>0</v>
      </c>
      <c r="EO55">
        <v>0</v>
      </c>
      <c r="EP55">
        <v>0</v>
      </c>
      <c r="EQ55">
        <v>0</v>
      </c>
      <c r="ER55">
        <v>0</v>
      </c>
      <c r="ES55">
        <v>0</v>
      </c>
      <c r="ET55">
        <v>1</v>
      </c>
      <c r="EU55">
        <v>0</v>
      </c>
      <c r="EV55">
        <v>0</v>
      </c>
    </row>
    <row r="56" spans="1:152">
      <c r="A56" t="str">
        <v>SUB_4(5)</v>
      </c>
      <c r="B56" t="str">
        <v>If you tried this product and it met your expectations for taste and effectiveness, which of the fol... (5)-Any brand of energy shots (example: 5-hr energy)</v>
      </c>
      <c r="C56">
        <v>0</v>
      </c>
      <c r="D56">
        <v>0</v>
      </c>
      <c r="E56">
        <v>0</v>
      </c>
      <c r="F56">
        <v>0</v>
      </c>
      <c r="G56">
        <v>0</v>
      </c>
      <c r="H56">
        <v>1</v>
      </c>
      <c r="I56">
        <v>0</v>
      </c>
      <c r="J56">
        <v>0</v>
      </c>
      <c r="K56">
        <v>0</v>
      </c>
      <c r="L56">
        <v>1</v>
      </c>
      <c r="M56">
        <v>0</v>
      </c>
      <c r="N56">
        <v>0</v>
      </c>
      <c r="O56">
        <v>0</v>
      </c>
      <c r="P56">
        <v>0</v>
      </c>
      <c r="Q56">
        <v>0</v>
      </c>
      <c r="R56">
        <v>0</v>
      </c>
      <c r="S56">
        <v>0</v>
      </c>
      <c r="T56">
        <v>0</v>
      </c>
      <c r="U56">
        <v>0</v>
      </c>
      <c r="V56">
        <v>0</v>
      </c>
      <c r="W56">
        <v>0</v>
      </c>
      <c r="X56">
        <v>0</v>
      </c>
      <c r="Y56">
        <v>0</v>
      </c>
      <c r="Z56">
        <v>0</v>
      </c>
      <c r="AA56">
        <v>1</v>
      </c>
      <c r="AB56">
        <v>0</v>
      </c>
      <c r="AC56">
        <v>0</v>
      </c>
      <c r="AD56">
        <v>0</v>
      </c>
      <c r="AE56">
        <v>0</v>
      </c>
      <c r="AF56">
        <v>0</v>
      </c>
      <c r="AG56">
        <v>0</v>
      </c>
      <c r="AH56">
        <v>0</v>
      </c>
      <c r="AI56">
        <v>0</v>
      </c>
      <c r="AJ56">
        <v>0</v>
      </c>
      <c r="AK56">
        <v>0</v>
      </c>
      <c r="AL56">
        <v>0</v>
      </c>
      <c r="AM56">
        <v>0</v>
      </c>
      <c r="AN56">
        <v>1</v>
      </c>
      <c r="AO56">
        <v>0</v>
      </c>
      <c r="AP56">
        <v>0</v>
      </c>
      <c r="AQ56">
        <v>0</v>
      </c>
      <c r="AR56">
        <v>0</v>
      </c>
      <c r="AS56">
        <v>0</v>
      </c>
      <c r="AT56">
        <v>0</v>
      </c>
      <c r="AU56">
        <v>0</v>
      </c>
      <c r="AV56">
        <v>0</v>
      </c>
      <c r="AW56">
        <v>0</v>
      </c>
      <c r="AX56">
        <v>1</v>
      </c>
      <c r="AY56">
        <v>0</v>
      </c>
      <c r="AZ56">
        <v>0</v>
      </c>
      <c r="BA56">
        <v>1</v>
      </c>
      <c r="BB56">
        <v>0</v>
      </c>
      <c r="BC56">
        <v>0</v>
      </c>
      <c r="BD56">
        <v>0</v>
      </c>
      <c r="BE56">
        <v>0</v>
      </c>
      <c r="BF56">
        <v>0</v>
      </c>
      <c r="BG56">
        <v>0</v>
      </c>
      <c r="BH56">
        <v>0</v>
      </c>
      <c r="BI56">
        <v>0</v>
      </c>
      <c r="BJ56">
        <v>0</v>
      </c>
      <c r="BK56">
        <v>0</v>
      </c>
      <c r="BL56">
        <v>0</v>
      </c>
      <c r="BM56">
        <v>0</v>
      </c>
      <c r="BN56">
        <v>1</v>
      </c>
      <c r="BO56">
        <v>0</v>
      </c>
      <c r="BP56">
        <v>0</v>
      </c>
      <c r="BQ56">
        <v>0</v>
      </c>
      <c r="BR56">
        <v>0</v>
      </c>
      <c r="BS56">
        <v>0</v>
      </c>
      <c r="BT56">
        <v>0</v>
      </c>
      <c r="BU56">
        <v>0</v>
      </c>
      <c r="BV56">
        <v>1</v>
      </c>
      <c r="BW56">
        <v>1</v>
      </c>
      <c r="BX56">
        <v>0</v>
      </c>
      <c r="BY56">
        <v>0</v>
      </c>
      <c r="BZ56">
        <v>0</v>
      </c>
      <c r="CA56">
        <v>0</v>
      </c>
      <c r="CB56">
        <v>0</v>
      </c>
      <c r="CC56">
        <v>0</v>
      </c>
      <c r="CD56">
        <v>0</v>
      </c>
      <c r="CE56">
        <v>0</v>
      </c>
      <c r="CF56">
        <v>1</v>
      </c>
      <c r="CG56">
        <v>0</v>
      </c>
      <c r="CH56">
        <v>1</v>
      </c>
      <c r="CI56">
        <v>0</v>
      </c>
      <c r="CJ56">
        <v>0</v>
      </c>
      <c r="CK56">
        <v>0</v>
      </c>
      <c r="CL56">
        <v>0</v>
      </c>
      <c r="CM56">
        <v>0</v>
      </c>
      <c r="CN56">
        <v>0</v>
      </c>
      <c r="CO56">
        <v>0</v>
      </c>
      <c r="CP56">
        <v>0</v>
      </c>
      <c r="CQ56">
        <v>0</v>
      </c>
      <c r="CR56">
        <v>0</v>
      </c>
      <c r="CS56">
        <v>0</v>
      </c>
      <c r="CT56">
        <v>0</v>
      </c>
      <c r="CU56">
        <v>0</v>
      </c>
      <c r="CV56">
        <v>0</v>
      </c>
      <c r="CW56">
        <v>0</v>
      </c>
      <c r="CX56">
        <v>0</v>
      </c>
      <c r="CY56">
        <v>0</v>
      </c>
      <c r="CZ56">
        <v>0</v>
      </c>
      <c r="DA56">
        <v>1</v>
      </c>
      <c r="DB56">
        <v>0</v>
      </c>
      <c r="DC56">
        <v>0</v>
      </c>
      <c r="DD56">
        <v>0</v>
      </c>
      <c r="DE56">
        <v>0</v>
      </c>
      <c r="DF56">
        <v>0</v>
      </c>
      <c r="DG56">
        <v>0</v>
      </c>
      <c r="DH56">
        <v>0</v>
      </c>
      <c r="DI56">
        <v>0</v>
      </c>
      <c r="DJ56">
        <v>0</v>
      </c>
      <c r="DK56">
        <v>0</v>
      </c>
      <c r="DL56">
        <v>0</v>
      </c>
      <c r="DM56">
        <v>1</v>
      </c>
      <c r="DN56">
        <v>0</v>
      </c>
      <c r="DO56">
        <v>0</v>
      </c>
      <c r="DP56">
        <v>0</v>
      </c>
      <c r="DQ56">
        <v>0</v>
      </c>
      <c r="DR56">
        <v>1</v>
      </c>
      <c r="DS56">
        <v>0</v>
      </c>
      <c r="DT56">
        <v>0</v>
      </c>
      <c r="DU56">
        <v>0</v>
      </c>
      <c r="DV56">
        <v>1</v>
      </c>
      <c r="DW56">
        <v>0</v>
      </c>
      <c r="DX56">
        <v>0</v>
      </c>
      <c r="DY56">
        <v>0</v>
      </c>
      <c r="DZ56">
        <v>0</v>
      </c>
      <c r="EA56">
        <v>1</v>
      </c>
      <c r="EB56">
        <v>0</v>
      </c>
      <c r="EC56">
        <v>1</v>
      </c>
      <c r="ED56">
        <v>0</v>
      </c>
      <c r="EE56">
        <v>0</v>
      </c>
      <c r="EF56">
        <v>0</v>
      </c>
      <c r="EG56">
        <v>0</v>
      </c>
      <c r="EH56">
        <v>0</v>
      </c>
      <c r="EI56">
        <v>0</v>
      </c>
      <c r="EJ56">
        <v>0</v>
      </c>
      <c r="EK56">
        <v>1</v>
      </c>
      <c r="EL56">
        <v>0</v>
      </c>
      <c r="EM56">
        <v>0</v>
      </c>
      <c r="EN56">
        <v>0</v>
      </c>
      <c r="EO56">
        <v>0</v>
      </c>
      <c r="EP56">
        <v>0</v>
      </c>
      <c r="EQ56">
        <v>0</v>
      </c>
      <c r="ER56">
        <v>0</v>
      </c>
      <c r="ES56">
        <v>0</v>
      </c>
      <c r="ET56">
        <v>1</v>
      </c>
      <c r="EU56">
        <v>0</v>
      </c>
      <c r="EV56">
        <v>0</v>
      </c>
    </row>
    <row r="57" spans="1:152">
      <c r="A57" t="str">
        <v>SUB_5(5)</v>
      </c>
      <c r="B57" t="str">
        <v>If you tried this product and it met your expectations for taste and effectiveness, which of the fol... (5)-Any brand of energy bars (example: PowerBar, LunaBar, Clif Bar)</v>
      </c>
      <c r="C57">
        <v>0</v>
      </c>
      <c r="D57">
        <v>0</v>
      </c>
      <c r="E57">
        <v>0</v>
      </c>
      <c r="F57">
        <v>0</v>
      </c>
      <c r="G57">
        <v>0</v>
      </c>
      <c r="H57">
        <v>0</v>
      </c>
      <c r="I57">
        <v>0</v>
      </c>
      <c r="J57">
        <v>0</v>
      </c>
      <c r="K57">
        <v>0</v>
      </c>
      <c r="L57">
        <v>1</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1</v>
      </c>
      <c r="AI57">
        <v>0</v>
      </c>
      <c r="AJ57">
        <v>0</v>
      </c>
      <c r="AK57">
        <v>0</v>
      </c>
      <c r="AL57">
        <v>0</v>
      </c>
      <c r="AM57">
        <v>0</v>
      </c>
      <c r="AN57">
        <v>0</v>
      </c>
      <c r="AO57">
        <v>0</v>
      </c>
      <c r="AP57">
        <v>0</v>
      </c>
      <c r="AQ57">
        <v>1</v>
      </c>
      <c r="AR57">
        <v>0</v>
      </c>
      <c r="AS57">
        <v>0</v>
      </c>
      <c r="AT57">
        <v>0</v>
      </c>
      <c r="AU57">
        <v>0</v>
      </c>
      <c r="AV57">
        <v>0</v>
      </c>
      <c r="AW57">
        <v>0</v>
      </c>
      <c r="AX57">
        <v>0</v>
      </c>
      <c r="AY57">
        <v>0</v>
      </c>
      <c r="AZ57">
        <v>0</v>
      </c>
      <c r="BA57">
        <v>1</v>
      </c>
      <c r="BB57">
        <v>0</v>
      </c>
      <c r="BC57">
        <v>0</v>
      </c>
      <c r="BD57">
        <v>1</v>
      </c>
      <c r="BE57">
        <v>0</v>
      </c>
      <c r="BF57">
        <v>0</v>
      </c>
      <c r="BG57">
        <v>0</v>
      </c>
      <c r="BH57">
        <v>1</v>
      </c>
      <c r="BI57">
        <v>0</v>
      </c>
      <c r="BJ57">
        <v>0</v>
      </c>
      <c r="BK57">
        <v>0</v>
      </c>
      <c r="BL57">
        <v>0</v>
      </c>
      <c r="BM57">
        <v>0</v>
      </c>
      <c r="BN57">
        <v>0</v>
      </c>
      <c r="BO57">
        <v>0</v>
      </c>
      <c r="BP57">
        <v>1</v>
      </c>
      <c r="BQ57">
        <v>0</v>
      </c>
      <c r="BR57">
        <v>0</v>
      </c>
      <c r="BS57">
        <v>0</v>
      </c>
      <c r="BT57">
        <v>0</v>
      </c>
      <c r="BU57">
        <v>0</v>
      </c>
      <c r="BV57">
        <v>1</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1</v>
      </c>
      <c r="CX57">
        <v>0</v>
      </c>
      <c r="CY57">
        <v>0</v>
      </c>
      <c r="CZ57">
        <v>0</v>
      </c>
      <c r="DA57">
        <v>0</v>
      </c>
      <c r="DB57">
        <v>0</v>
      </c>
      <c r="DC57">
        <v>0</v>
      </c>
      <c r="DD57">
        <v>0</v>
      </c>
      <c r="DE57">
        <v>1</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1</v>
      </c>
      <c r="EB57">
        <v>0</v>
      </c>
      <c r="EC57">
        <v>0</v>
      </c>
      <c r="ED57">
        <v>0</v>
      </c>
      <c r="EE57">
        <v>0</v>
      </c>
      <c r="EF57">
        <v>0</v>
      </c>
      <c r="EG57">
        <v>0</v>
      </c>
      <c r="EH57">
        <v>0</v>
      </c>
      <c r="EI57">
        <v>0</v>
      </c>
      <c r="EJ57">
        <v>0</v>
      </c>
      <c r="EK57">
        <v>0</v>
      </c>
      <c r="EL57">
        <v>0</v>
      </c>
      <c r="EM57">
        <v>0</v>
      </c>
      <c r="EN57">
        <v>0</v>
      </c>
      <c r="EO57">
        <v>0</v>
      </c>
      <c r="EP57">
        <v>0</v>
      </c>
      <c r="EQ57">
        <v>0</v>
      </c>
      <c r="ER57">
        <v>0</v>
      </c>
      <c r="ES57">
        <v>0</v>
      </c>
      <c r="ET57">
        <v>1</v>
      </c>
      <c r="EU57">
        <v>0</v>
      </c>
      <c r="EV57">
        <v>0</v>
      </c>
    </row>
    <row r="58" spans="1:152">
      <c r="A58" t="str">
        <v>SUB_1(6)</v>
      </c>
      <c r="B58" t="str">
        <v>If you tried this product and it met your expectations for taste and effectiveness, which of the fol... (6)-Regular coffee or espresso, latte, cappuccino, etc (not decaffeinated)</v>
      </c>
      <c r="C58">
        <v>1</v>
      </c>
      <c r="D58">
        <v>1</v>
      </c>
      <c r="E58">
        <v>0</v>
      </c>
      <c r="F58">
        <v>1</v>
      </c>
      <c r="G58">
        <v>0</v>
      </c>
      <c r="H58">
        <v>0</v>
      </c>
      <c r="I58">
        <v>0</v>
      </c>
      <c r="J58">
        <v>0</v>
      </c>
      <c r="K58">
        <v>0</v>
      </c>
      <c r="L58">
        <v>1</v>
      </c>
      <c r="M58">
        <v>0</v>
      </c>
      <c r="N58">
        <v>1</v>
      </c>
      <c r="O58">
        <v>1</v>
      </c>
      <c r="P58">
        <v>1</v>
      </c>
      <c r="Q58">
        <v>0</v>
      </c>
      <c r="R58">
        <v>0</v>
      </c>
      <c r="S58">
        <v>0</v>
      </c>
      <c r="T58">
        <v>0</v>
      </c>
      <c r="U58">
        <v>0</v>
      </c>
      <c r="V58">
        <v>0</v>
      </c>
      <c r="W58">
        <v>0</v>
      </c>
      <c r="X58">
        <v>0</v>
      </c>
      <c r="Y58">
        <v>0</v>
      </c>
      <c r="Z58">
        <v>0</v>
      </c>
      <c r="AA58">
        <v>0</v>
      </c>
      <c r="AB58">
        <v>1</v>
      </c>
      <c r="AC58">
        <v>0</v>
      </c>
      <c r="AD58">
        <v>1</v>
      </c>
      <c r="AE58">
        <v>0</v>
      </c>
      <c r="AF58">
        <v>0</v>
      </c>
      <c r="AG58">
        <v>1</v>
      </c>
      <c r="AH58">
        <v>0</v>
      </c>
      <c r="AI58">
        <v>0</v>
      </c>
      <c r="AJ58">
        <v>1</v>
      </c>
      <c r="AK58">
        <v>1</v>
      </c>
      <c r="AL58">
        <v>0</v>
      </c>
      <c r="AM58">
        <v>0</v>
      </c>
      <c r="AN58">
        <v>0</v>
      </c>
      <c r="AO58">
        <v>0</v>
      </c>
      <c r="AP58">
        <v>1</v>
      </c>
      <c r="AQ58">
        <v>1</v>
      </c>
      <c r="AR58">
        <v>0</v>
      </c>
      <c r="AS58">
        <v>1</v>
      </c>
      <c r="AT58">
        <v>0</v>
      </c>
      <c r="AU58">
        <v>0</v>
      </c>
      <c r="AV58">
        <v>0</v>
      </c>
      <c r="AW58">
        <v>0</v>
      </c>
      <c r="AX58">
        <v>0</v>
      </c>
      <c r="AY58">
        <v>0</v>
      </c>
      <c r="AZ58">
        <v>0</v>
      </c>
      <c r="BA58">
        <v>0</v>
      </c>
      <c r="BB58">
        <v>0</v>
      </c>
      <c r="BC58">
        <v>0</v>
      </c>
      <c r="BD58">
        <v>1</v>
      </c>
      <c r="BE58">
        <v>0</v>
      </c>
      <c r="BF58">
        <v>0</v>
      </c>
      <c r="BG58">
        <v>0</v>
      </c>
      <c r="BH58">
        <v>0</v>
      </c>
      <c r="BI58">
        <v>0</v>
      </c>
      <c r="BJ58">
        <v>0</v>
      </c>
      <c r="BK58">
        <v>0</v>
      </c>
      <c r="BL58">
        <v>1</v>
      </c>
      <c r="BM58">
        <v>0</v>
      </c>
      <c r="BN58">
        <v>1</v>
      </c>
      <c r="BO58">
        <v>0</v>
      </c>
      <c r="BP58">
        <v>0</v>
      </c>
      <c r="BQ58">
        <v>1</v>
      </c>
      <c r="BR58">
        <v>1</v>
      </c>
      <c r="BS58">
        <v>0</v>
      </c>
      <c r="BT58">
        <v>0</v>
      </c>
      <c r="BU58">
        <v>0</v>
      </c>
      <c r="BV58">
        <v>0</v>
      </c>
      <c r="BW58">
        <v>1</v>
      </c>
      <c r="BX58">
        <v>1</v>
      </c>
      <c r="BY58">
        <v>0</v>
      </c>
      <c r="BZ58">
        <v>0</v>
      </c>
      <c r="CA58">
        <v>1</v>
      </c>
      <c r="CB58">
        <v>0</v>
      </c>
      <c r="CC58">
        <v>1</v>
      </c>
      <c r="CD58">
        <v>0</v>
      </c>
      <c r="CE58">
        <v>0</v>
      </c>
      <c r="CF58">
        <v>0</v>
      </c>
      <c r="CG58">
        <v>0</v>
      </c>
      <c r="CH58">
        <v>0</v>
      </c>
      <c r="CI58">
        <v>1</v>
      </c>
      <c r="CJ58">
        <v>0</v>
      </c>
      <c r="CK58">
        <v>1</v>
      </c>
      <c r="CL58">
        <v>0</v>
      </c>
      <c r="CM58">
        <v>0</v>
      </c>
      <c r="CN58">
        <v>0</v>
      </c>
      <c r="CO58">
        <v>1</v>
      </c>
      <c r="CP58">
        <v>0</v>
      </c>
      <c r="CQ58">
        <v>0</v>
      </c>
      <c r="CR58">
        <v>0</v>
      </c>
      <c r="CS58">
        <v>0</v>
      </c>
      <c r="CT58">
        <v>0</v>
      </c>
      <c r="CU58">
        <v>1</v>
      </c>
      <c r="CV58">
        <v>1</v>
      </c>
      <c r="CW58">
        <v>0</v>
      </c>
      <c r="CX58">
        <v>1</v>
      </c>
      <c r="CY58">
        <v>1</v>
      </c>
      <c r="CZ58">
        <v>0</v>
      </c>
      <c r="DA58">
        <v>0</v>
      </c>
      <c r="DB58">
        <v>0</v>
      </c>
      <c r="DC58">
        <v>0</v>
      </c>
      <c r="DD58">
        <v>0</v>
      </c>
      <c r="DE58">
        <v>0</v>
      </c>
      <c r="DF58">
        <v>0</v>
      </c>
      <c r="DG58">
        <v>0</v>
      </c>
      <c r="DH58">
        <v>1</v>
      </c>
      <c r="DI58">
        <v>0</v>
      </c>
      <c r="DJ58">
        <v>1</v>
      </c>
      <c r="DK58">
        <v>0</v>
      </c>
      <c r="DL58">
        <v>0</v>
      </c>
      <c r="DM58">
        <v>0</v>
      </c>
      <c r="DN58">
        <v>0</v>
      </c>
      <c r="DO58">
        <v>1</v>
      </c>
      <c r="DP58">
        <v>1</v>
      </c>
      <c r="DQ58">
        <v>0</v>
      </c>
      <c r="DR58">
        <v>0</v>
      </c>
      <c r="DS58">
        <v>1</v>
      </c>
      <c r="DT58">
        <v>0</v>
      </c>
      <c r="DU58">
        <v>0</v>
      </c>
      <c r="DV58">
        <v>0</v>
      </c>
      <c r="DW58">
        <v>1</v>
      </c>
      <c r="DX58">
        <v>0</v>
      </c>
      <c r="DY58">
        <v>1</v>
      </c>
      <c r="DZ58">
        <v>1</v>
      </c>
      <c r="EA58">
        <v>0</v>
      </c>
      <c r="EB58">
        <v>1</v>
      </c>
      <c r="EC58">
        <v>0</v>
      </c>
      <c r="ED58">
        <v>0</v>
      </c>
      <c r="EE58">
        <v>0</v>
      </c>
      <c r="EF58">
        <v>0</v>
      </c>
      <c r="EG58">
        <v>0</v>
      </c>
      <c r="EH58">
        <v>0</v>
      </c>
      <c r="EI58">
        <v>0</v>
      </c>
      <c r="EJ58">
        <v>0</v>
      </c>
      <c r="EK58">
        <v>0</v>
      </c>
      <c r="EL58">
        <v>1</v>
      </c>
      <c r="EM58">
        <v>0</v>
      </c>
      <c r="EN58">
        <v>0</v>
      </c>
      <c r="EO58">
        <v>0</v>
      </c>
      <c r="EP58">
        <v>1</v>
      </c>
      <c r="EQ58">
        <v>0</v>
      </c>
      <c r="ER58">
        <v>0</v>
      </c>
      <c r="ES58">
        <v>0</v>
      </c>
      <c r="ET58">
        <v>1</v>
      </c>
      <c r="EU58">
        <v>0</v>
      </c>
      <c r="EV58">
        <v>0</v>
      </c>
    </row>
    <row r="59" spans="1:152">
      <c r="A59" t="str">
        <v>SUB_2(6)</v>
      </c>
      <c r="B59" t="str">
        <v>If you tried this product and it met your expectations for taste and effectiveness, which of the fol... (6)-Caffeinated soda (examples: Coke, Pepsi, Mountain Dew)</v>
      </c>
      <c r="C59">
        <v>0</v>
      </c>
      <c r="D59">
        <v>0</v>
      </c>
      <c r="E59">
        <v>0</v>
      </c>
      <c r="F59">
        <v>0</v>
      </c>
      <c r="G59">
        <v>0</v>
      </c>
      <c r="H59">
        <v>0</v>
      </c>
      <c r="I59">
        <v>0</v>
      </c>
      <c r="J59">
        <v>0</v>
      </c>
      <c r="K59">
        <v>0</v>
      </c>
      <c r="L59">
        <v>0</v>
      </c>
      <c r="M59">
        <v>1</v>
      </c>
      <c r="N59">
        <v>1</v>
      </c>
      <c r="O59">
        <v>0</v>
      </c>
      <c r="P59">
        <v>0</v>
      </c>
      <c r="Q59">
        <v>1</v>
      </c>
      <c r="R59">
        <v>0</v>
      </c>
      <c r="S59">
        <v>0</v>
      </c>
      <c r="T59">
        <v>0</v>
      </c>
      <c r="U59">
        <v>0</v>
      </c>
      <c r="V59">
        <v>0</v>
      </c>
      <c r="W59">
        <v>0</v>
      </c>
      <c r="X59">
        <v>0</v>
      </c>
      <c r="Y59">
        <v>0</v>
      </c>
      <c r="Z59">
        <v>0</v>
      </c>
      <c r="AA59">
        <v>0</v>
      </c>
      <c r="AB59">
        <v>1</v>
      </c>
      <c r="AC59">
        <v>0</v>
      </c>
      <c r="AD59">
        <v>0</v>
      </c>
      <c r="AE59">
        <v>0</v>
      </c>
      <c r="AF59">
        <v>0</v>
      </c>
      <c r="AG59">
        <v>0</v>
      </c>
      <c r="AH59">
        <v>0</v>
      </c>
      <c r="AI59">
        <v>0</v>
      </c>
      <c r="AJ59">
        <v>0</v>
      </c>
      <c r="AK59">
        <v>0</v>
      </c>
      <c r="AL59">
        <v>0</v>
      </c>
      <c r="AM59">
        <v>1</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1</v>
      </c>
      <c r="BX59">
        <v>0</v>
      </c>
      <c r="BY59">
        <v>0</v>
      </c>
      <c r="BZ59">
        <v>0</v>
      </c>
      <c r="CA59">
        <v>0</v>
      </c>
      <c r="CB59">
        <v>0</v>
      </c>
      <c r="CC59">
        <v>0</v>
      </c>
      <c r="CD59">
        <v>0</v>
      </c>
      <c r="CE59">
        <v>0</v>
      </c>
      <c r="CF59">
        <v>0</v>
      </c>
      <c r="CG59">
        <v>0</v>
      </c>
      <c r="CH59">
        <v>1</v>
      </c>
      <c r="CI59">
        <v>0</v>
      </c>
      <c r="CJ59">
        <v>0</v>
      </c>
      <c r="CK59">
        <v>0</v>
      </c>
      <c r="CL59">
        <v>0</v>
      </c>
      <c r="CM59">
        <v>0</v>
      </c>
      <c r="CN59">
        <v>0</v>
      </c>
      <c r="CO59">
        <v>0</v>
      </c>
      <c r="CP59">
        <v>0</v>
      </c>
      <c r="CQ59">
        <v>1</v>
      </c>
      <c r="CR59">
        <v>0</v>
      </c>
      <c r="CS59">
        <v>0</v>
      </c>
      <c r="CT59">
        <v>0</v>
      </c>
      <c r="CU59">
        <v>0</v>
      </c>
      <c r="CV59">
        <v>0</v>
      </c>
      <c r="CW59">
        <v>1</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1</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1</v>
      </c>
      <c r="EU59">
        <v>0</v>
      </c>
      <c r="EV59">
        <v>0</v>
      </c>
    </row>
    <row r="60" spans="1:152">
      <c r="A60" t="str">
        <v>SUB_3(6)</v>
      </c>
      <c r="B60" t="str">
        <v>If you tried this product and it met your expectations for taste and effectiveness, which of the fol... (6)-Any brand of caffeinated energy drink (examples: Monster, Rockstar, Red Bull)</v>
      </c>
      <c r="C60">
        <v>0</v>
      </c>
      <c r="D60">
        <v>0</v>
      </c>
      <c r="E60">
        <v>0</v>
      </c>
      <c r="F60">
        <v>0</v>
      </c>
      <c r="G60">
        <v>0</v>
      </c>
      <c r="H60">
        <v>1</v>
      </c>
      <c r="I60">
        <v>0</v>
      </c>
      <c r="J60">
        <v>0</v>
      </c>
      <c r="K60">
        <v>0</v>
      </c>
      <c r="L60">
        <v>1</v>
      </c>
      <c r="M60">
        <v>0</v>
      </c>
      <c r="N60">
        <v>0</v>
      </c>
      <c r="O60">
        <v>0</v>
      </c>
      <c r="P60">
        <v>0</v>
      </c>
      <c r="Q60">
        <v>0</v>
      </c>
      <c r="R60">
        <v>0</v>
      </c>
      <c r="S60">
        <v>0</v>
      </c>
      <c r="T60">
        <v>0</v>
      </c>
      <c r="U60">
        <v>0</v>
      </c>
      <c r="V60">
        <v>0</v>
      </c>
      <c r="W60">
        <v>0</v>
      </c>
      <c r="X60">
        <v>0</v>
      </c>
      <c r="Y60">
        <v>0</v>
      </c>
      <c r="Z60">
        <v>0</v>
      </c>
      <c r="AA60">
        <v>1</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1</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1</v>
      </c>
      <c r="BW60">
        <v>1</v>
      </c>
      <c r="BX60">
        <v>0</v>
      </c>
      <c r="BY60">
        <v>0</v>
      </c>
      <c r="BZ60">
        <v>0</v>
      </c>
      <c r="CA60">
        <v>0</v>
      </c>
      <c r="CB60">
        <v>0</v>
      </c>
      <c r="CC60">
        <v>0</v>
      </c>
      <c r="CD60">
        <v>0</v>
      </c>
      <c r="CE60">
        <v>0</v>
      </c>
      <c r="CF60">
        <v>0</v>
      </c>
      <c r="CG60">
        <v>0</v>
      </c>
      <c r="CH60">
        <v>1</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1</v>
      </c>
      <c r="DL60">
        <v>0</v>
      </c>
      <c r="DM60">
        <v>0</v>
      </c>
      <c r="DN60">
        <v>0</v>
      </c>
      <c r="DO60">
        <v>0</v>
      </c>
      <c r="DP60">
        <v>0</v>
      </c>
      <c r="DQ60">
        <v>0</v>
      </c>
      <c r="DR60">
        <v>1</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1</v>
      </c>
      <c r="EU60">
        <v>0</v>
      </c>
      <c r="EV60">
        <v>0</v>
      </c>
    </row>
    <row r="61" spans="1:152">
      <c r="A61" t="str">
        <v>SUB_4(6)</v>
      </c>
      <c r="B61" t="str">
        <v>If you tried this product and it met your expectations for taste and effectiveness, which of the fol... (6)-Any brand of energy shots (example: 5-hr energy)</v>
      </c>
      <c r="C61">
        <v>0</v>
      </c>
      <c r="D61">
        <v>0</v>
      </c>
      <c r="E61">
        <v>0</v>
      </c>
      <c r="F61">
        <v>0</v>
      </c>
      <c r="G61">
        <v>0</v>
      </c>
      <c r="H61">
        <v>1</v>
      </c>
      <c r="I61">
        <v>0</v>
      </c>
      <c r="J61">
        <v>0</v>
      </c>
      <c r="K61">
        <v>0</v>
      </c>
      <c r="L61">
        <v>1</v>
      </c>
      <c r="M61">
        <v>0</v>
      </c>
      <c r="N61">
        <v>0</v>
      </c>
      <c r="O61">
        <v>0</v>
      </c>
      <c r="P61">
        <v>0</v>
      </c>
      <c r="Q61">
        <v>0</v>
      </c>
      <c r="R61">
        <v>0</v>
      </c>
      <c r="S61">
        <v>0</v>
      </c>
      <c r="T61">
        <v>0</v>
      </c>
      <c r="U61">
        <v>0</v>
      </c>
      <c r="V61">
        <v>0</v>
      </c>
      <c r="W61">
        <v>0</v>
      </c>
      <c r="X61">
        <v>0</v>
      </c>
      <c r="Y61">
        <v>0</v>
      </c>
      <c r="Z61">
        <v>0</v>
      </c>
      <c r="AA61">
        <v>1</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1</v>
      </c>
      <c r="BA61">
        <v>1</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1</v>
      </c>
      <c r="BW61">
        <v>1</v>
      </c>
      <c r="BX61">
        <v>0</v>
      </c>
      <c r="BY61">
        <v>0</v>
      </c>
      <c r="BZ61">
        <v>0</v>
      </c>
      <c r="CA61">
        <v>0</v>
      </c>
      <c r="CB61">
        <v>0</v>
      </c>
      <c r="CC61">
        <v>0</v>
      </c>
      <c r="CD61">
        <v>0</v>
      </c>
      <c r="CE61">
        <v>0</v>
      </c>
      <c r="CF61">
        <v>0</v>
      </c>
      <c r="CG61">
        <v>0</v>
      </c>
      <c r="CH61">
        <v>1</v>
      </c>
      <c r="CI61">
        <v>0</v>
      </c>
      <c r="CJ61">
        <v>0</v>
      </c>
      <c r="CK61">
        <v>0</v>
      </c>
      <c r="CL61">
        <v>0</v>
      </c>
      <c r="CM61">
        <v>0</v>
      </c>
      <c r="CN61">
        <v>0</v>
      </c>
      <c r="CO61">
        <v>0</v>
      </c>
      <c r="CP61">
        <v>0</v>
      </c>
      <c r="CQ61">
        <v>0</v>
      </c>
      <c r="CR61">
        <v>0</v>
      </c>
      <c r="CS61">
        <v>0</v>
      </c>
      <c r="CT61">
        <v>0</v>
      </c>
      <c r="CU61">
        <v>0</v>
      </c>
      <c r="CV61">
        <v>0</v>
      </c>
      <c r="CW61">
        <v>0</v>
      </c>
      <c r="CX61">
        <v>0</v>
      </c>
      <c r="CY61">
        <v>0</v>
      </c>
      <c r="CZ61">
        <v>0</v>
      </c>
      <c r="DA61">
        <v>1</v>
      </c>
      <c r="DB61">
        <v>0</v>
      </c>
      <c r="DC61">
        <v>0</v>
      </c>
      <c r="DD61">
        <v>0</v>
      </c>
      <c r="DE61">
        <v>0</v>
      </c>
      <c r="DF61">
        <v>0</v>
      </c>
      <c r="DG61">
        <v>0</v>
      </c>
      <c r="DH61">
        <v>0</v>
      </c>
      <c r="DI61">
        <v>0</v>
      </c>
      <c r="DJ61">
        <v>0</v>
      </c>
      <c r="DK61">
        <v>0</v>
      </c>
      <c r="DL61">
        <v>0</v>
      </c>
      <c r="DM61">
        <v>1</v>
      </c>
      <c r="DN61">
        <v>0</v>
      </c>
      <c r="DO61">
        <v>0</v>
      </c>
      <c r="DP61">
        <v>0</v>
      </c>
      <c r="DQ61">
        <v>0</v>
      </c>
      <c r="DR61">
        <v>0</v>
      </c>
      <c r="DS61">
        <v>0</v>
      </c>
      <c r="DT61">
        <v>1</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1</v>
      </c>
      <c r="EU61">
        <v>0</v>
      </c>
      <c r="EV61">
        <v>0</v>
      </c>
    </row>
    <row r="62" spans="1:152">
      <c r="A62" t="str">
        <v>SUB_5(6)</v>
      </c>
      <c r="B62" t="str">
        <v>If you tried this product and it met your expectations for taste and effectiveness, which of the fol... (6)-Any brand of energy bars (example: PowerBar, LunaBar, Clif Bar)</v>
      </c>
      <c r="C62">
        <v>0</v>
      </c>
      <c r="D62">
        <v>0</v>
      </c>
      <c r="E62">
        <v>0</v>
      </c>
      <c r="F62">
        <v>0</v>
      </c>
      <c r="G62">
        <v>0</v>
      </c>
      <c r="H62">
        <v>0</v>
      </c>
      <c r="I62">
        <v>0</v>
      </c>
      <c r="J62">
        <v>0</v>
      </c>
      <c r="K62">
        <v>0</v>
      </c>
      <c r="L62">
        <v>1</v>
      </c>
      <c r="M62">
        <v>0</v>
      </c>
      <c r="N62">
        <v>0</v>
      </c>
      <c r="O62">
        <v>0</v>
      </c>
      <c r="P62">
        <v>0</v>
      </c>
      <c r="Q62">
        <v>0</v>
      </c>
      <c r="R62">
        <v>0</v>
      </c>
      <c r="S62">
        <v>1</v>
      </c>
      <c r="T62">
        <v>0</v>
      </c>
      <c r="U62">
        <v>1</v>
      </c>
      <c r="V62">
        <v>1</v>
      </c>
      <c r="W62">
        <v>1</v>
      </c>
      <c r="X62">
        <v>0</v>
      </c>
      <c r="Y62">
        <v>0</v>
      </c>
      <c r="Z62">
        <v>0</v>
      </c>
      <c r="AA62">
        <v>0</v>
      </c>
      <c r="AB62">
        <v>0</v>
      </c>
      <c r="AC62">
        <v>0</v>
      </c>
      <c r="AD62">
        <v>0</v>
      </c>
      <c r="AE62">
        <v>0</v>
      </c>
      <c r="AF62">
        <v>0</v>
      </c>
      <c r="AG62">
        <v>0</v>
      </c>
      <c r="AH62">
        <v>1</v>
      </c>
      <c r="AI62">
        <v>0</v>
      </c>
      <c r="AJ62">
        <v>0</v>
      </c>
      <c r="AK62">
        <v>0</v>
      </c>
      <c r="AL62">
        <v>0</v>
      </c>
      <c r="AM62">
        <v>0</v>
      </c>
      <c r="AN62">
        <v>1</v>
      </c>
      <c r="AO62">
        <v>0</v>
      </c>
      <c r="AP62">
        <v>0</v>
      </c>
      <c r="AQ62">
        <v>0</v>
      </c>
      <c r="AR62">
        <v>0</v>
      </c>
      <c r="AS62">
        <v>0</v>
      </c>
      <c r="AT62">
        <v>0</v>
      </c>
      <c r="AU62">
        <v>0</v>
      </c>
      <c r="AV62">
        <v>0</v>
      </c>
      <c r="AW62">
        <v>0</v>
      </c>
      <c r="AX62">
        <v>0</v>
      </c>
      <c r="AY62">
        <v>0</v>
      </c>
      <c r="AZ62">
        <v>0</v>
      </c>
      <c r="BA62">
        <v>1</v>
      </c>
      <c r="BB62">
        <v>1</v>
      </c>
      <c r="BC62">
        <v>0</v>
      </c>
      <c r="BD62">
        <v>0</v>
      </c>
      <c r="BE62">
        <v>0</v>
      </c>
      <c r="BF62">
        <v>0</v>
      </c>
      <c r="BG62">
        <v>1</v>
      </c>
      <c r="BH62">
        <v>1</v>
      </c>
      <c r="BI62">
        <v>0</v>
      </c>
      <c r="BJ62">
        <v>0</v>
      </c>
      <c r="BK62">
        <v>0</v>
      </c>
      <c r="BL62">
        <v>0</v>
      </c>
      <c r="BM62">
        <v>0</v>
      </c>
      <c r="BN62">
        <v>0</v>
      </c>
      <c r="BO62">
        <v>0</v>
      </c>
      <c r="BP62">
        <v>1</v>
      </c>
      <c r="BQ62">
        <v>0</v>
      </c>
      <c r="BR62">
        <v>0</v>
      </c>
      <c r="BS62">
        <v>0</v>
      </c>
      <c r="BT62">
        <v>0</v>
      </c>
      <c r="BU62">
        <v>0</v>
      </c>
      <c r="BV62">
        <v>1</v>
      </c>
      <c r="BW62">
        <v>0</v>
      </c>
      <c r="BX62">
        <v>0</v>
      </c>
      <c r="BY62">
        <v>0</v>
      </c>
      <c r="BZ62">
        <v>0</v>
      </c>
      <c r="CA62">
        <v>0</v>
      </c>
      <c r="CB62">
        <v>0</v>
      </c>
      <c r="CC62">
        <v>1</v>
      </c>
      <c r="CD62">
        <v>0</v>
      </c>
      <c r="CE62">
        <v>0</v>
      </c>
      <c r="CF62">
        <v>1</v>
      </c>
      <c r="CG62">
        <v>0</v>
      </c>
      <c r="CH62">
        <v>0</v>
      </c>
      <c r="CI62">
        <v>0</v>
      </c>
      <c r="CJ62">
        <v>1</v>
      </c>
      <c r="CK62">
        <v>0</v>
      </c>
      <c r="CL62">
        <v>0</v>
      </c>
      <c r="CM62">
        <v>0</v>
      </c>
      <c r="CN62">
        <v>0</v>
      </c>
      <c r="CO62">
        <v>0</v>
      </c>
      <c r="CP62">
        <v>1</v>
      </c>
      <c r="CQ62">
        <v>0</v>
      </c>
      <c r="CR62">
        <v>1</v>
      </c>
      <c r="CS62">
        <v>1</v>
      </c>
      <c r="CT62">
        <v>0</v>
      </c>
      <c r="CU62">
        <v>0</v>
      </c>
      <c r="CV62">
        <v>0</v>
      </c>
      <c r="CW62">
        <v>1</v>
      </c>
      <c r="CX62">
        <v>0</v>
      </c>
      <c r="CY62">
        <v>0</v>
      </c>
      <c r="CZ62">
        <v>0</v>
      </c>
      <c r="DA62">
        <v>0</v>
      </c>
      <c r="DB62">
        <v>1</v>
      </c>
      <c r="DC62">
        <v>1</v>
      </c>
      <c r="DD62">
        <v>0</v>
      </c>
      <c r="DE62">
        <v>1</v>
      </c>
      <c r="DF62">
        <v>1</v>
      </c>
      <c r="DG62">
        <v>0</v>
      </c>
      <c r="DH62">
        <v>0</v>
      </c>
      <c r="DI62">
        <v>0</v>
      </c>
      <c r="DJ62">
        <v>1</v>
      </c>
      <c r="DK62">
        <v>0</v>
      </c>
      <c r="DL62">
        <v>0</v>
      </c>
      <c r="DM62">
        <v>0</v>
      </c>
      <c r="DN62">
        <v>0</v>
      </c>
      <c r="DO62">
        <v>0</v>
      </c>
      <c r="DP62">
        <v>0</v>
      </c>
      <c r="DQ62">
        <v>0</v>
      </c>
      <c r="DR62">
        <v>0</v>
      </c>
      <c r="DS62">
        <v>0</v>
      </c>
      <c r="DT62">
        <v>1</v>
      </c>
      <c r="DU62">
        <v>0</v>
      </c>
      <c r="DV62">
        <v>1</v>
      </c>
      <c r="DW62">
        <v>0</v>
      </c>
      <c r="DX62">
        <v>1</v>
      </c>
      <c r="DY62">
        <v>0</v>
      </c>
      <c r="DZ62">
        <v>0</v>
      </c>
      <c r="EA62">
        <v>0</v>
      </c>
      <c r="EB62">
        <v>0</v>
      </c>
      <c r="EC62">
        <v>0</v>
      </c>
      <c r="ED62">
        <v>0</v>
      </c>
      <c r="EE62">
        <v>0</v>
      </c>
      <c r="EF62">
        <v>0</v>
      </c>
      <c r="EG62">
        <v>0</v>
      </c>
      <c r="EH62">
        <v>0</v>
      </c>
      <c r="EI62">
        <v>1</v>
      </c>
      <c r="EJ62">
        <v>0</v>
      </c>
      <c r="EK62">
        <v>0</v>
      </c>
      <c r="EL62">
        <v>0</v>
      </c>
      <c r="EM62">
        <v>0</v>
      </c>
      <c r="EN62">
        <v>0</v>
      </c>
      <c r="EO62">
        <v>0</v>
      </c>
      <c r="EP62">
        <v>0</v>
      </c>
      <c r="EQ62">
        <v>0</v>
      </c>
      <c r="ER62">
        <v>0</v>
      </c>
      <c r="ES62">
        <v>0</v>
      </c>
      <c r="ET62">
        <v>1</v>
      </c>
      <c r="EU62">
        <v>0</v>
      </c>
      <c r="EV62">
        <v>0</v>
      </c>
    </row>
    <row r="63" spans="1:152">
      <c r="A63" t="str">
        <v>SUB_1(7)</v>
      </c>
      <c r="B63" t="str">
        <v>If you tried this product and it met your expectations for taste and effectiveness, which of the fol... (7)-Regular coffee or espresso, latte, cappuccino, etc (not decaffeinated)</v>
      </c>
      <c r="C63">
        <v>1</v>
      </c>
      <c r="D63">
        <v>0</v>
      </c>
      <c r="E63">
        <v>0</v>
      </c>
      <c r="F63">
        <v>0</v>
      </c>
      <c r="G63">
        <v>0</v>
      </c>
      <c r="H63">
        <v>0</v>
      </c>
      <c r="I63">
        <v>0</v>
      </c>
      <c r="J63">
        <v>0</v>
      </c>
      <c r="K63">
        <v>0</v>
      </c>
      <c r="L63">
        <v>0</v>
      </c>
      <c r="M63">
        <v>0</v>
      </c>
      <c r="N63">
        <v>0</v>
      </c>
      <c r="O63">
        <v>1</v>
      </c>
      <c r="P63">
        <v>1</v>
      </c>
      <c r="Q63">
        <v>0</v>
      </c>
      <c r="R63">
        <v>0</v>
      </c>
      <c r="S63">
        <v>0</v>
      </c>
      <c r="T63">
        <v>0</v>
      </c>
      <c r="U63">
        <v>0</v>
      </c>
      <c r="V63">
        <v>0</v>
      </c>
      <c r="W63">
        <v>0</v>
      </c>
      <c r="X63">
        <v>0</v>
      </c>
      <c r="Y63">
        <v>0</v>
      </c>
      <c r="Z63">
        <v>0</v>
      </c>
      <c r="AA63">
        <v>0</v>
      </c>
      <c r="AB63">
        <v>1</v>
      </c>
      <c r="AC63">
        <v>0</v>
      </c>
      <c r="AD63">
        <v>1</v>
      </c>
      <c r="AE63">
        <v>0</v>
      </c>
      <c r="AF63">
        <v>0</v>
      </c>
      <c r="AG63">
        <v>0</v>
      </c>
      <c r="AH63">
        <v>0</v>
      </c>
      <c r="AI63">
        <v>0</v>
      </c>
      <c r="AJ63">
        <v>1</v>
      </c>
      <c r="AK63">
        <v>1</v>
      </c>
      <c r="AL63">
        <v>0</v>
      </c>
      <c r="AM63">
        <v>0</v>
      </c>
      <c r="AN63">
        <v>0</v>
      </c>
      <c r="AO63">
        <v>0</v>
      </c>
      <c r="AP63">
        <v>0</v>
      </c>
      <c r="AQ63">
        <v>0</v>
      </c>
      <c r="AR63">
        <v>0</v>
      </c>
      <c r="AS63">
        <v>1</v>
      </c>
      <c r="AT63">
        <v>0</v>
      </c>
      <c r="AU63">
        <v>0</v>
      </c>
      <c r="AV63">
        <v>0</v>
      </c>
      <c r="AW63">
        <v>0</v>
      </c>
      <c r="AX63">
        <v>0</v>
      </c>
      <c r="AY63">
        <v>0</v>
      </c>
      <c r="AZ63">
        <v>0</v>
      </c>
      <c r="BA63">
        <v>0</v>
      </c>
      <c r="BB63">
        <v>0</v>
      </c>
      <c r="BC63">
        <v>0</v>
      </c>
      <c r="BD63">
        <v>0</v>
      </c>
      <c r="BE63">
        <v>0</v>
      </c>
      <c r="BF63">
        <v>0</v>
      </c>
      <c r="BG63">
        <v>1</v>
      </c>
      <c r="BH63">
        <v>0</v>
      </c>
      <c r="BI63">
        <v>0</v>
      </c>
      <c r="BJ63">
        <v>0</v>
      </c>
      <c r="BK63">
        <v>0</v>
      </c>
      <c r="BL63">
        <v>0</v>
      </c>
      <c r="BM63">
        <v>0</v>
      </c>
      <c r="BN63">
        <v>0</v>
      </c>
      <c r="BO63">
        <v>0</v>
      </c>
      <c r="BP63">
        <v>0</v>
      </c>
      <c r="BQ63">
        <v>1</v>
      </c>
      <c r="BR63">
        <v>0</v>
      </c>
      <c r="BS63">
        <v>0</v>
      </c>
      <c r="BT63">
        <v>0</v>
      </c>
      <c r="BU63">
        <v>0</v>
      </c>
      <c r="BV63">
        <v>0</v>
      </c>
      <c r="BW63">
        <v>1</v>
      </c>
      <c r="BX63">
        <v>1</v>
      </c>
      <c r="BY63">
        <v>0</v>
      </c>
      <c r="BZ63">
        <v>0</v>
      </c>
      <c r="CA63">
        <v>1</v>
      </c>
      <c r="CB63">
        <v>0</v>
      </c>
      <c r="CC63">
        <v>0</v>
      </c>
      <c r="CD63">
        <v>0</v>
      </c>
      <c r="CE63">
        <v>0</v>
      </c>
      <c r="CF63">
        <v>0</v>
      </c>
      <c r="CG63">
        <v>0</v>
      </c>
      <c r="CH63">
        <v>0</v>
      </c>
      <c r="CI63">
        <v>0</v>
      </c>
      <c r="CJ63">
        <v>0</v>
      </c>
      <c r="CK63">
        <v>0</v>
      </c>
      <c r="CL63">
        <v>0</v>
      </c>
      <c r="CM63">
        <v>0</v>
      </c>
      <c r="CN63">
        <v>0</v>
      </c>
      <c r="CO63">
        <v>1</v>
      </c>
      <c r="CP63">
        <v>0</v>
      </c>
      <c r="CQ63">
        <v>0</v>
      </c>
      <c r="CR63">
        <v>0</v>
      </c>
      <c r="CS63">
        <v>0</v>
      </c>
      <c r="CT63">
        <v>0</v>
      </c>
      <c r="CU63">
        <v>1</v>
      </c>
      <c r="CV63">
        <v>1</v>
      </c>
      <c r="CW63">
        <v>0</v>
      </c>
      <c r="CX63">
        <v>1</v>
      </c>
      <c r="CY63">
        <v>1</v>
      </c>
      <c r="CZ63">
        <v>0</v>
      </c>
      <c r="DA63">
        <v>0</v>
      </c>
      <c r="DB63">
        <v>0</v>
      </c>
      <c r="DC63">
        <v>0</v>
      </c>
      <c r="DD63">
        <v>0</v>
      </c>
      <c r="DE63">
        <v>0</v>
      </c>
      <c r="DF63">
        <v>0</v>
      </c>
      <c r="DG63">
        <v>0</v>
      </c>
      <c r="DH63">
        <v>0</v>
      </c>
      <c r="DI63">
        <v>0</v>
      </c>
      <c r="DJ63">
        <v>1</v>
      </c>
      <c r="DK63">
        <v>0</v>
      </c>
      <c r="DL63">
        <v>0</v>
      </c>
      <c r="DM63">
        <v>0</v>
      </c>
      <c r="DN63">
        <v>0</v>
      </c>
      <c r="DO63">
        <v>0</v>
      </c>
      <c r="DP63">
        <v>0</v>
      </c>
      <c r="DQ63">
        <v>0</v>
      </c>
      <c r="DR63">
        <v>0</v>
      </c>
      <c r="DS63">
        <v>0</v>
      </c>
      <c r="DT63">
        <v>1</v>
      </c>
      <c r="DU63">
        <v>0</v>
      </c>
      <c r="DV63">
        <v>0</v>
      </c>
      <c r="DW63">
        <v>1</v>
      </c>
      <c r="DX63">
        <v>0</v>
      </c>
      <c r="DY63">
        <v>1</v>
      </c>
      <c r="DZ63">
        <v>1</v>
      </c>
      <c r="EA63">
        <v>0</v>
      </c>
      <c r="EB63">
        <v>1</v>
      </c>
      <c r="EC63">
        <v>0</v>
      </c>
      <c r="ED63">
        <v>0</v>
      </c>
      <c r="EE63">
        <v>0</v>
      </c>
      <c r="EF63">
        <v>0</v>
      </c>
      <c r="EG63">
        <v>0</v>
      </c>
      <c r="EH63">
        <v>0</v>
      </c>
      <c r="EI63">
        <v>0</v>
      </c>
      <c r="EJ63">
        <v>1</v>
      </c>
      <c r="EK63">
        <v>0</v>
      </c>
      <c r="EL63">
        <v>0</v>
      </c>
      <c r="EM63">
        <v>0</v>
      </c>
      <c r="EN63">
        <v>0</v>
      </c>
      <c r="EO63">
        <v>0</v>
      </c>
      <c r="EP63">
        <v>0</v>
      </c>
      <c r="EQ63">
        <v>0</v>
      </c>
      <c r="ER63">
        <v>0</v>
      </c>
      <c r="ES63">
        <v>0</v>
      </c>
      <c r="ET63">
        <v>1</v>
      </c>
      <c r="EU63">
        <v>0</v>
      </c>
      <c r="EV63">
        <v>0</v>
      </c>
    </row>
    <row r="64" spans="1:152">
      <c r="A64" t="str">
        <v>SUB_2(7)</v>
      </c>
      <c r="B64" t="str">
        <v>If you tried this product and it met your expectations for taste and effectiveness, which of the fol... (7)-Caffeinated soda (examples: Coke, Pepsi, Mountain Dew)</v>
      </c>
      <c r="C64">
        <v>0</v>
      </c>
      <c r="D64">
        <v>0</v>
      </c>
      <c r="E64">
        <v>0</v>
      </c>
      <c r="F64">
        <v>0</v>
      </c>
      <c r="G64">
        <v>0</v>
      </c>
      <c r="H64">
        <v>0</v>
      </c>
      <c r="I64">
        <v>0</v>
      </c>
      <c r="J64">
        <v>0</v>
      </c>
      <c r="K64">
        <v>0</v>
      </c>
      <c r="L64">
        <v>0</v>
      </c>
      <c r="M64">
        <v>1</v>
      </c>
      <c r="N64">
        <v>0</v>
      </c>
      <c r="O64">
        <v>0</v>
      </c>
      <c r="P64">
        <v>0</v>
      </c>
      <c r="Q64">
        <v>0</v>
      </c>
      <c r="R64">
        <v>0</v>
      </c>
      <c r="S64">
        <v>1</v>
      </c>
      <c r="T64">
        <v>0</v>
      </c>
      <c r="U64">
        <v>0</v>
      </c>
      <c r="V64">
        <v>0</v>
      </c>
      <c r="W64">
        <v>0</v>
      </c>
      <c r="X64">
        <v>0</v>
      </c>
      <c r="Y64">
        <v>0</v>
      </c>
      <c r="Z64">
        <v>0</v>
      </c>
      <c r="AA64">
        <v>0</v>
      </c>
      <c r="AB64">
        <v>1</v>
      </c>
      <c r="AC64">
        <v>0</v>
      </c>
      <c r="AD64">
        <v>0</v>
      </c>
      <c r="AE64">
        <v>0</v>
      </c>
      <c r="AF64">
        <v>0</v>
      </c>
      <c r="AG64">
        <v>1</v>
      </c>
      <c r="AH64">
        <v>0</v>
      </c>
      <c r="AI64">
        <v>0</v>
      </c>
      <c r="AJ64">
        <v>1</v>
      </c>
      <c r="AK64">
        <v>0</v>
      </c>
      <c r="AL64">
        <v>0</v>
      </c>
      <c r="AM64">
        <v>1</v>
      </c>
      <c r="AN64">
        <v>0</v>
      </c>
      <c r="AO64">
        <v>0</v>
      </c>
      <c r="AP64">
        <v>1</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1</v>
      </c>
      <c r="BN64">
        <v>1</v>
      </c>
      <c r="BO64">
        <v>0</v>
      </c>
      <c r="BP64">
        <v>0</v>
      </c>
      <c r="BQ64">
        <v>0</v>
      </c>
      <c r="BR64">
        <v>0</v>
      </c>
      <c r="BS64">
        <v>0</v>
      </c>
      <c r="BT64">
        <v>0</v>
      </c>
      <c r="BU64">
        <v>0</v>
      </c>
      <c r="BV64">
        <v>0</v>
      </c>
      <c r="BW64">
        <v>1</v>
      </c>
      <c r="BX64">
        <v>0</v>
      </c>
      <c r="BY64">
        <v>0</v>
      </c>
      <c r="BZ64">
        <v>0</v>
      </c>
      <c r="CA64">
        <v>0</v>
      </c>
      <c r="CB64">
        <v>0</v>
      </c>
      <c r="CC64">
        <v>0</v>
      </c>
      <c r="CD64">
        <v>0</v>
      </c>
      <c r="CE64">
        <v>0</v>
      </c>
      <c r="CF64">
        <v>0</v>
      </c>
      <c r="CG64">
        <v>0</v>
      </c>
      <c r="CH64">
        <v>1</v>
      </c>
      <c r="CI64">
        <v>0</v>
      </c>
      <c r="CJ64">
        <v>0</v>
      </c>
      <c r="CK64">
        <v>0</v>
      </c>
      <c r="CL64">
        <v>0</v>
      </c>
      <c r="CM64">
        <v>0</v>
      </c>
      <c r="CN64">
        <v>0</v>
      </c>
      <c r="CO64">
        <v>0</v>
      </c>
      <c r="CP64">
        <v>1</v>
      </c>
      <c r="CQ64">
        <v>1</v>
      </c>
      <c r="CR64">
        <v>0</v>
      </c>
      <c r="CS64">
        <v>0</v>
      </c>
      <c r="CT64">
        <v>0</v>
      </c>
      <c r="CU64">
        <v>0</v>
      </c>
      <c r="CV64">
        <v>0</v>
      </c>
      <c r="CW64">
        <v>1</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1</v>
      </c>
      <c r="DX64">
        <v>0</v>
      </c>
      <c r="DY64">
        <v>0</v>
      </c>
      <c r="DZ64">
        <v>1</v>
      </c>
      <c r="EA64">
        <v>0</v>
      </c>
      <c r="EB64">
        <v>0</v>
      </c>
      <c r="EC64">
        <v>0</v>
      </c>
      <c r="ED64">
        <v>0</v>
      </c>
      <c r="EE64">
        <v>0</v>
      </c>
      <c r="EF64">
        <v>0</v>
      </c>
      <c r="EG64">
        <v>0</v>
      </c>
      <c r="EH64">
        <v>0</v>
      </c>
      <c r="EI64">
        <v>0</v>
      </c>
      <c r="EJ64">
        <v>0</v>
      </c>
      <c r="EK64">
        <v>0</v>
      </c>
      <c r="EL64">
        <v>0</v>
      </c>
      <c r="EM64">
        <v>0</v>
      </c>
      <c r="EN64">
        <v>0</v>
      </c>
      <c r="EO64">
        <v>0</v>
      </c>
      <c r="EP64">
        <v>1</v>
      </c>
      <c r="EQ64">
        <v>0</v>
      </c>
      <c r="ER64">
        <v>0</v>
      </c>
      <c r="ES64">
        <v>0</v>
      </c>
      <c r="ET64">
        <v>1</v>
      </c>
      <c r="EU64">
        <v>0</v>
      </c>
      <c r="EV64">
        <v>0</v>
      </c>
    </row>
    <row r="65" spans="1:152">
      <c r="A65" t="str">
        <v>SUB_3(7)</v>
      </c>
      <c r="B65" t="str">
        <v>If you tried this product and it met your expectations for taste and effectiveness, which of the fol... (7)-Any brand of caffeinated energy drink (examples: Monster, Rockstar, Red Bull)</v>
      </c>
      <c r="C65">
        <v>0</v>
      </c>
      <c r="D65">
        <v>0</v>
      </c>
      <c r="E65">
        <v>0</v>
      </c>
      <c r="F65">
        <v>0</v>
      </c>
      <c r="G65">
        <v>0</v>
      </c>
      <c r="H65">
        <v>0</v>
      </c>
      <c r="I65">
        <v>0</v>
      </c>
      <c r="J65">
        <v>0</v>
      </c>
      <c r="K65">
        <v>0</v>
      </c>
      <c r="L65">
        <v>1</v>
      </c>
      <c r="M65">
        <v>0</v>
      </c>
      <c r="N65">
        <v>0</v>
      </c>
      <c r="O65">
        <v>0</v>
      </c>
      <c r="P65">
        <v>0</v>
      </c>
      <c r="Q65">
        <v>1</v>
      </c>
      <c r="R65">
        <v>0</v>
      </c>
      <c r="S65">
        <v>0</v>
      </c>
      <c r="T65">
        <v>0</v>
      </c>
      <c r="U65">
        <v>0</v>
      </c>
      <c r="V65">
        <v>0</v>
      </c>
      <c r="W65">
        <v>0</v>
      </c>
      <c r="X65">
        <v>0</v>
      </c>
      <c r="Y65">
        <v>0</v>
      </c>
      <c r="Z65">
        <v>0</v>
      </c>
      <c r="AA65">
        <v>0</v>
      </c>
      <c r="AB65">
        <v>0</v>
      </c>
      <c r="AC65">
        <v>0</v>
      </c>
      <c r="AD65">
        <v>0</v>
      </c>
      <c r="AE65">
        <v>0</v>
      </c>
      <c r="AF65">
        <v>0</v>
      </c>
      <c r="AG65">
        <v>0</v>
      </c>
      <c r="AH65">
        <v>0</v>
      </c>
      <c r="AI65">
        <v>0</v>
      </c>
      <c r="AJ65">
        <v>1</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1</v>
      </c>
      <c r="BW65">
        <v>1</v>
      </c>
      <c r="BX65">
        <v>0</v>
      </c>
      <c r="BY65">
        <v>0</v>
      </c>
      <c r="BZ65">
        <v>0</v>
      </c>
      <c r="CA65">
        <v>0</v>
      </c>
      <c r="CB65">
        <v>0</v>
      </c>
      <c r="CC65">
        <v>0</v>
      </c>
      <c r="CD65">
        <v>0</v>
      </c>
      <c r="CE65">
        <v>0</v>
      </c>
      <c r="CF65">
        <v>0</v>
      </c>
      <c r="CG65">
        <v>0</v>
      </c>
      <c r="CH65">
        <v>1</v>
      </c>
      <c r="CI65">
        <v>1</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1</v>
      </c>
      <c r="DL65">
        <v>0</v>
      </c>
      <c r="DM65">
        <v>0</v>
      </c>
      <c r="DN65">
        <v>0</v>
      </c>
      <c r="DO65">
        <v>0</v>
      </c>
      <c r="DP65">
        <v>0</v>
      </c>
      <c r="DQ65">
        <v>0</v>
      </c>
      <c r="DR65">
        <v>0</v>
      </c>
      <c r="DS65">
        <v>0</v>
      </c>
      <c r="DT65">
        <v>0</v>
      </c>
      <c r="DU65">
        <v>0</v>
      </c>
      <c r="DV65">
        <v>0</v>
      </c>
      <c r="DW65">
        <v>0</v>
      </c>
      <c r="DX65">
        <v>0</v>
      </c>
      <c r="DY65">
        <v>0</v>
      </c>
      <c r="DZ65">
        <v>1</v>
      </c>
      <c r="EA65">
        <v>0</v>
      </c>
      <c r="EB65">
        <v>0</v>
      </c>
      <c r="EC65">
        <v>0</v>
      </c>
      <c r="ED65">
        <v>0</v>
      </c>
      <c r="EE65">
        <v>0</v>
      </c>
      <c r="EF65">
        <v>0</v>
      </c>
      <c r="EG65">
        <v>0</v>
      </c>
      <c r="EH65">
        <v>0</v>
      </c>
      <c r="EI65">
        <v>0</v>
      </c>
      <c r="EJ65">
        <v>0</v>
      </c>
      <c r="EK65">
        <v>0</v>
      </c>
      <c r="EL65">
        <v>0</v>
      </c>
      <c r="EM65">
        <v>0</v>
      </c>
      <c r="EN65">
        <v>0</v>
      </c>
      <c r="EO65">
        <v>0</v>
      </c>
      <c r="EP65">
        <v>0</v>
      </c>
      <c r="EQ65">
        <v>0</v>
      </c>
      <c r="ER65">
        <v>0</v>
      </c>
      <c r="ES65">
        <v>0</v>
      </c>
      <c r="ET65">
        <v>1</v>
      </c>
      <c r="EU65">
        <v>0</v>
      </c>
      <c r="EV65">
        <v>0</v>
      </c>
    </row>
    <row r="66" spans="1:152">
      <c r="A66" t="str">
        <v>SUB_4(7)</v>
      </c>
      <c r="B66" t="str">
        <v>If you tried this product and it met your expectations for taste and effectiveness, which of the fol... (7)-Any brand of energy shots (example: 5-hr energy)</v>
      </c>
      <c r="C66">
        <v>0</v>
      </c>
      <c r="D66">
        <v>0</v>
      </c>
      <c r="E66">
        <v>0</v>
      </c>
      <c r="F66">
        <v>0</v>
      </c>
      <c r="G66">
        <v>0</v>
      </c>
      <c r="H66">
        <v>0</v>
      </c>
      <c r="I66">
        <v>0</v>
      </c>
      <c r="J66">
        <v>0</v>
      </c>
      <c r="K66">
        <v>0</v>
      </c>
      <c r="L66">
        <v>1</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1</v>
      </c>
      <c r="AK66">
        <v>0</v>
      </c>
      <c r="AL66">
        <v>0</v>
      </c>
      <c r="AM66">
        <v>0</v>
      </c>
      <c r="AN66">
        <v>0</v>
      </c>
      <c r="AO66">
        <v>0</v>
      </c>
      <c r="AP66">
        <v>0</v>
      </c>
      <c r="AQ66">
        <v>0</v>
      </c>
      <c r="AR66">
        <v>0</v>
      </c>
      <c r="AS66">
        <v>0</v>
      </c>
      <c r="AT66">
        <v>0</v>
      </c>
      <c r="AU66">
        <v>0</v>
      </c>
      <c r="AV66">
        <v>0</v>
      </c>
      <c r="AW66">
        <v>0</v>
      </c>
      <c r="AX66">
        <v>0</v>
      </c>
      <c r="AY66">
        <v>0</v>
      </c>
      <c r="AZ66">
        <v>1</v>
      </c>
      <c r="BA66">
        <v>0</v>
      </c>
      <c r="BB66">
        <v>0</v>
      </c>
      <c r="BC66">
        <v>0</v>
      </c>
      <c r="BD66">
        <v>0</v>
      </c>
      <c r="BE66">
        <v>0</v>
      </c>
      <c r="BF66">
        <v>0</v>
      </c>
      <c r="BG66">
        <v>0</v>
      </c>
      <c r="BH66">
        <v>1</v>
      </c>
      <c r="BI66">
        <v>0</v>
      </c>
      <c r="BJ66">
        <v>0</v>
      </c>
      <c r="BK66">
        <v>0</v>
      </c>
      <c r="BL66">
        <v>0</v>
      </c>
      <c r="BM66">
        <v>0</v>
      </c>
      <c r="BN66">
        <v>0</v>
      </c>
      <c r="BO66">
        <v>0</v>
      </c>
      <c r="BP66">
        <v>0</v>
      </c>
      <c r="BQ66">
        <v>0</v>
      </c>
      <c r="BR66">
        <v>0</v>
      </c>
      <c r="BS66">
        <v>0</v>
      </c>
      <c r="BT66">
        <v>0</v>
      </c>
      <c r="BU66">
        <v>0</v>
      </c>
      <c r="BV66">
        <v>1</v>
      </c>
      <c r="BW66">
        <v>1</v>
      </c>
      <c r="BX66">
        <v>0</v>
      </c>
      <c r="BY66">
        <v>0</v>
      </c>
      <c r="BZ66">
        <v>0</v>
      </c>
      <c r="CA66">
        <v>0</v>
      </c>
      <c r="CB66">
        <v>0</v>
      </c>
      <c r="CC66">
        <v>0</v>
      </c>
      <c r="CD66">
        <v>0</v>
      </c>
      <c r="CE66">
        <v>0</v>
      </c>
      <c r="CF66">
        <v>0</v>
      </c>
      <c r="CG66">
        <v>0</v>
      </c>
      <c r="CH66">
        <v>1</v>
      </c>
      <c r="CI66">
        <v>0</v>
      </c>
      <c r="CJ66">
        <v>0</v>
      </c>
      <c r="CK66">
        <v>0</v>
      </c>
      <c r="CL66">
        <v>0</v>
      </c>
      <c r="CM66">
        <v>0</v>
      </c>
      <c r="CN66">
        <v>0</v>
      </c>
      <c r="CO66">
        <v>0</v>
      </c>
      <c r="CP66">
        <v>0</v>
      </c>
      <c r="CQ66">
        <v>0</v>
      </c>
      <c r="CR66">
        <v>0</v>
      </c>
      <c r="CS66">
        <v>0</v>
      </c>
      <c r="CT66">
        <v>0</v>
      </c>
      <c r="CU66">
        <v>0</v>
      </c>
      <c r="CV66">
        <v>0</v>
      </c>
      <c r="CW66">
        <v>0</v>
      </c>
      <c r="CX66">
        <v>0</v>
      </c>
      <c r="CY66">
        <v>0</v>
      </c>
      <c r="CZ66">
        <v>0</v>
      </c>
      <c r="DA66">
        <v>1</v>
      </c>
      <c r="DB66">
        <v>0</v>
      </c>
      <c r="DC66">
        <v>0</v>
      </c>
      <c r="DD66">
        <v>0</v>
      </c>
      <c r="DE66">
        <v>0</v>
      </c>
      <c r="DF66">
        <v>0</v>
      </c>
      <c r="DG66">
        <v>0</v>
      </c>
      <c r="DH66">
        <v>0</v>
      </c>
      <c r="DI66">
        <v>0</v>
      </c>
      <c r="DJ66">
        <v>0</v>
      </c>
      <c r="DK66">
        <v>0</v>
      </c>
      <c r="DL66">
        <v>0</v>
      </c>
      <c r="DM66">
        <v>1</v>
      </c>
      <c r="DN66">
        <v>0</v>
      </c>
      <c r="DO66">
        <v>0</v>
      </c>
      <c r="DP66">
        <v>0</v>
      </c>
      <c r="DQ66">
        <v>0</v>
      </c>
      <c r="DR66">
        <v>0</v>
      </c>
      <c r="DS66">
        <v>0</v>
      </c>
      <c r="DT66">
        <v>0</v>
      </c>
      <c r="DU66">
        <v>0</v>
      </c>
      <c r="DV66">
        <v>0</v>
      </c>
      <c r="DW66">
        <v>0</v>
      </c>
      <c r="DX66">
        <v>0</v>
      </c>
      <c r="DY66">
        <v>0</v>
      </c>
      <c r="DZ66">
        <v>0</v>
      </c>
      <c r="EA66">
        <v>0</v>
      </c>
      <c r="EB66">
        <v>0</v>
      </c>
      <c r="EC66">
        <v>0</v>
      </c>
      <c r="ED66">
        <v>0</v>
      </c>
      <c r="EE66">
        <v>0</v>
      </c>
      <c r="EF66">
        <v>1</v>
      </c>
      <c r="EG66">
        <v>0</v>
      </c>
      <c r="EH66">
        <v>0</v>
      </c>
      <c r="EI66">
        <v>0</v>
      </c>
      <c r="EJ66">
        <v>0</v>
      </c>
      <c r="EK66">
        <v>0</v>
      </c>
      <c r="EL66">
        <v>0</v>
      </c>
      <c r="EM66">
        <v>0</v>
      </c>
      <c r="EN66">
        <v>0</v>
      </c>
      <c r="EO66">
        <v>0</v>
      </c>
      <c r="EP66">
        <v>0</v>
      </c>
      <c r="EQ66">
        <v>0</v>
      </c>
      <c r="ER66">
        <v>0</v>
      </c>
      <c r="ES66">
        <v>0</v>
      </c>
      <c r="ET66">
        <v>1</v>
      </c>
      <c r="EU66">
        <v>0</v>
      </c>
      <c r="EV66">
        <v>0</v>
      </c>
    </row>
    <row r="67" spans="1:152">
      <c r="A67" t="str">
        <v>SUB_5(7)</v>
      </c>
      <c r="B67" t="str">
        <v>If you tried this product and it met your expectations for taste and effectiveness, which of the fol... (7)-Any brand of energy bars (example: PowerBar, LunaBar, Clif Bar)</v>
      </c>
      <c r="C67">
        <v>0</v>
      </c>
      <c r="D67">
        <v>0</v>
      </c>
      <c r="E67">
        <v>0</v>
      </c>
      <c r="F67">
        <v>0</v>
      </c>
      <c r="G67">
        <v>0</v>
      </c>
      <c r="H67">
        <v>0</v>
      </c>
      <c r="I67">
        <v>0</v>
      </c>
      <c r="J67">
        <v>0</v>
      </c>
      <c r="K67">
        <v>0</v>
      </c>
      <c r="L67">
        <v>1</v>
      </c>
      <c r="M67">
        <v>0</v>
      </c>
      <c r="N67">
        <v>0</v>
      </c>
      <c r="O67">
        <v>0</v>
      </c>
      <c r="P67">
        <v>0</v>
      </c>
      <c r="Q67">
        <v>0</v>
      </c>
      <c r="R67">
        <v>0</v>
      </c>
      <c r="S67">
        <v>0</v>
      </c>
      <c r="T67">
        <v>0</v>
      </c>
      <c r="U67">
        <v>0</v>
      </c>
      <c r="V67">
        <v>1</v>
      </c>
      <c r="W67">
        <v>0</v>
      </c>
      <c r="X67">
        <v>0</v>
      </c>
      <c r="Y67">
        <v>0</v>
      </c>
      <c r="Z67">
        <v>0</v>
      </c>
      <c r="AA67">
        <v>0</v>
      </c>
      <c r="AB67">
        <v>0</v>
      </c>
      <c r="AC67">
        <v>0</v>
      </c>
      <c r="AD67">
        <v>0</v>
      </c>
      <c r="AE67">
        <v>0</v>
      </c>
      <c r="AF67">
        <v>0</v>
      </c>
      <c r="AG67">
        <v>0</v>
      </c>
      <c r="AH67">
        <v>0</v>
      </c>
      <c r="AI67">
        <v>0</v>
      </c>
      <c r="AJ67">
        <v>0</v>
      </c>
      <c r="AK67">
        <v>0</v>
      </c>
      <c r="AL67">
        <v>0</v>
      </c>
      <c r="AM67">
        <v>0</v>
      </c>
      <c r="AN67">
        <v>1</v>
      </c>
      <c r="AO67">
        <v>0</v>
      </c>
      <c r="AP67">
        <v>0</v>
      </c>
      <c r="AQ67">
        <v>1</v>
      </c>
      <c r="AR67">
        <v>0</v>
      </c>
      <c r="AS67">
        <v>0</v>
      </c>
      <c r="AT67">
        <v>0</v>
      </c>
      <c r="AU67">
        <v>0</v>
      </c>
      <c r="AV67">
        <v>0</v>
      </c>
      <c r="AW67">
        <v>0</v>
      </c>
      <c r="AX67">
        <v>0</v>
      </c>
      <c r="AY67">
        <v>0</v>
      </c>
      <c r="AZ67">
        <v>0</v>
      </c>
      <c r="BA67">
        <v>0</v>
      </c>
      <c r="BB67">
        <v>0</v>
      </c>
      <c r="BC67">
        <v>0</v>
      </c>
      <c r="BD67">
        <v>1</v>
      </c>
      <c r="BE67">
        <v>0</v>
      </c>
      <c r="BF67">
        <v>0</v>
      </c>
      <c r="BG67">
        <v>1</v>
      </c>
      <c r="BH67">
        <v>0</v>
      </c>
      <c r="BI67">
        <v>0</v>
      </c>
      <c r="BJ67">
        <v>0</v>
      </c>
      <c r="BK67">
        <v>0</v>
      </c>
      <c r="BL67">
        <v>0</v>
      </c>
      <c r="BM67">
        <v>0</v>
      </c>
      <c r="BN67">
        <v>0</v>
      </c>
      <c r="BO67">
        <v>0</v>
      </c>
      <c r="BP67">
        <v>1</v>
      </c>
      <c r="BQ67">
        <v>0</v>
      </c>
      <c r="BR67">
        <v>0</v>
      </c>
      <c r="BS67">
        <v>0</v>
      </c>
      <c r="BT67">
        <v>0</v>
      </c>
      <c r="BU67">
        <v>0</v>
      </c>
      <c r="BV67">
        <v>1</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1</v>
      </c>
      <c r="CS67">
        <v>1</v>
      </c>
      <c r="CT67">
        <v>0</v>
      </c>
      <c r="CU67">
        <v>0</v>
      </c>
      <c r="CV67">
        <v>0</v>
      </c>
      <c r="CW67">
        <v>1</v>
      </c>
      <c r="CX67">
        <v>0</v>
      </c>
      <c r="CY67">
        <v>0</v>
      </c>
      <c r="CZ67">
        <v>0</v>
      </c>
      <c r="DA67">
        <v>0</v>
      </c>
      <c r="DB67">
        <v>1</v>
      </c>
      <c r="DC67">
        <v>1</v>
      </c>
      <c r="DD67">
        <v>0</v>
      </c>
      <c r="DE67">
        <v>1</v>
      </c>
      <c r="DF67">
        <v>1</v>
      </c>
      <c r="DG67">
        <v>0</v>
      </c>
      <c r="DH67">
        <v>0</v>
      </c>
      <c r="DI67">
        <v>0</v>
      </c>
      <c r="DJ67">
        <v>1</v>
      </c>
      <c r="DK67">
        <v>0</v>
      </c>
      <c r="DL67">
        <v>0</v>
      </c>
      <c r="DM67">
        <v>0</v>
      </c>
      <c r="DN67">
        <v>0</v>
      </c>
      <c r="DO67">
        <v>0</v>
      </c>
      <c r="DP67">
        <v>0</v>
      </c>
      <c r="DQ67">
        <v>0</v>
      </c>
      <c r="DR67">
        <v>1</v>
      </c>
      <c r="DS67">
        <v>0</v>
      </c>
      <c r="DT67">
        <v>0</v>
      </c>
      <c r="DU67">
        <v>0</v>
      </c>
      <c r="DV67">
        <v>0</v>
      </c>
      <c r="DW67">
        <v>0</v>
      </c>
      <c r="DX67">
        <v>1</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1</v>
      </c>
      <c r="EU67">
        <v>0</v>
      </c>
      <c r="EV67">
        <v>0</v>
      </c>
    </row>
    <row r="68" spans="1:152">
      <c r="A68" t="s">
        <v>398</v>
      </c>
      <c r="C68">
        <f>COUNTIFS(C12:C32, $B$70)</f>
        <v>0</v>
      </c>
      <c r="D68">
        <f t="shared" ref="D68:BO68" si="0">COUNTIFS(D12:D32, $B$70)</f>
        <v>0</v>
      </c>
      <c r="E68">
        <f t="shared" si="0"/>
        <v>0</v>
      </c>
      <c r="F68">
        <f t="shared" si="0"/>
        <v>0</v>
      </c>
      <c r="G68">
        <f t="shared" si="0"/>
        <v>0</v>
      </c>
      <c r="H68">
        <f t="shared" si="0"/>
        <v>0</v>
      </c>
      <c r="I68">
        <f t="shared" si="0"/>
        <v>0</v>
      </c>
      <c r="J68">
        <f t="shared" si="0"/>
        <v>0</v>
      </c>
      <c r="K68">
        <f t="shared" si="0"/>
        <v>1</v>
      </c>
      <c r="L68">
        <f t="shared" si="0"/>
        <v>0</v>
      </c>
      <c r="M68">
        <f t="shared" si="0"/>
        <v>0</v>
      </c>
      <c r="N68">
        <f t="shared" si="0"/>
        <v>0</v>
      </c>
      <c r="O68">
        <f t="shared" si="0"/>
        <v>0</v>
      </c>
      <c r="P68">
        <f t="shared" si="0"/>
        <v>0</v>
      </c>
      <c r="Q68">
        <f t="shared" si="0"/>
        <v>0</v>
      </c>
      <c r="R68">
        <f t="shared" si="0"/>
        <v>8</v>
      </c>
      <c r="S68">
        <f t="shared" si="0"/>
        <v>0</v>
      </c>
      <c r="T68">
        <f t="shared" si="0"/>
        <v>0</v>
      </c>
      <c r="U68">
        <f t="shared" si="0"/>
        <v>0</v>
      </c>
      <c r="V68">
        <f t="shared" si="0"/>
        <v>0</v>
      </c>
      <c r="W68">
        <f t="shared" si="0"/>
        <v>0</v>
      </c>
      <c r="X68">
        <f t="shared" si="0"/>
        <v>0</v>
      </c>
      <c r="Y68">
        <f t="shared" si="0"/>
        <v>0</v>
      </c>
      <c r="Z68">
        <f t="shared" si="0"/>
        <v>0</v>
      </c>
      <c r="AA68">
        <f t="shared" si="0"/>
        <v>0</v>
      </c>
      <c r="AB68">
        <f t="shared" si="0"/>
        <v>0</v>
      </c>
      <c r="AC68">
        <f t="shared" si="0"/>
        <v>0</v>
      </c>
      <c r="AD68">
        <f t="shared" si="0"/>
        <v>0</v>
      </c>
      <c r="AE68">
        <f t="shared" si="0"/>
        <v>0</v>
      </c>
      <c r="AF68">
        <f t="shared" si="0"/>
        <v>0</v>
      </c>
      <c r="AG68">
        <f t="shared" si="0"/>
        <v>0</v>
      </c>
      <c r="AH68">
        <f t="shared" si="0"/>
        <v>0</v>
      </c>
      <c r="AI68">
        <f t="shared" si="0"/>
        <v>0</v>
      </c>
      <c r="AJ68">
        <f t="shared" si="0"/>
        <v>0</v>
      </c>
      <c r="AK68">
        <f t="shared" si="0"/>
        <v>0</v>
      </c>
      <c r="AL68">
        <f t="shared" si="0"/>
        <v>0</v>
      </c>
      <c r="AM68">
        <f t="shared" si="0"/>
        <v>0</v>
      </c>
      <c r="AN68">
        <f t="shared" si="0"/>
        <v>0</v>
      </c>
      <c r="AO68">
        <f t="shared" si="0"/>
        <v>0</v>
      </c>
      <c r="AP68">
        <f t="shared" si="0"/>
        <v>0</v>
      </c>
      <c r="AQ68">
        <f t="shared" si="0"/>
        <v>0</v>
      </c>
      <c r="AR68">
        <f t="shared" si="0"/>
        <v>0</v>
      </c>
      <c r="AS68">
        <f t="shared" si="0"/>
        <v>1</v>
      </c>
      <c r="AT68">
        <f t="shared" si="0"/>
        <v>0</v>
      </c>
      <c r="AU68">
        <f t="shared" si="0"/>
        <v>0</v>
      </c>
      <c r="AV68">
        <f t="shared" si="0"/>
        <v>0</v>
      </c>
      <c r="AW68">
        <f t="shared" si="0"/>
        <v>0</v>
      </c>
      <c r="AX68">
        <f t="shared" si="0"/>
        <v>0</v>
      </c>
      <c r="AY68">
        <f t="shared" si="0"/>
        <v>0</v>
      </c>
      <c r="AZ68">
        <f t="shared" si="0"/>
        <v>0</v>
      </c>
      <c r="BA68">
        <f t="shared" si="0"/>
        <v>0</v>
      </c>
      <c r="BB68">
        <f t="shared" si="0"/>
        <v>0</v>
      </c>
      <c r="BC68">
        <f t="shared" si="0"/>
        <v>0</v>
      </c>
      <c r="BD68">
        <f t="shared" si="0"/>
        <v>0</v>
      </c>
      <c r="BE68">
        <f t="shared" si="0"/>
        <v>0</v>
      </c>
      <c r="BF68">
        <f t="shared" si="0"/>
        <v>0</v>
      </c>
      <c r="BG68">
        <f t="shared" si="0"/>
        <v>0</v>
      </c>
      <c r="BH68">
        <f t="shared" si="0"/>
        <v>0</v>
      </c>
      <c r="BI68">
        <f t="shared" si="0"/>
        <v>0</v>
      </c>
      <c r="BJ68">
        <f t="shared" si="0"/>
        <v>0</v>
      </c>
      <c r="BK68">
        <f t="shared" si="0"/>
        <v>14</v>
      </c>
      <c r="BL68">
        <f t="shared" si="0"/>
        <v>0</v>
      </c>
      <c r="BM68">
        <f t="shared" si="0"/>
        <v>0</v>
      </c>
      <c r="BN68">
        <f t="shared" si="0"/>
        <v>0</v>
      </c>
      <c r="BO68">
        <f t="shared" si="0"/>
        <v>0</v>
      </c>
      <c r="BP68">
        <f t="shared" ref="BP68:DJ68" si="1">COUNTIFS(BP12:BP32, $B$70)</f>
        <v>0</v>
      </c>
      <c r="BQ68">
        <f t="shared" si="1"/>
        <v>0</v>
      </c>
      <c r="BR68">
        <f t="shared" si="1"/>
        <v>0</v>
      </c>
      <c r="BS68">
        <f t="shared" si="1"/>
        <v>0</v>
      </c>
      <c r="BT68">
        <f t="shared" si="1"/>
        <v>0</v>
      </c>
      <c r="BU68">
        <f t="shared" si="1"/>
        <v>0</v>
      </c>
      <c r="BV68">
        <f t="shared" si="1"/>
        <v>0</v>
      </c>
      <c r="BW68">
        <f t="shared" si="1"/>
        <v>0</v>
      </c>
      <c r="BX68">
        <f t="shared" si="1"/>
        <v>0</v>
      </c>
      <c r="BY68">
        <f t="shared" si="1"/>
        <v>0</v>
      </c>
      <c r="BZ68">
        <f t="shared" si="1"/>
        <v>0</v>
      </c>
      <c r="CA68">
        <f t="shared" si="1"/>
        <v>0</v>
      </c>
      <c r="CB68">
        <f t="shared" si="1"/>
        <v>0</v>
      </c>
      <c r="CC68">
        <f t="shared" si="1"/>
        <v>0</v>
      </c>
      <c r="CD68">
        <f t="shared" si="1"/>
        <v>3</v>
      </c>
      <c r="CE68">
        <f t="shared" si="1"/>
        <v>0</v>
      </c>
      <c r="CF68">
        <f t="shared" si="1"/>
        <v>0</v>
      </c>
      <c r="CG68">
        <f t="shared" si="1"/>
        <v>0</v>
      </c>
      <c r="CH68">
        <f t="shared" si="1"/>
        <v>0</v>
      </c>
      <c r="CI68">
        <f t="shared" si="1"/>
        <v>0</v>
      </c>
      <c r="CJ68">
        <f t="shared" si="1"/>
        <v>0</v>
      </c>
      <c r="CK68">
        <f t="shared" si="1"/>
        <v>0</v>
      </c>
      <c r="CL68">
        <f t="shared" si="1"/>
        <v>0</v>
      </c>
      <c r="CM68">
        <f t="shared" si="1"/>
        <v>0</v>
      </c>
      <c r="CN68">
        <f t="shared" si="1"/>
        <v>12</v>
      </c>
      <c r="CO68">
        <f t="shared" si="1"/>
        <v>0</v>
      </c>
      <c r="CP68">
        <f t="shared" si="1"/>
        <v>0</v>
      </c>
      <c r="CQ68">
        <f t="shared" si="1"/>
        <v>0</v>
      </c>
      <c r="CR68">
        <f t="shared" si="1"/>
        <v>0</v>
      </c>
      <c r="CS68">
        <f t="shared" si="1"/>
        <v>0</v>
      </c>
      <c r="CT68">
        <f t="shared" si="1"/>
        <v>0</v>
      </c>
      <c r="CU68">
        <f t="shared" si="1"/>
        <v>0</v>
      </c>
      <c r="CV68">
        <f t="shared" si="1"/>
        <v>0</v>
      </c>
      <c r="CW68">
        <f t="shared" si="1"/>
        <v>0</v>
      </c>
      <c r="CX68">
        <f t="shared" si="1"/>
        <v>0</v>
      </c>
      <c r="CY68">
        <f t="shared" si="1"/>
        <v>0</v>
      </c>
      <c r="CZ68">
        <f t="shared" si="1"/>
        <v>6</v>
      </c>
      <c r="DA68">
        <f t="shared" si="1"/>
        <v>0</v>
      </c>
      <c r="DB68">
        <f t="shared" si="1"/>
        <v>0</v>
      </c>
      <c r="DC68">
        <f t="shared" si="1"/>
        <v>0</v>
      </c>
      <c r="DD68">
        <f t="shared" si="1"/>
        <v>4</v>
      </c>
      <c r="DE68">
        <f t="shared" si="1"/>
        <v>0</v>
      </c>
      <c r="DF68">
        <f t="shared" si="1"/>
        <v>0</v>
      </c>
      <c r="DG68">
        <f t="shared" si="1"/>
        <v>0</v>
      </c>
      <c r="DH68">
        <f t="shared" si="1"/>
        <v>0</v>
      </c>
      <c r="DI68">
        <f t="shared" si="1"/>
        <v>0</v>
      </c>
      <c r="DJ68">
        <f t="shared" si="1"/>
        <v>0</v>
      </c>
      <c r="DK68">
        <f>COUNTIFS(DK12:DK32, $B$70)</f>
        <v>0</v>
      </c>
      <c r="DL68">
        <f t="shared" ref="DL68:DS68" si="2">COUNTIFS(DL12:DL32, $B$70)</f>
        <v>0</v>
      </c>
      <c r="DM68">
        <f t="shared" si="2"/>
        <v>0</v>
      </c>
      <c r="DN68">
        <f t="shared" si="2"/>
        <v>0</v>
      </c>
      <c r="DO68">
        <f t="shared" si="2"/>
        <v>0</v>
      </c>
      <c r="DP68">
        <f t="shared" si="2"/>
        <v>0</v>
      </c>
      <c r="DQ68">
        <f t="shared" si="2"/>
        <v>0</v>
      </c>
      <c r="DR68">
        <f t="shared" si="2"/>
        <v>0</v>
      </c>
      <c r="DS68">
        <f t="shared" si="2"/>
        <v>1</v>
      </c>
      <c r="DT68">
        <f t="shared" ref="DT68:EA68" si="3">COUNTIFS(DT12:DT32, 0)</f>
        <v>0</v>
      </c>
      <c r="DU68">
        <f t="shared" si="3"/>
        <v>0</v>
      </c>
      <c r="DV68">
        <f t="shared" si="3"/>
        <v>0</v>
      </c>
      <c r="DW68">
        <f t="shared" si="3"/>
        <v>0</v>
      </c>
      <c r="DX68">
        <f t="shared" si="3"/>
        <v>0</v>
      </c>
      <c r="DY68">
        <f t="shared" si="3"/>
        <v>0</v>
      </c>
      <c r="DZ68">
        <f t="shared" si="3"/>
        <v>0</v>
      </c>
      <c r="EA68">
        <f t="shared" si="3"/>
        <v>1</v>
      </c>
      <c r="EB68">
        <f t="shared" ref="EB68:EV68" si="4">COUNTIFS(EB12:EB32, 0)</f>
        <v>0</v>
      </c>
      <c r="EC68">
        <f t="shared" si="4"/>
        <v>0</v>
      </c>
      <c r="ED68">
        <f t="shared" si="4"/>
        <v>0</v>
      </c>
      <c r="EE68">
        <f t="shared" si="4"/>
        <v>0</v>
      </c>
      <c r="EF68">
        <f t="shared" si="4"/>
        <v>20</v>
      </c>
      <c r="EG68">
        <f t="shared" si="4"/>
        <v>21</v>
      </c>
      <c r="EH68">
        <f t="shared" si="4"/>
        <v>20</v>
      </c>
      <c r="EI68">
        <f t="shared" si="4"/>
        <v>0</v>
      </c>
      <c r="EJ68">
        <f t="shared" si="4"/>
        <v>16</v>
      </c>
      <c r="EK68">
        <f t="shared" si="4"/>
        <v>0</v>
      </c>
      <c r="EL68">
        <f t="shared" si="4"/>
        <v>0</v>
      </c>
      <c r="EM68">
        <f t="shared" si="4"/>
        <v>21</v>
      </c>
      <c r="EN68">
        <f t="shared" si="4"/>
        <v>21</v>
      </c>
      <c r="EO68">
        <f t="shared" si="4"/>
        <v>21</v>
      </c>
      <c r="EP68">
        <f t="shared" si="4"/>
        <v>6</v>
      </c>
      <c r="EQ68">
        <f t="shared" si="4"/>
        <v>7</v>
      </c>
      <c r="ER68">
        <f t="shared" si="4"/>
        <v>21</v>
      </c>
      <c r="ES68">
        <f t="shared" si="4"/>
        <v>0</v>
      </c>
      <c r="ET68">
        <f t="shared" si="4"/>
        <v>0</v>
      </c>
      <c r="EU68">
        <f t="shared" si="4"/>
        <v>18</v>
      </c>
      <c r="EV68">
        <f t="shared" si="4"/>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concepts</vt:lpstr>
      <vt:lpstr>Sheet1</vt:lpstr>
      <vt:lpstr>Sheet2</vt:lpstr>
      <vt:lpstr>response codes</vt:lpstr>
      <vt:lpstr>Data</vt:lpstr>
      <vt:lpstr>DataT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Brayden Jonason</dc:creator>
  <cp:lastModifiedBy>Brayden Jonason</cp:lastModifiedBy>
  <dcterms:created xsi:type="dcterms:W3CDTF">2023-01-07T12:00:00Z</dcterms:created>
  <dcterms:modified xsi:type="dcterms:W3CDTF">2026-04-04T22:57:27Z</dcterms:modified>
</cp:coreProperties>
</file>