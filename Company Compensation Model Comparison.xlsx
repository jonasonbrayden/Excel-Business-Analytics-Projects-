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jona\Downloads\"/>
    </mc:Choice>
  </mc:AlternateContent>
  <xr:revisionPtr revIDLastSave="0" documentId="8_{EE660783-F2A9-4C76-99BD-1EE4C9447B84}" xr6:coauthVersionLast="47" xr6:coauthVersionMax="47" xr10:uidLastSave="{00000000-0000-0000-0000-000000000000}"/>
  <bookViews>
    <workbookView xWindow="3120" yWindow="3120" windowWidth="21585" windowHeight="11370" xr2:uid="{00000000-000D-0000-FFFF-FFFF00000000}"/>
  </bookViews>
  <sheets>
    <sheet name="Module 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  <c r="E24" i="1" s="1"/>
  <c r="D23" i="1"/>
  <c r="E23" i="1" s="1"/>
  <c r="D5" i="1"/>
  <c r="D16" i="1"/>
  <c r="F23" i="1" l="1"/>
  <c r="E16" i="1"/>
  <c r="D19" i="1"/>
  <c r="E19" i="1" s="1"/>
  <c r="D18" i="1"/>
  <c r="E18" i="1" s="1"/>
  <c r="D17" i="1"/>
  <c r="E17" i="1" s="1"/>
  <c r="D6" i="1"/>
  <c r="E6" i="1" s="1"/>
  <c r="D7" i="1"/>
  <c r="E7" i="1" s="1"/>
  <c r="D8" i="1"/>
  <c r="E8" i="1" s="1"/>
  <c r="E5" i="1"/>
  <c r="L4" i="1" l="1"/>
  <c r="F15" i="1"/>
  <c r="F4" i="1"/>
  <c r="I4" i="1"/>
</calcChain>
</file>

<file path=xl/sharedStrings.xml><?xml version="1.0" encoding="utf-8"?>
<sst xmlns="http://schemas.openxmlformats.org/spreadsheetml/2006/main" count="31" uniqueCount="14">
  <si>
    <t>Total ACRUs Recruited</t>
  </si>
  <si>
    <t>Compensation per ACRU</t>
  </si>
  <si>
    <t>Upper</t>
  </si>
  <si>
    <t>Lower</t>
  </si>
  <si>
    <t>no limit</t>
  </si>
  <si>
    <t>ACRU in Bracket</t>
  </si>
  <si>
    <t>$ Earned</t>
  </si>
  <si>
    <t>Total $ Earned</t>
  </si>
  <si>
    <t># of ACRUs</t>
  </si>
  <si>
    <t>HCP1</t>
  </si>
  <si>
    <t>HCP2</t>
  </si>
  <si>
    <t>$ per ACRU</t>
  </si>
  <si>
    <t>Acru in bracket</t>
  </si>
  <si>
    <t>HPC3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</si>
</sst>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3">
    <font>
      <sz val="12"/>
      <color theme="1"/>
      <name val="TimesNewRomanPSMT"/>
      <family val="2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1" applyFont="1"/>
    <xf numFmtId="0" fontId="2" fillId="0" borderId="0" xfId="1" applyFont="1" applyAlignment="1">
      <alignment wrapText="1"/>
    </xf>
    <xf numFmtId="8" fontId="2" fillId="0" borderId="0" xfId="1" applyNumberFormat="1" applyFont="1"/>
    <xf numFmtId="6" fontId="2" fillId="0" borderId="0" xfId="1" applyNumberFormat="1" applyFont="1"/>
    <xf numFmtId="0" fontId="2" fillId="0" borderId="0" xfId="1" applyFont="1" applyAlignment="1">
      <alignment horizont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'Module 5'!$H$5:$H$15</c:f>
              <c:numCache>
                <c:formatCode>"$"#,##0.00_);[Red]\("$"#,##0.00\)</c:formatCode>
                <c:ptCount val="11"/>
                <c:pt idx="0">
                  <c:v>45</c:v>
                </c:pt>
                <c:pt idx="1">
                  <c:v>46</c:v>
                </c:pt>
                <c:pt idx="2">
                  <c:v>47</c:v>
                </c:pt>
                <c:pt idx="3">
                  <c:v>48</c:v>
                </c:pt>
                <c:pt idx="4">
                  <c:v>49</c:v>
                </c:pt>
                <c:pt idx="5">
                  <c:v>50</c:v>
                </c:pt>
                <c:pt idx="6">
                  <c:v>51</c:v>
                </c:pt>
                <c:pt idx="7">
                  <c:v>52</c:v>
                </c:pt>
                <c:pt idx="8">
                  <c:v>53</c:v>
                </c:pt>
                <c:pt idx="9">
                  <c:v>54</c:v>
                </c:pt>
                <c:pt idx="10">
                  <c:v>55</c:v>
                </c:pt>
              </c:numCache>
            </c:numRef>
          </c:cat>
          <c:val>
            <c:numRef>
              <c:f>'Module 5'!$I$5:$I$15</c:f>
              <c:numCache>
                <c:formatCode>General</c:formatCode>
                <c:ptCount val="11"/>
                <c:pt idx="0">
                  <c:v>111.15</c:v>
                </c:pt>
                <c:pt idx="1">
                  <c:v>113.62</c:v>
                </c:pt>
                <c:pt idx="2">
                  <c:v>116.09</c:v>
                </c:pt>
                <c:pt idx="3">
                  <c:v>118.56</c:v>
                </c:pt>
                <c:pt idx="4">
                  <c:v>121.03000000000002</c:v>
                </c:pt>
                <c:pt idx="5">
                  <c:v>125.02000000000001</c:v>
                </c:pt>
                <c:pt idx="6">
                  <c:v>129.01000000000002</c:v>
                </c:pt>
                <c:pt idx="7">
                  <c:v>133.00000000000003</c:v>
                </c:pt>
                <c:pt idx="8">
                  <c:v>136.99</c:v>
                </c:pt>
                <c:pt idx="9">
                  <c:v>140.98000000000002</c:v>
                </c:pt>
                <c:pt idx="10">
                  <c:v>144.97000000000003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C8-4717-8E4B-CB301129DB07}"/>
            </c:ext>
          </c:extLst>
        </c:ser>
        <c:ser>
          <c:idx val="1"/>
          <c:order val="1"/>
          <c:tx>
            <c:v>HCP2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'Module 5'!$L$5:$L$15</c:f>
              <c:numCache>
                <c:formatCode>General</c:formatCode>
                <c:ptCount val="11"/>
                <c:pt idx="0">
                  <c:v>156.15</c:v>
                </c:pt>
                <c:pt idx="1">
                  <c:v>159.62</c:v>
                </c:pt>
                <c:pt idx="2">
                  <c:v>163.09</c:v>
                </c:pt>
                <c:pt idx="3">
                  <c:v>166.56</c:v>
                </c:pt>
                <c:pt idx="4">
                  <c:v>170.03</c:v>
                </c:pt>
                <c:pt idx="5">
                  <c:v>175.02</c:v>
                </c:pt>
                <c:pt idx="6">
                  <c:v>180.01</c:v>
                </c:pt>
                <c:pt idx="7">
                  <c:v>185</c:v>
                </c:pt>
                <c:pt idx="8">
                  <c:v>189.99</c:v>
                </c:pt>
                <c:pt idx="9">
                  <c:v>194.98000000000002</c:v>
                </c:pt>
                <c:pt idx="10">
                  <c:v>199.97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8C8-4717-8E4B-CB301129DB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0102144"/>
        <c:axId val="1710103808"/>
      </c:lineChart>
      <c:catAx>
        <c:axId val="1710102144"/>
        <c:scaling>
          <c:orientation val="minMax"/>
        </c:scaling>
        <c:delete val="0"/>
        <c:axPos val="b"/>
        <c:numFmt formatCode="&quot;$&quot;#,##0.00_);[Red]\(&quot;$&quot;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103808"/>
        <c:crosses val="autoZero"/>
        <c:auto val="1"/>
        <c:lblAlgn val="ctr"/>
        <c:lblOffset val="100"/>
        <c:noMultiLvlLbl val="0"/>
      </c:catAx>
      <c:valAx>
        <c:axId val="171010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102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17</xdr:row>
      <xdr:rowOff>152400</xdr:rowOff>
    </xdr:from>
    <xdr:to>
      <xdr:col>12</xdr:col>
      <xdr:colOff>19050</xdr:colOff>
      <xdr:row>31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ABE6CA-5B05-12A7-F9A4-5595F23B03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workbookViewId="0">
      <selection activeCell="J5" sqref="J5"/>
    </sheetView>
  </sheetViews>
  <sheetFormatPr defaultColWidth="10.77734375" defaultRowHeight="15"/>
  <cols>
    <col min="1" max="1" width="10.77734375" style="1" customWidth="1"/>
    <col min="2" max="16384" width="10.77734375" style="1"/>
  </cols>
  <sheetData>
    <row r="1" spans="1:12">
      <c r="A1" s="1" t="s">
        <v>9</v>
      </c>
    </row>
    <row r="2" spans="1:12">
      <c r="A2" s="1" t="s">
        <v>8</v>
      </c>
      <c r="B2" s="1">
        <v>25000</v>
      </c>
    </row>
    <row r="3" spans="1:12" ht="30" customHeight="1">
      <c r="A3" s="5" t="s">
        <v>0</v>
      </c>
      <c r="B3" s="5"/>
      <c r="C3" s="2" t="s">
        <v>1</v>
      </c>
      <c r="D3" s="2" t="s">
        <v>5</v>
      </c>
      <c r="E3" s="1" t="s">
        <v>6</v>
      </c>
      <c r="F3" s="1" t="s">
        <v>7</v>
      </c>
      <c r="I3" s="1" t="s">
        <v>9</v>
      </c>
      <c r="L3" s="1" t="s">
        <v>10</v>
      </c>
    </row>
    <row r="4" spans="1:12">
      <c r="A4" s="1" t="s">
        <v>3</v>
      </c>
      <c r="B4" s="1" t="s">
        <v>2</v>
      </c>
      <c r="F4" s="3">
        <f>$E$5+$E$6+$E$7+$E$8</f>
        <v>110946.01000000001</v>
      </c>
      <c r="H4" s="3"/>
      <c r="I4" s="3">
        <f>$E$5+$E$6+$E$7+$E$8</f>
        <v>110946.01000000001</v>
      </c>
      <c r="J4" s="3"/>
      <c r="K4" s="3"/>
      <c r="L4" s="3">
        <f>$E$16+$E$17+$E$18+$E$19</f>
        <v>135946.01</v>
      </c>
    </row>
    <row r="5" spans="1:12">
      <c r="A5" s="1">
        <v>0</v>
      </c>
      <c r="B5" s="1">
        <v>49</v>
      </c>
      <c r="C5" s="3">
        <v>2.4700000000000002</v>
      </c>
      <c r="D5" s="1">
        <f>IF(B2&gt;B5, B5, B2)</f>
        <v>49</v>
      </c>
      <c r="E5" s="3">
        <f>D5*C5</f>
        <v>121.03000000000002</v>
      </c>
      <c r="H5" s="3">
        <v>45</v>
      </c>
      <c r="I5" s="1">
        <f t="dataTable" ref="I5:J15" dt2D="0" dtr="0" r1="B2"/>
        <v>111.15</v>
      </c>
      <c r="J5" s="1">
        <v>0</v>
      </c>
      <c r="K5" s="3">
        <v>45</v>
      </c>
      <c r="L5" s="1">
        <v>156.15</v>
      </c>
    </row>
    <row r="6" spans="1:12">
      <c r="A6" s="1">
        <v>50</v>
      </c>
      <c r="B6" s="1">
        <v>1999</v>
      </c>
      <c r="C6" s="3">
        <v>3.99</v>
      </c>
      <c r="D6" s="1">
        <f>IF(B2&lt;B6, B2-B5, B6-B5)</f>
        <v>1950</v>
      </c>
      <c r="E6" s="3">
        <f>IF(D6&gt;0, D6*C6, 0)</f>
        <v>7780.5</v>
      </c>
      <c r="H6" s="3">
        <v>46</v>
      </c>
      <c r="I6" s="1">
        <v>113.62</v>
      </c>
      <c r="J6" s="1">
        <v>0</v>
      </c>
      <c r="K6" s="3">
        <v>46</v>
      </c>
      <c r="L6" s="1">
        <v>159.62</v>
      </c>
    </row>
    <row r="7" spans="1:12">
      <c r="A7" s="1">
        <v>2000</v>
      </c>
      <c r="B7" s="1">
        <v>29999</v>
      </c>
      <c r="C7" s="3">
        <v>4.4800000000000004</v>
      </c>
      <c r="D7" s="1">
        <f>IF(B2&lt;B7, B2-B6, B7-B6)</f>
        <v>23001</v>
      </c>
      <c r="E7" s="3">
        <f>IF(D7&gt;0, D7*C7, 0)</f>
        <v>103044.48000000001</v>
      </c>
      <c r="H7" s="3">
        <v>47</v>
      </c>
      <c r="I7" s="1">
        <v>116.09</v>
      </c>
      <c r="J7" s="1">
        <v>0</v>
      </c>
      <c r="K7" s="3">
        <v>47</v>
      </c>
      <c r="L7" s="1">
        <v>163.09</v>
      </c>
    </row>
    <row r="8" spans="1:12">
      <c r="A8" s="1">
        <v>30000</v>
      </c>
      <c r="B8" s="1" t="s">
        <v>4</v>
      </c>
      <c r="C8" s="3">
        <v>5</v>
      </c>
      <c r="D8" s="1">
        <f>IF(B2&gt;B7, B2-B7, 0)</f>
        <v>0</v>
      </c>
      <c r="E8" s="1">
        <f>IF(D8&gt;0, D8*C8, 0)</f>
        <v>0</v>
      </c>
      <c r="H8" s="3">
        <v>48</v>
      </c>
      <c r="I8" s="1">
        <v>118.56</v>
      </c>
      <c r="J8" s="1">
        <v>0</v>
      </c>
      <c r="K8" s="3">
        <v>48</v>
      </c>
      <c r="L8" s="1">
        <v>166.56</v>
      </c>
    </row>
    <row r="9" spans="1:12">
      <c r="H9" s="3">
        <v>49</v>
      </c>
      <c r="I9" s="1">
        <v>121.03000000000002</v>
      </c>
      <c r="J9" s="1">
        <v>0</v>
      </c>
      <c r="K9" s="3">
        <v>49</v>
      </c>
      <c r="L9" s="1">
        <v>170.03</v>
      </c>
    </row>
    <row r="10" spans="1:12">
      <c r="H10" s="3">
        <v>50</v>
      </c>
      <c r="I10" s="1">
        <v>125.02000000000001</v>
      </c>
      <c r="J10" s="1">
        <v>0</v>
      </c>
      <c r="K10" s="3">
        <v>50</v>
      </c>
      <c r="L10" s="1">
        <v>175.02</v>
      </c>
    </row>
    <row r="11" spans="1:12">
      <c r="A11" s="2"/>
      <c r="B11" s="2"/>
      <c r="C11" s="2"/>
      <c r="H11" s="3">
        <v>51</v>
      </c>
      <c r="I11" s="1">
        <v>129.01000000000002</v>
      </c>
      <c r="J11" s="1">
        <v>0</v>
      </c>
      <c r="K11" s="3">
        <v>51</v>
      </c>
      <c r="L11" s="1">
        <v>180.01</v>
      </c>
    </row>
    <row r="12" spans="1:12">
      <c r="A12" s="1" t="s">
        <v>10</v>
      </c>
      <c r="H12" s="3">
        <v>52</v>
      </c>
      <c r="I12" s="1">
        <v>133.00000000000003</v>
      </c>
      <c r="J12" s="1">
        <v>0</v>
      </c>
      <c r="K12" s="3">
        <v>52</v>
      </c>
      <c r="L12" s="1">
        <v>185</v>
      </c>
    </row>
    <row r="13" spans="1:12">
      <c r="A13" s="1" t="s">
        <v>8</v>
      </c>
      <c r="B13" s="1">
        <v>25000</v>
      </c>
      <c r="H13" s="3">
        <v>53</v>
      </c>
      <c r="I13" s="1">
        <v>136.99</v>
      </c>
      <c r="J13" s="1">
        <v>0</v>
      </c>
      <c r="K13" s="3">
        <v>53</v>
      </c>
      <c r="L13" s="1">
        <v>189.99</v>
      </c>
    </row>
    <row r="14" spans="1:12" ht="30">
      <c r="A14" s="5" t="s">
        <v>0</v>
      </c>
      <c r="B14" s="5"/>
      <c r="C14" s="2" t="s">
        <v>1</v>
      </c>
      <c r="D14" s="2" t="s">
        <v>5</v>
      </c>
      <c r="E14" s="1" t="s">
        <v>6</v>
      </c>
      <c r="F14" s="1" t="s">
        <v>7</v>
      </c>
      <c r="H14" s="3">
        <v>54</v>
      </c>
      <c r="I14" s="1">
        <v>140.98000000000002</v>
      </c>
      <c r="J14" s="1">
        <v>0</v>
      </c>
      <c r="K14" s="3">
        <v>54</v>
      </c>
      <c r="L14" s="1">
        <v>194.98000000000002</v>
      </c>
    </row>
    <row r="15" spans="1:12">
      <c r="A15" s="1" t="s">
        <v>3</v>
      </c>
      <c r="B15" s="1" t="s">
        <v>2</v>
      </c>
      <c r="F15" s="3">
        <f>$E$16+$E$17+$E$18+$E$19</f>
        <v>135946.01</v>
      </c>
      <c r="H15" s="3">
        <v>55</v>
      </c>
      <c r="I15" s="1">
        <v>144.97000000000003</v>
      </c>
      <c r="J15" s="1">
        <v>0</v>
      </c>
      <c r="K15" s="3">
        <v>55</v>
      </c>
      <c r="L15" s="1">
        <v>199.97</v>
      </c>
    </row>
    <row r="16" spans="1:12">
      <c r="A16" s="1">
        <v>0</v>
      </c>
      <c r="B16" s="1">
        <v>49</v>
      </c>
      <c r="C16" s="3">
        <v>3.47</v>
      </c>
      <c r="D16" s="1">
        <f>IF(B13&gt;B16, B16, B13)</f>
        <v>49</v>
      </c>
      <c r="E16" s="3">
        <f>D16*C16</f>
        <v>170.03</v>
      </c>
    </row>
    <row r="17" spans="1:9">
      <c r="A17" s="1">
        <v>50</v>
      </c>
      <c r="B17" s="1">
        <v>1999</v>
      </c>
      <c r="C17" s="3">
        <v>4.99</v>
      </c>
      <c r="D17" s="1">
        <f>IF(B13&lt;B17, B13-B16, B17-B16)</f>
        <v>1950</v>
      </c>
      <c r="E17" s="3">
        <f>IF(D17&gt;0, D17*C17, 0)</f>
        <v>9730.5</v>
      </c>
    </row>
    <row r="18" spans="1:9">
      <c r="A18" s="1">
        <v>2000</v>
      </c>
      <c r="B18" s="1">
        <v>29999</v>
      </c>
      <c r="C18" s="3">
        <v>5.48</v>
      </c>
      <c r="D18" s="1">
        <f>IF(B13&lt;B18, B13-B17, B18-B17)</f>
        <v>23001</v>
      </c>
      <c r="E18" s="3">
        <f>IF(D18&gt;0, D18*C18, 0)</f>
        <v>126045.48000000001</v>
      </c>
      <c r="H18" s="3"/>
      <c r="I18" s="3"/>
    </row>
    <row r="19" spans="1:9" ht="15.75">
      <c r="A19" s="1">
        <v>30000</v>
      </c>
      <c r="B19" s="1" t="s">
        <v>4</v>
      </c>
      <c r="C19" s="3">
        <v>6</v>
      </c>
      <c r="D19" s="1">
        <f>IF(B13&gt;B18, B13-B18, 0)</f>
        <v>0</v>
      </c>
      <c r="E19" s="1">
        <f>IF(D19&gt;0, D19*C19, 0)</f>
        <v>0</v>
      </c>
      <c r="H19" s="3"/>
      <c r="I19"/>
    </row>
    <row r="20" spans="1:9" ht="15.75">
      <c r="A20" s="1" t="s">
        <v>13</v>
      </c>
      <c r="H20" s="3"/>
      <c r="I20"/>
    </row>
    <row r="21" spans="1:9" ht="15.75">
      <c r="A21" s="1" t="s">
        <v>8</v>
      </c>
      <c r="B21" s="1">
        <v>200</v>
      </c>
      <c r="H21" s="3"/>
      <c r="I21"/>
    </row>
    <row r="22" spans="1:9" ht="15.75">
      <c r="A22" s="1" t="s">
        <v>3</v>
      </c>
      <c r="B22" s="1" t="s">
        <v>2</v>
      </c>
      <c r="C22" s="1" t="s">
        <v>11</v>
      </c>
      <c r="D22" s="1" t="s">
        <v>12</v>
      </c>
      <c r="E22" s="1" t="s">
        <v>6</v>
      </c>
      <c r="F22" s="1" t="s">
        <v>7</v>
      </c>
      <c r="H22" s="3"/>
      <c r="I22"/>
    </row>
    <row r="23" spans="1:9" ht="15.75">
      <c r="A23" s="1">
        <v>0</v>
      </c>
      <c r="B23" s="1">
        <v>99</v>
      </c>
      <c r="C23" s="4">
        <v>0</v>
      </c>
      <c r="D23" s="1">
        <f>IF(B21&gt;B23, B23, B21)</f>
        <v>99</v>
      </c>
      <c r="E23" s="3">
        <f>D23*C23</f>
        <v>0</v>
      </c>
      <c r="F23" s="3">
        <f>E24+E23</f>
        <v>1010</v>
      </c>
      <c r="H23" s="3"/>
      <c r="I23"/>
    </row>
    <row r="24" spans="1:9" ht="15.75">
      <c r="A24" s="1">
        <v>100</v>
      </c>
      <c r="B24" s="1" t="s">
        <v>4</v>
      </c>
      <c r="C24" s="4">
        <v>10</v>
      </c>
      <c r="D24" s="1">
        <f>IF(B21&lt;B24, B21-B23, B24-B23)</f>
        <v>101</v>
      </c>
      <c r="E24" s="3">
        <f>IF(D24&gt;0, D24*C24, 0)</f>
        <v>1010</v>
      </c>
      <c r="H24" s="3"/>
      <c r="I24"/>
    </row>
    <row r="25" spans="1:9" ht="15.75">
      <c r="H25" s="3"/>
      <c r="I25"/>
    </row>
    <row r="26" spans="1:9" ht="15.75">
      <c r="H26" s="3"/>
      <c r="I26"/>
    </row>
    <row r="27" spans="1:9" ht="15.75">
      <c r="H27" s="3"/>
      <c r="I27"/>
    </row>
    <row r="28" spans="1:9" ht="15.75">
      <c r="H28" s="3"/>
      <c r="I28"/>
    </row>
    <row r="29" spans="1:9" ht="15.75">
      <c r="H29" s="3"/>
      <c r="I29"/>
    </row>
  </sheetData>
  <mergeCells count="2">
    <mergeCell ref="A3:B3"/>
    <mergeCell ref="A14:B14"/>
  </mergeCells>
  <dataValidations count="1">
    <dataValidation type="custom" showInputMessage="1" showErrorMessage="1" sqref="A985:E985" xr:uid="{00000000-0002-0000-0000-000000000000}">
      <formula1>IF(1,1,"WMDAU:1672945200")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Module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Brayden Jonason</dc:creator>
  <cp:lastModifiedBy>Brayden Jonason</cp:lastModifiedBy>
  <dcterms:created xsi:type="dcterms:W3CDTF">2023-01-05T12:00:00Z</dcterms:created>
  <dcterms:modified xsi:type="dcterms:W3CDTF">2026-04-04T22:56:36Z</dcterms:modified>
</cp:coreProperties>
</file>