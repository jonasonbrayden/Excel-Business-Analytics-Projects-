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ona\Downloads\"/>
    </mc:Choice>
  </mc:AlternateContent>
  <xr:revisionPtr revIDLastSave="0" documentId="8_{FC1FFEFB-8BA9-40EF-8061-5A24B759DA86}" xr6:coauthVersionLast="47" xr6:coauthVersionMax="47" xr10:uidLastSave="{00000000-0000-0000-0000-000000000000}"/>
  <bookViews>
    <workbookView xWindow="3855" yWindow="3855" windowWidth="21585" windowHeight="11370" xr2:uid="{00000000-000D-0000-FFFF-FFFF00000000}"/>
  </bookViews>
  <sheets>
    <sheet name="HTC 1" sheetId="1" r:id="rId1"/>
    <sheet name="HTC 2" sheetId="2" r:id="rId2"/>
    <sheet name="HTC 3" sheetId="6" r:id="rId3"/>
    <sheet name="Actual Tax" sheetId="3" r:id="rId4"/>
    <sheet name="Work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3" l="1"/>
  <c r="B31" i="3"/>
  <c r="B30" i="3"/>
  <c r="B28" i="3"/>
  <c r="C28" i="3" s="1"/>
  <c r="B24" i="3"/>
  <c r="C24" i="3" s="1"/>
  <c r="B23" i="3"/>
  <c r="C23" i="3" s="1"/>
  <c r="B20" i="3"/>
  <c r="C20" i="3" s="1"/>
  <c r="B21" i="3"/>
  <c r="C21" i="3" s="1"/>
  <c r="B22" i="3"/>
  <c r="C22" i="3" s="1"/>
  <c r="E19" i="3"/>
  <c r="B1" i="1"/>
  <c r="B6" i="1" s="1"/>
  <c r="B1" i="2"/>
  <c r="A18" i="6"/>
  <c r="A11" i="6"/>
  <c r="E10" i="6"/>
  <c r="D10" i="6"/>
  <c r="B4" i="6"/>
  <c r="B24" i="6" s="1"/>
  <c r="B27" i="6" s="1"/>
  <c r="B3" i="6"/>
  <c r="B1" i="6"/>
  <c r="B6" i="6" s="1"/>
  <c r="D11" i="6" s="1"/>
  <c r="E11" i="6" s="1"/>
  <c r="A18" i="2"/>
  <c r="A19" i="2"/>
  <c r="A20" i="2" s="1"/>
  <c r="A21" i="2" s="1"/>
  <c r="E10" i="2"/>
  <c r="D10" i="2"/>
  <c r="B15" i="4"/>
  <c r="D9" i="4"/>
  <c r="A9" i="4" a="1"/>
  <c r="A9" i="4" s="1"/>
  <c r="B6" i="4"/>
  <c r="A6" i="4"/>
  <c r="A16" i="3"/>
  <c r="A15" i="3"/>
  <c r="A14" i="3"/>
  <c r="A13" i="3"/>
  <c r="A12" i="3"/>
  <c r="A11" i="3"/>
  <c r="A11" i="2"/>
  <c r="B4" i="2"/>
  <c r="B24" i="2" s="1"/>
  <c r="B3" i="2"/>
  <c r="B4" i="1"/>
  <c r="B3" i="1"/>
  <c r="B25" i="3" l="1"/>
  <c r="C25" i="3" s="1"/>
  <c r="B26" i="6"/>
  <c r="B28" i="2"/>
  <c r="B21" i="2"/>
  <c r="C21" i="2" s="1"/>
  <c r="B6" i="2"/>
  <c r="D11" i="2" s="1"/>
  <c r="E11" i="2" s="1"/>
  <c r="B18" i="6"/>
  <c r="C18" i="6" s="1"/>
  <c r="B23" i="2"/>
  <c r="B18" i="2"/>
  <c r="C18" i="2" s="1"/>
  <c r="B26" i="2"/>
  <c r="B27" i="2" s="1"/>
  <c r="B21" i="6"/>
  <c r="B25" i="2"/>
  <c r="B23" i="6"/>
  <c r="B19" i="2"/>
  <c r="C19" i="2" s="1"/>
  <c r="B20" i="2"/>
  <c r="C20" i="2" s="1"/>
  <c r="D10" i="1"/>
  <c r="E10" i="1" s="1"/>
  <c r="F10" i="1" s="1"/>
  <c r="G10" i="1" s="1"/>
  <c r="A19" i="6"/>
  <c r="B9" i="4"/>
  <c r="B13" i="1" l="1"/>
  <c r="B19" i="6"/>
  <c r="C19" i="6" s="1"/>
  <c r="A20" i="6"/>
  <c r="C13" i="1"/>
  <c r="A21" i="6" l="1"/>
  <c r="C21" i="6" s="1"/>
  <c r="B20" i="6"/>
  <c r="C20" i="6" s="1"/>
</calcChain>
</file>

<file path=xl/sharedStrings.xml><?xml version="1.0" encoding="utf-8"?>
<sst xmlns="http://schemas.openxmlformats.org/spreadsheetml/2006/main" count="64" uniqueCount="26">
  <si>
    <t>Total Income</t>
  </si>
  <si>
    <t>Personal Exemption</t>
  </si>
  <si>
    <t>Standard Deduction</t>
  </si>
  <si>
    <t>Taxable Income</t>
  </si>
  <si>
    <t>Tax Brackets (for Taxable Income)</t>
  </si>
  <si>
    <t>Lower</t>
  </si>
  <si>
    <t>Upper</t>
  </si>
  <si>
    <t>Rate</t>
  </si>
  <si>
    <t>No limit</t>
  </si>
  <si>
    <t>$ in bracket</t>
  </si>
  <si>
    <t>Tax Per Bracket</t>
  </si>
  <si>
    <t>Total Tax</t>
  </si>
  <si>
    <t>x</t>
  </si>
  <si>
    <t>y</t>
  </si>
  <si>
    <t>Slope</t>
  </si>
  <si>
    <t>Intercept</t>
  </si>
  <si>
    <t>Slope and intercept with lines</t>
  </si>
  <si>
    <t>Equation</t>
  </si>
  <si>
    <t>Tax Owed</t>
  </si>
  <si>
    <t>Percent of total income</t>
  </si>
  <si>
    <t>Tax per bracket</t>
  </si>
  <si>
    <t>Money in Bracket</t>
  </si>
  <si>
    <t>Hypothetical Tax Code 2</t>
  </si>
  <si>
    <t>Taxes Owed</t>
  </si>
  <si>
    <t>Percent of Total Income Paid in Taxes</t>
  </si>
  <si>
    <t>Tax % of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</si>
</sst>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"/>
  </numFmts>
  <fonts count="6">
    <font>
      <sz val="12"/>
      <color theme="1"/>
      <name val="TimesNewRomanPSMT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NewRomanPSMT"/>
      <family val="2"/>
    </font>
    <font>
      <sz val="8"/>
      <name val="TimesNewRomanPSMT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1" applyFont="1"/>
    <xf numFmtId="9" fontId="2" fillId="0" borderId="0" xfId="1" applyNumberFormat="1" applyFont="1"/>
    <xf numFmtId="3" fontId="2" fillId="0" borderId="0" xfId="1" applyNumberFormat="1" applyFont="1"/>
    <xf numFmtId="0" fontId="2" fillId="0" borderId="0" xfId="1" applyFont="1" applyAlignment="1">
      <alignment horizontal="center"/>
    </xf>
    <xf numFmtId="6" fontId="2" fillId="0" borderId="0" xfId="1" applyNumberFormat="1" applyFont="1" applyAlignment="1">
      <alignment horizontal="center"/>
    </xf>
    <xf numFmtId="6" fontId="2" fillId="2" borderId="0" xfId="1" applyNumberFormat="1" applyFont="1" applyFill="1"/>
    <xf numFmtId="6" fontId="2" fillId="0" borderId="0" xfId="1" applyNumberFormat="1" applyFont="1"/>
    <xf numFmtId="0" fontId="2" fillId="0" borderId="0" xfId="1" applyFont="1" applyAlignment="1">
      <alignment horizontal="right"/>
    </xf>
    <xf numFmtId="164" fontId="2" fillId="0" borderId="0" xfId="1" applyNumberFormat="1" applyFont="1"/>
    <xf numFmtId="0" fontId="2" fillId="0" borderId="0" xfId="1" applyFont="1" applyAlignment="1">
      <alignment wrapText="1"/>
    </xf>
    <xf numFmtId="10" fontId="2" fillId="0" borderId="0" xfId="2" applyNumberFormat="1" applyFont="1"/>
    <xf numFmtId="10" fontId="2" fillId="0" borderId="0" xfId="1" applyNumberFormat="1" applyFont="1"/>
    <xf numFmtId="8" fontId="2" fillId="0" borderId="0" xfId="1" applyNumberFormat="1" applyFont="1"/>
    <xf numFmtId="0" fontId="2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center"/>
    </xf>
    <xf numFmtId="0" fontId="0" fillId="0" borderId="0" xfId="0" applyAlignment="1">
      <alignment horizontal="center" wrapTex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4"/>
  <sheetViews>
    <sheetView tabSelected="1" workbookViewId="0">
      <selection activeCell="B1" sqref="B1"/>
    </sheetView>
  </sheetViews>
  <sheetFormatPr defaultColWidth="8.77734375" defaultRowHeight="15.75"/>
  <cols>
    <col min="1" max="1" width="20.44140625" style="1" bestFit="1" customWidth="1"/>
    <col min="2" max="2" width="8.77734375" style="1" customWidth="1"/>
    <col min="3" max="3" width="17.77734375" style="1" bestFit="1" customWidth="1"/>
    <col min="4" max="6" width="8.77734375" style="1" customWidth="1"/>
    <col min="7" max="7" width="13.109375" style="1" customWidth="1"/>
    <col min="8" max="8" width="8.77734375" style="1" customWidth="1"/>
    <col min="9" max="16384" width="8.77734375" style="1"/>
  </cols>
  <sheetData>
    <row r="1" spans="1:7">
      <c r="A1" s="1" t="s">
        <v>0</v>
      </c>
      <c r="B1" s="7">
        <f>'Actual Tax'!B1</f>
        <v>47500</v>
      </c>
    </row>
    <row r="2" spans="1:7">
      <c r="B2" s="7"/>
    </row>
    <row r="3" spans="1:7">
      <c r="A3" s="1" t="s">
        <v>1</v>
      </c>
      <c r="B3" s="7">
        <f>'Actual Tax'!B3</f>
        <v>0</v>
      </c>
    </row>
    <row r="4" spans="1:7">
      <c r="A4" s="1" t="s">
        <v>2</v>
      </c>
      <c r="B4" s="7">
        <f>'Actual Tax'!B4</f>
        <v>12400</v>
      </c>
    </row>
    <row r="5" spans="1:7">
      <c r="B5" s="7"/>
    </row>
    <row r="6" spans="1:7">
      <c r="A6" s="1" t="s">
        <v>3</v>
      </c>
      <c r="B6" s="6">
        <f>MAX(B1-B3-B4,0)</f>
        <v>35100</v>
      </c>
    </row>
    <row r="8" spans="1:7">
      <c r="A8" s="15" t="s">
        <v>4</v>
      </c>
      <c r="B8" s="16"/>
      <c r="C8" s="16"/>
    </row>
    <row r="9" spans="1:7" ht="31.5">
      <c r="A9" s="4" t="s">
        <v>5</v>
      </c>
      <c r="B9" s="5" t="s">
        <v>6</v>
      </c>
      <c r="C9" s="4" t="s">
        <v>7</v>
      </c>
      <c r="D9" s="1" t="s">
        <v>9</v>
      </c>
      <c r="E9" s="10" t="s">
        <v>10</v>
      </c>
      <c r="F9" s="1" t="s">
        <v>11</v>
      </c>
      <c r="G9" s="10" t="s">
        <v>25</v>
      </c>
    </row>
    <row r="10" spans="1:7">
      <c r="A10" s="1">
        <v>0</v>
      </c>
      <c r="B10" s="3" t="s">
        <v>8</v>
      </c>
      <c r="C10" s="2">
        <v>0.25</v>
      </c>
      <c r="D10" s="7">
        <f>B6</f>
        <v>35100</v>
      </c>
      <c r="E10" s="7">
        <f>D10*C10</f>
        <v>8775</v>
      </c>
      <c r="F10" s="7">
        <f>E10</f>
        <v>8775</v>
      </c>
      <c r="G10" s="11">
        <f>F10/B1</f>
        <v>0.18473684210526317</v>
      </c>
    </row>
    <row r="11" spans="1:7">
      <c r="A11" s="3"/>
      <c r="B11" s="3"/>
      <c r="C11" s="2"/>
    </row>
    <row r="12" spans="1:7">
      <c r="A12" s="1" t="s">
        <v>0</v>
      </c>
      <c r="B12" s="1" t="s">
        <v>18</v>
      </c>
      <c r="C12" s="1" t="s">
        <v>19</v>
      </c>
    </row>
    <row r="13" spans="1:7">
      <c r="B13" s="7">
        <f>F10</f>
        <v>8775</v>
      </c>
      <c r="C13" s="12">
        <f>G10</f>
        <v>0.18473684210526317</v>
      </c>
    </row>
    <row r="14" spans="1:7">
      <c r="A14" s="1">
        <v>0</v>
      </c>
      <c r="B14" s="1">
        <f t="dataTable" ref="B14:C814" dt2D="0" dtr="0" r1="B1"/>
        <v>0</v>
      </c>
      <c r="C14" s="1" t="e">
        <v>#DIV/0!</v>
      </c>
    </row>
    <row r="15" spans="1:7">
      <c r="A15" s="1">
        <v>100</v>
      </c>
      <c r="B15" s="1">
        <v>0</v>
      </c>
      <c r="C15" s="1">
        <v>0</v>
      </c>
    </row>
    <row r="16" spans="1:7">
      <c r="A16" s="1">
        <v>200</v>
      </c>
      <c r="B16" s="1">
        <v>0</v>
      </c>
      <c r="C16" s="1">
        <v>0</v>
      </c>
    </row>
    <row r="17" spans="1:3">
      <c r="A17" s="1">
        <v>300</v>
      </c>
      <c r="B17" s="1">
        <v>0</v>
      </c>
      <c r="C17" s="1">
        <v>0</v>
      </c>
    </row>
    <row r="18" spans="1:3">
      <c r="A18" s="1">
        <v>400</v>
      </c>
      <c r="B18" s="1">
        <v>0</v>
      </c>
      <c r="C18" s="1">
        <v>0</v>
      </c>
    </row>
    <row r="19" spans="1:3">
      <c r="A19" s="1">
        <v>500</v>
      </c>
      <c r="B19" s="1">
        <v>0</v>
      </c>
      <c r="C19" s="1">
        <v>0</v>
      </c>
    </row>
    <row r="20" spans="1:3">
      <c r="A20" s="1">
        <v>600</v>
      </c>
      <c r="B20" s="1">
        <v>0</v>
      </c>
      <c r="C20" s="1">
        <v>0</v>
      </c>
    </row>
    <row r="21" spans="1:3">
      <c r="A21" s="1">
        <v>700</v>
      </c>
      <c r="B21" s="1">
        <v>0</v>
      </c>
      <c r="C21" s="1">
        <v>0</v>
      </c>
    </row>
    <row r="22" spans="1:3">
      <c r="A22" s="1">
        <v>800</v>
      </c>
      <c r="B22" s="1">
        <v>0</v>
      </c>
      <c r="C22" s="1">
        <v>0</v>
      </c>
    </row>
    <row r="23" spans="1:3">
      <c r="A23" s="1">
        <v>900</v>
      </c>
      <c r="B23" s="1">
        <v>0</v>
      </c>
      <c r="C23" s="1">
        <v>0</v>
      </c>
    </row>
    <row r="24" spans="1:3">
      <c r="A24" s="1">
        <v>1000</v>
      </c>
      <c r="B24" s="1">
        <v>0</v>
      </c>
      <c r="C24" s="1">
        <v>0</v>
      </c>
    </row>
    <row r="25" spans="1:3">
      <c r="A25" s="1">
        <v>1100</v>
      </c>
      <c r="B25" s="1">
        <v>0</v>
      </c>
      <c r="C25" s="1">
        <v>0</v>
      </c>
    </row>
    <row r="26" spans="1:3">
      <c r="A26" s="1">
        <v>1200</v>
      </c>
      <c r="B26" s="1">
        <v>0</v>
      </c>
      <c r="C26" s="1">
        <v>0</v>
      </c>
    </row>
    <row r="27" spans="1:3">
      <c r="A27" s="1">
        <v>1300</v>
      </c>
      <c r="B27" s="1">
        <v>0</v>
      </c>
      <c r="C27" s="1">
        <v>0</v>
      </c>
    </row>
    <row r="28" spans="1:3">
      <c r="A28" s="1">
        <v>1400</v>
      </c>
      <c r="B28" s="1">
        <v>0</v>
      </c>
      <c r="C28" s="1">
        <v>0</v>
      </c>
    </row>
    <row r="29" spans="1:3">
      <c r="A29" s="1">
        <v>1500</v>
      </c>
      <c r="B29" s="1">
        <v>0</v>
      </c>
      <c r="C29" s="1">
        <v>0</v>
      </c>
    </row>
    <row r="30" spans="1:3">
      <c r="A30" s="1">
        <v>1600</v>
      </c>
      <c r="B30" s="1">
        <v>0</v>
      </c>
      <c r="C30" s="1">
        <v>0</v>
      </c>
    </row>
    <row r="31" spans="1:3">
      <c r="A31" s="1">
        <v>1700</v>
      </c>
      <c r="B31" s="1">
        <v>0</v>
      </c>
      <c r="C31" s="1">
        <v>0</v>
      </c>
    </row>
    <row r="32" spans="1:3">
      <c r="A32" s="1">
        <v>1800</v>
      </c>
      <c r="B32" s="1">
        <v>0</v>
      </c>
      <c r="C32" s="1">
        <v>0</v>
      </c>
    </row>
    <row r="33" spans="1:3">
      <c r="A33" s="1">
        <v>1900</v>
      </c>
      <c r="B33" s="1">
        <v>0</v>
      </c>
      <c r="C33" s="1">
        <v>0</v>
      </c>
    </row>
    <row r="34" spans="1:3">
      <c r="A34" s="1">
        <v>2000</v>
      </c>
      <c r="B34" s="1">
        <v>0</v>
      </c>
      <c r="C34" s="1">
        <v>0</v>
      </c>
    </row>
    <row r="35" spans="1:3">
      <c r="A35" s="1">
        <v>2100</v>
      </c>
      <c r="B35" s="1">
        <v>0</v>
      </c>
      <c r="C35" s="1">
        <v>0</v>
      </c>
    </row>
    <row r="36" spans="1:3">
      <c r="A36" s="1">
        <v>2200</v>
      </c>
      <c r="B36" s="1">
        <v>0</v>
      </c>
      <c r="C36" s="1">
        <v>0</v>
      </c>
    </row>
    <row r="37" spans="1:3">
      <c r="A37" s="1">
        <v>2300</v>
      </c>
      <c r="B37" s="1">
        <v>0</v>
      </c>
      <c r="C37" s="1">
        <v>0</v>
      </c>
    </row>
    <row r="38" spans="1:3">
      <c r="A38" s="1">
        <v>2400</v>
      </c>
      <c r="B38" s="1">
        <v>0</v>
      </c>
      <c r="C38" s="1">
        <v>0</v>
      </c>
    </row>
    <row r="39" spans="1:3">
      <c r="A39" s="1">
        <v>2500</v>
      </c>
      <c r="B39" s="1">
        <v>0</v>
      </c>
      <c r="C39" s="1">
        <v>0</v>
      </c>
    </row>
    <row r="40" spans="1:3">
      <c r="A40" s="1">
        <v>2600</v>
      </c>
      <c r="B40" s="1">
        <v>0</v>
      </c>
      <c r="C40" s="1">
        <v>0</v>
      </c>
    </row>
    <row r="41" spans="1:3">
      <c r="A41" s="1">
        <v>2700</v>
      </c>
      <c r="B41" s="1">
        <v>0</v>
      </c>
      <c r="C41" s="1">
        <v>0</v>
      </c>
    </row>
    <row r="42" spans="1:3">
      <c r="A42" s="1">
        <v>2800</v>
      </c>
      <c r="B42" s="1">
        <v>0</v>
      </c>
      <c r="C42" s="1">
        <v>0</v>
      </c>
    </row>
    <row r="43" spans="1:3">
      <c r="A43" s="1">
        <v>2900</v>
      </c>
      <c r="B43" s="1">
        <v>0</v>
      </c>
      <c r="C43" s="1">
        <v>0</v>
      </c>
    </row>
    <row r="44" spans="1:3">
      <c r="A44" s="1">
        <v>3000</v>
      </c>
      <c r="B44" s="1">
        <v>0</v>
      </c>
      <c r="C44" s="1">
        <v>0</v>
      </c>
    </row>
    <row r="45" spans="1:3">
      <c r="A45" s="1">
        <v>3100</v>
      </c>
      <c r="B45" s="1">
        <v>0</v>
      </c>
      <c r="C45" s="1">
        <v>0</v>
      </c>
    </row>
    <row r="46" spans="1:3">
      <c r="A46" s="1">
        <v>3200</v>
      </c>
      <c r="B46" s="1">
        <v>0</v>
      </c>
      <c r="C46" s="1">
        <v>0</v>
      </c>
    </row>
    <row r="47" spans="1:3">
      <c r="A47" s="1">
        <v>3300</v>
      </c>
      <c r="B47" s="1">
        <v>0</v>
      </c>
      <c r="C47" s="1">
        <v>0</v>
      </c>
    </row>
    <row r="48" spans="1:3">
      <c r="A48" s="1">
        <v>3400</v>
      </c>
      <c r="B48" s="1">
        <v>0</v>
      </c>
      <c r="C48" s="1">
        <v>0</v>
      </c>
    </row>
    <row r="49" spans="1:3">
      <c r="A49" s="1">
        <v>3500</v>
      </c>
      <c r="B49" s="1">
        <v>0</v>
      </c>
      <c r="C49" s="1">
        <v>0</v>
      </c>
    </row>
    <row r="50" spans="1:3">
      <c r="A50" s="1">
        <v>3600</v>
      </c>
      <c r="B50" s="1">
        <v>0</v>
      </c>
      <c r="C50" s="1">
        <v>0</v>
      </c>
    </row>
    <row r="51" spans="1:3">
      <c r="A51" s="1">
        <v>3700</v>
      </c>
      <c r="B51" s="1">
        <v>0</v>
      </c>
      <c r="C51" s="1">
        <v>0</v>
      </c>
    </row>
    <row r="52" spans="1:3">
      <c r="A52" s="1">
        <v>3800</v>
      </c>
      <c r="B52" s="1">
        <v>0</v>
      </c>
      <c r="C52" s="1">
        <v>0</v>
      </c>
    </row>
    <row r="53" spans="1:3">
      <c r="A53" s="1">
        <v>3900</v>
      </c>
      <c r="B53" s="1">
        <v>0</v>
      </c>
      <c r="C53" s="1">
        <v>0</v>
      </c>
    </row>
    <row r="54" spans="1:3">
      <c r="A54" s="1">
        <v>4000</v>
      </c>
      <c r="B54" s="1">
        <v>0</v>
      </c>
      <c r="C54" s="1">
        <v>0</v>
      </c>
    </row>
    <row r="55" spans="1:3">
      <c r="A55" s="1">
        <v>4100</v>
      </c>
      <c r="B55" s="1">
        <v>0</v>
      </c>
      <c r="C55" s="1">
        <v>0</v>
      </c>
    </row>
    <row r="56" spans="1:3">
      <c r="A56" s="1">
        <v>4200</v>
      </c>
      <c r="B56" s="1">
        <v>0</v>
      </c>
      <c r="C56" s="1">
        <v>0</v>
      </c>
    </row>
    <row r="57" spans="1:3">
      <c r="A57" s="1">
        <v>4300</v>
      </c>
      <c r="B57" s="1">
        <v>0</v>
      </c>
      <c r="C57" s="1">
        <v>0</v>
      </c>
    </row>
    <row r="58" spans="1:3">
      <c r="A58" s="1">
        <v>4400</v>
      </c>
      <c r="B58" s="1">
        <v>0</v>
      </c>
      <c r="C58" s="1">
        <v>0</v>
      </c>
    </row>
    <row r="59" spans="1:3">
      <c r="A59" s="1">
        <v>4500</v>
      </c>
      <c r="B59" s="1">
        <v>0</v>
      </c>
      <c r="C59" s="1">
        <v>0</v>
      </c>
    </row>
    <row r="60" spans="1:3">
      <c r="A60" s="1">
        <v>4600</v>
      </c>
      <c r="B60" s="1">
        <v>0</v>
      </c>
      <c r="C60" s="1">
        <v>0</v>
      </c>
    </row>
    <row r="61" spans="1:3">
      <c r="A61" s="1">
        <v>4700</v>
      </c>
      <c r="B61" s="1">
        <v>0</v>
      </c>
      <c r="C61" s="1">
        <v>0</v>
      </c>
    </row>
    <row r="62" spans="1:3">
      <c r="A62" s="1">
        <v>4800</v>
      </c>
      <c r="B62" s="1">
        <v>0</v>
      </c>
      <c r="C62" s="1">
        <v>0</v>
      </c>
    </row>
    <row r="63" spans="1:3">
      <c r="A63" s="1">
        <v>4900</v>
      </c>
      <c r="B63" s="1">
        <v>0</v>
      </c>
      <c r="C63" s="1">
        <v>0</v>
      </c>
    </row>
    <row r="64" spans="1:3">
      <c r="A64" s="1">
        <v>5000</v>
      </c>
      <c r="B64" s="1">
        <v>0</v>
      </c>
      <c r="C64" s="1">
        <v>0</v>
      </c>
    </row>
    <row r="65" spans="1:3">
      <c r="A65" s="1">
        <v>5100</v>
      </c>
      <c r="B65" s="1">
        <v>0</v>
      </c>
      <c r="C65" s="1">
        <v>0</v>
      </c>
    </row>
    <row r="66" spans="1:3">
      <c r="A66" s="1">
        <v>5200</v>
      </c>
      <c r="B66" s="1">
        <v>0</v>
      </c>
      <c r="C66" s="1">
        <v>0</v>
      </c>
    </row>
    <row r="67" spans="1:3">
      <c r="A67" s="1">
        <v>5300</v>
      </c>
      <c r="B67" s="1">
        <v>0</v>
      </c>
      <c r="C67" s="1">
        <v>0</v>
      </c>
    </row>
    <row r="68" spans="1:3">
      <c r="A68" s="1">
        <v>5400</v>
      </c>
      <c r="B68" s="1">
        <v>0</v>
      </c>
      <c r="C68" s="1">
        <v>0</v>
      </c>
    </row>
    <row r="69" spans="1:3">
      <c r="A69" s="1">
        <v>5500</v>
      </c>
      <c r="B69" s="1">
        <v>0</v>
      </c>
      <c r="C69" s="1">
        <v>0</v>
      </c>
    </row>
    <row r="70" spans="1:3">
      <c r="A70" s="1">
        <v>5600</v>
      </c>
      <c r="B70" s="1">
        <v>0</v>
      </c>
      <c r="C70" s="1">
        <v>0</v>
      </c>
    </row>
    <row r="71" spans="1:3">
      <c r="A71" s="1">
        <v>5700</v>
      </c>
      <c r="B71" s="1">
        <v>0</v>
      </c>
      <c r="C71" s="1">
        <v>0</v>
      </c>
    </row>
    <row r="72" spans="1:3">
      <c r="A72" s="1">
        <v>5800</v>
      </c>
      <c r="B72" s="1">
        <v>0</v>
      </c>
      <c r="C72" s="1">
        <v>0</v>
      </c>
    </row>
    <row r="73" spans="1:3">
      <c r="A73" s="1">
        <v>5900</v>
      </c>
      <c r="B73" s="1">
        <v>0</v>
      </c>
      <c r="C73" s="1">
        <v>0</v>
      </c>
    </row>
    <row r="74" spans="1:3">
      <c r="A74" s="1">
        <v>6000</v>
      </c>
      <c r="B74" s="1">
        <v>0</v>
      </c>
      <c r="C74" s="1">
        <v>0</v>
      </c>
    </row>
    <row r="75" spans="1:3">
      <c r="A75" s="1">
        <v>6100</v>
      </c>
      <c r="B75" s="1">
        <v>0</v>
      </c>
      <c r="C75" s="1">
        <v>0</v>
      </c>
    </row>
    <row r="76" spans="1:3">
      <c r="A76" s="1">
        <v>6200</v>
      </c>
      <c r="B76" s="1">
        <v>0</v>
      </c>
      <c r="C76" s="1">
        <v>0</v>
      </c>
    </row>
    <row r="77" spans="1:3">
      <c r="A77" s="1">
        <v>6300</v>
      </c>
      <c r="B77" s="1">
        <v>0</v>
      </c>
      <c r="C77" s="1">
        <v>0</v>
      </c>
    </row>
    <row r="78" spans="1:3">
      <c r="A78" s="1">
        <v>6400</v>
      </c>
      <c r="B78" s="1">
        <v>0</v>
      </c>
      <c r="C78" s="1">
        <v>0</v>
      </c>
    </row>
    <row r="79" spans="1:3">
      <c r="A79" s="1">
        <v>6500</v>
      </c>
      <c r="B79" s="1">
        <v>0</v>
      </c>
      <c r="C79" s="1">
        <v>0</v>
      </c>
    </row>
    <row r="80" spans="1:3">
      <c r="A80" s="1">
        <v>6600</v>
      </c>
      <c r="B80" s="1">
        <v>0</v>
      </c>
      <c r="C80" s="1">
        <v>0</v>
      </c>
    </row>
    <row r="81" spans="1:3">
      <c r="A81" s="1">
        <v>6700</v>
      </c>
      <c r="B81" s="1">
        <v>0</v>
      </c>
      <c r="C81" s="1">
        <v>0</v>
      </c>
    </row>
    <row r="82" spans="1:3">
      <c r="A82" s="1">
        <v>6800</v>
      </c>
      <c r="B82" s="1">
        <v>0</v>
      </c>
      <c r="C82" s="1">
        <v>0</v>
      </c>
    </row>
    <row r="83" spans="1:3">
      <c r="A83" s="1">
        <v>6900</v>
      </c>
      <c r="B83" s="1">
        <v>0</v>
      </c>
      <c r="C83" s="1">
        <v>0</v>
      </c>
    </row>
    <row r="84" spans="1:3">
      <c r="A84" s="1">
        <v>7000</v>
      </c>
      <c r="B84" s="1">
        <v>0</v>
      </c>
      <c r="C84" s="1">
        <v>0</v>
      </c>
    </row>
    <row r="85" spans="1:3">
      <c r="A85" s="1">
        <v>7100</v>
      </c>
      <c r="B85" s="1">
        <v>0</v>
      </c>
      <c r="C85" s="1">
        <v>0</v>
      </c>
    </row>
    <row r="86" spans="1:3">
      <c r="A86" s="1">
        <v>7200</v>
      </c>
      <c r="B86" s="1">
        <v>0</v>
      </c>
      <c r="C86" s="1">
        <v>0</v>
      </c>
    </row>
    <row r="87" spans="1:3">
      <c r="A87" s="1">
        <v>7300</v>
      </c>
      <c r="B87" s="1">
        <v>0</v>
      </c>
      <c r="C87" s="1">
        <v>0</v>
      </c>
    </row>
    <row r="88" spans="1:3">
      <c r="A88" s="1">
        <v>7400</v>
      </c>
      <c r="B88" s="1">
        <v>0</v>
      </c>
      <c r="C88" s="1">
        <v>0</v>
      </c>
    </row>
    <row r="89" spans="1:3">
      <c r="A89" s="1">
        <v>7500</v>
      </c>
      <c r="B89" s="1">
        <v>0</v>
      </c>
      <c r="C89" s="1">
        <v>0</v>
      </c>
    </row>
    <row r="90" spans="1:3">
      <c r="A90" s="1">
        <v>7600</v>
      </c>
      <c r="B90" s="1">
        <v>0</v>
      </c>
      <c r="C90" s="1">
        <v>0</v>
      </c>
    </row>
    <row r="91" spans="1:3">
      <c r="A91" s="1">
        <v>7700</v>
      </c>
      <c r="B91" s="1">
        <v>0</v>
      </c>
      <c r="C91" s="1">
        <v>0</v>
      </c>
    </row>
    <row r="92" spans="1:3">
      <c r="A92" s="1">
        <v>7800</v>
      </c>
      <c r="B92" s="1">
        <v>0</v>
      </c>
      <c r="C92" s="1">
        <v>0</v>
      </c>
    </row>
    <row r="93" spans="1:3">
      <c r="A93" s="1">
        <v>7900</v>
      </c>
      <c r="B93" s="1">
        <v>0</v>
      </c>
      <c r="C93" s="1">
        <v>0</v>
      </c>
    </row>
    <row r="94" spans="1:3">
      <c r="A94" s="1">
        <v>8000</v>
      </c>
      <c r="B94" s="1">
        <v>0</v>
      </c>
      <c r="C94" s="1">
        <v>0</v>
      </c>
    </row>
    <row r="95" spans="1:3">
      <c r="A95" s="1">
        <v>8100</v>
      </c>
      <c r="B95" s="1">
        <v>0</v>
      </c>
      <c r="C95" s="1">
        <v>0</v>
      </c>
    </row>
    <row r="96" spans="1:3">
      <c r="A96" s="1">
        <v>8200</v>
      </c>
      <c r="B96" s="1">
        <v>0</v>
      </c>
      <c r="C96" s="1">
        <v>0</v>
      </c>
    </row>
    <row r="97" spans="1:3">
      <c r="A97" s="1">
        <v>8300</v>
      </c>
      <c r="B97" s="1">
        <v>0</v>
      </c>
      <c r="C97" s="1">
        <v>0</v>
      </c>
    </row>
    <row r="98" spans="1:3">
      <c r="A98" s="1">
        <v>8400</v>
      </c>
      <c r="B98" s="1">
        <v>0</v>
      </c>
      <c r="C98" s="1">
        <v>0</v>
      </c>
    </row>
    <row r="99" spans="1:3">
      <c r="A99" s="1">
        <v>8500</v>
      </c>
      <c r="B99" s="1">
        <v>0</v>
      </c>
      <c r="C99" s="1">
        <v>0</v>
      </c>
    </row>
    <row r="100" spans="1:3">
      <c r="A100" s="1">
        <v>8600</v>
      </c>
      <c r="B100" s="1">
        <v>0</v>
      </c>
      <c r="C100" s="1">
        <v>0</v>
      </c>
    </row>
    <row r="101" spans="1:3">
      <c r="A101" s="1">
        <v>8700</v>
      </c>
      <c r="B101" s="1">
        <v>0</v>
      </c>
      <c r="C101" s="1">
        <v>0</v>
      </c>
    </row>
    <row r="102" spans="1:3">
      <c r="A102" s="1">
        <v>8800</v>
      </c>
      <c r="B102" s="1">
        <v>0</v>
      </c>
      <c r="C102" s="1">
        <v>0</v>
      </c>
    </row>
    <row r="103" spans="1:3">
      <c r="A103" s="1">
        <v>8900</v>
      </c>
      <c r="B103" s="1">
        <v>0</v>
      </c>
      <c r="C103" s="1">
        <v>0</v>
      </c>
    </row>
    <row r="104" spans="1:3">
      <c r="A104" s="1">
        <v>9000</v>
      </c>
      <c r="B104" s="1">
        <v>0</v>
      </c>
      <c r="C104" s="1">
        <v>0</v>
      </c>
    </row>
    <row r="105" spans="1:3">
      <c r="A105" s="1">
        <v>9100</v>
      </c>
      <c r="B105" s="1">
        <v>0</v>
      </c>
      <c r="C105" s="1">
        <v>0</v>
      </c>
    </row>
    <row r="106" spans="1:3">
      <c r="A106" s="1">
        <v>9200</v>
      </c>
      <c r="B106" s="1">
        <v>0</v>
      </c>
      <c r="C106" s="1">
        <v>0</v>
      </c>
    </row>
    <row r="107" spans="1:3">
      <c r="A107" s="1">
        <v>9300</v>
      </c>
      <c r="B107" s="1">
        <v>0</v>
      </c>
      <c r="C107" s="1">
        <v>0</v>
      </c>
    </row>
    <row r="108" spans="1:3">
      <c r="A108" s="1">
        <v>9400</v>
      </c>
      <c r="B108" s="1">
        <v>0</v>
      </c>
      <c r="C108" s="1">
        <v>0</v>
      </c>
    </row>
    <row r="109" spans="1:3">
      <c r="A109" s="1">
        <v>9500</v>
      </c>
      <c r="B109" s="1">
        <v>0</v>
      </c>
      <c r="C109" s="1">
        <v>0</v>
      </c>
    </row>
    <row r="110" spans="1:3">
      <c r="A110" s="1">
        <v>9600</v>
      </c>
      <c r="B110" s="1">
        <v>0</v>
      </c>
      <c r="C110" s="1">
        <v>0</v>
      </c>
    </row>
    <row r="111" spans="1:3">
      <c r="A111" s="1">
        <v>9700</v>
      </c>
      <c r="B111" s="1">
        <v>0</v>
      </c>
      <c r="C111" s="1">
        <v>0</v>
      </c>
    </row>
    <row r="112" spans="1:3">
      <c r="A112" s="1">
        <v>9800</v>
      </c>
      <c r="B112" s="1">
        <v>0</v>
      </c>
      <c r="C112" s="1">
        <v>0</v>
      </c>
    </row>
    <row r="113" spans="1:3">
      <c r="A113" s="1">
        <v>9900</v>
      </c>
      <c r="B113" s="1">
        <v>0</v>
      </c>
      <c r="C113" s="1">
        <v>0</v>
      </c>
    </row>
    <row r="114" spans="1:3">
      <c r="A114" s="1">
        <v>10000</v>
      </c>
      <c r="B114" s="1">
        <v>0</v>
      </c>
      <c r="C114" s="1">
        <v>0</v>
      </c>
    </row>
    <row r="115" spans="1:3">
      <c r="A115" s="1">
        <v>10100</v>
      </c>
      <c r="B115" s="1">
        <v>0</v>
      </c>
      <c r="C115" s="1">
        <v>0</v>
      </c>
    </row>
    <row r="116" spans="1:3">
      <c r="A116" s="1">
        <v>10200</v>
      </c>
      <c r="B116" s="1">
        <v>0</v>
      </c>
      <c r="C116" s="1">
        <v>0</v>
      </c>
    </row>
    <row r="117" spans="1:3">
      <c r="A117" s="1">
        <v>10300</v>
      </c>
      <c r="B117" s="1">
        <v>0</v>
      </c>
      <c r="C117" s="1">
        <v>0</v>
      </c>
    </row>
    <row r="118" spans="1:3">
      <c r="A118" s="1">
        <v>10400</v>
      </c>
      <c r="B118" s="1">
        <v>0</v>
      </c>
      <c r="C118" s="1">
        <v>0</v>
      </c>
    </row>
    <row r="119" spans="1:3">
      <c r="A119" s="1">
        <v>10500</v>
      </c>
      <c r="B119" s="1">
        <v>0</v>
      </c>
      <c r="C119" s="1">
        <v>0</v>
      </c>
    </row>
    <row r="120" spans="1:3">
      <c r="A120" s="1">
        <v>10600</v>
      </c>
      <c r="B120" s="1">
        <v>0</v>
      </c>
      <c r="C120" s="1">
        <v>0</v>
      </c>
    </row>
    <row r="121" spans="1:3">
      <c r="A121" s="1">
        <v>10700</v>
      </c>
      <c r="B121" s="1">
        <v>0</v>
      </c>
      <c r="C121" s="1">
        <v>0</v>
      </c>
    </row>
    <row r="122" spans="1:3">
      <c r="A122" s="1">
        <v>10800</v>
      </c>
      <c r="B122" s="1">
        <v>0</v>
      </c>
      <c r="C122" s="1">
        <v>0</v>
      </c>
    </row>
    <row r="123" spans="1:3">
      <c r="A123" s="1">
        <v>10900</v>
      </c>
      <c r="B123" s="1">
        <v>0</v>
      </c>
      <c r="C123" s="1">
        <v>0</v>
      </c>
    </row>
    <row r="124" spans="1:3">
      <c r="A124" s="1">
        <v>11000</v>
      </c>
      <c r="B124" s="1">
        <v>0</v>
      </c>
      <c r="C124" s="1">
        <v>0</v>
      </c>
    </row>
    <row r="125" spans="1:3">
      <c r="A125" s="1">
        <v>11100</v>
      </c>
      <c r="B125" s="1">
        <v>0</v>
      </c>
      <c r="C125" s="1">
        <v>0</v>
      </c>
    </row>
    <row r="126" spans="1:3">
      <c r="A126" s="1">
        <v>11200</v>
      </c>
      <c r="B126" s="1">
        <v>0</v>
      </c>
      <c r="C126" s="1">
        <v>0</v>
      </c>
    </row>
    <row r="127" spans="1:3">
      <c r="A127" s="1">
        <v>11300</v>
      </c>
      <c r="B127" s="1">
        <v>0</v>
      </c>
      <c r="C127" s="1">
        <v>0</v>
      </c>
    </row>
    <row r="128" spans="1:3">
      <c r="A128" s="1">
        <v>11400</v>
      </c>
      <c r="B128" s="1">
        <v>0</v>
      </c>
      <c r="C128" s="1">
        <v>0</v>
      </c>
    </row>
    <row r="129" spans="1:3">
      <c r="A129" s="1">
        <v>11500</v>
      </c>
      <c r="B129" s="1">
        <v>0</v>
      </c>
      <c r="C129" s="1">
        <v>0</v>
      </c>
    </row>
    <row r="130" spans="1:3">
      <c r="A130" s="1">
        <v>11600</v>
      </c>
      <c r="B130" s="1">
        <v>0</v>
      </c>
      <c r="C130" s="1">
        <v>0</v>
      </c>
    </row>
    <row r="131" spans="1:3">
      <c r="A131" s="1">
        <v>11700</v>
      </c>
      <c r="B131" s="1">
        <v>0</v>
      </c>
      <c r="C131" s="1">
        <v>0</v>
      </c>
    </row>
    <row r="132" spans="1:3">
      <c r="A132" s="1">
        <v>11800</v>
      </c>
      <c r="B132" s="1">
        <v>0</v>
      </c>
      <c r="C132" s="1">
        <v>0</v>
      </c>
    </row>
    <row r="133" spans="1:3">
      <c r="A133" s="1">
        <v>11900</v>
      </c>
      <c r="B133" s="1">
        <v>0</v>
      </c>
      <c r="C133" s="1">
        <v>0</v>
      </c>
    </row>
    <row r="134" spans="1:3">
      <c r="A134" s="1">
        <v>12000</v>
      </c>
      <c r="B134" s="1">
        <v>0</v>
      </c>
      <c r="C134" s="1">
        <v>0</v>
      </c>
    </row>
    <row r="135" spans="1:3">
      <c r="A135" s="1">
        <v>12100</v>
      </c>
      <c r="B135" s="1">
        <v>0</v>
      </c>
      <c r="C135" s="1">
        <v>0</v>
      </c>
    </row>
    <row r="136" spans="1:3">
      <c r="A136" s="1">
        <v>12200</v>
      </c>
      <c r="B136" s="1">
        <v>0</v>
      </c>
      <c r="C136" s="1">
        <v>0</v>
      </c>
    </row>
    <row r="137" spans="1:3">
      <c r="A137" s="1">
        <v>12300</v>
      </c>
      <c r="B137" s="1">
        <v>0</v>
      </c>
      <c r="C137" s="1">
        <v>0</v>
      </c>
    </row>
    <row r="138" spans="1:3">
      <c r="A138" s="1">
        <v>12400</v>
      </c>
      <c r="B138" s="1">
        <v>0</v>
      </c>
      <c r="C138" s="1">
        <v>0</v>
      </c>
    </row>
    <row r="139" spans="1:3">
      <c r="A139" s="1">
        <v>12500</v>
      </c>
      <c r="B139" s="1">
        <v>25</v>
      </c>
      <c r="C139" s="1">
        <v>2E-3</v>
      </c>
    </row>
    <row r="140" spans="1:3">
      <c r="A140" s="1">
        <v>12600</v>
      </c>
      <c r="B140" s="1">
        <v>50</v>
      </c>
      <c r="C140" s="1">
        <v>3.968253968253968E-3</v>
      </c>
    </row>
    <row r="141" spans="1:3">
      <c r="A141" s="1">
        <v>12700</v>
      </c>
      <c r="B141" s="1">
        <v>75</v>
      </c>
      <c r="C141" s="1">
        <v>5.905511811023622E-3</v>
      </c>
    </row>
    <row r="142" spans="1:3">
      <c r="A142" s="1">
        <v>12800</v>
      </c>
      <c r="B142" s="1">
        <v>100</v>
      </c>
      <c r="C142" s="1">
        <v>7.8125E-3</v>
      </c>
    </row>
    <row r="143" spans="1:3">
      <c r="A143" s="1">
        <v>12900</v>
      </c>
      <c r="B143" s="1">
        <v>125</v>
      </c>
      <c r="C143" s="1">
        <v>9.6899224806201549E-3</v>
      </c>
    </row>
    <row r="144" spans="1:3">
      <c r="A144" s="1">
        <v>13000</v>
      </c>
      <c r="B144" s="1">
        <v>150</v>
      </c>
      <c r="C144" s="1">
        <v>1.1538461538461539E-2</v>
      </c>
    </row>
    <row r="145" spans="1:3">
      <c r="A145" s="1">
        <v>13100</v>
      </c>
      <c r="B145" s="1">
        <v>175</v>
      </c>
      <c r="C145" s="1">
        <v>1.3358778625954198E-2</v>
      </c>
    </row>
    <row r="146" spans="1:3">
      <c r="A146" s="1">
        <v>13200</v>
      </c>
      <c r="B146" s="1">
        <v>200</v>
      </c>
      <c r="C146" s="1">
        <v>1.5151515151515152E-2</v>
      </c>
    </row>
    <row r="147" spans="1:3">
      <c r="A147" s="1">
        <v>13300</v>
      </c>
      <c r="B147" s="1">
        <v>225</v>
      </c>
      <c r="C147" s="1">
        <v>1.6917293233082706E-2</v>
      </c>
    </row>
    <row r="148" spans="1:3">
      <c r="A148" s="1">
        <v>13400</v>
      </c>
      <c r="B148" s="1">
        <v>250</v>
      </c>
      <c r="C148" s="1">
        <v>1.8656716417910446E-2</v>
      </c>
    </row>
    <row r="149" spans="1:3">
      <c r="A149" s="1">
        <v>13500</v>
      </c>
      <c r="B149" s="1">
        <v>275</v>
      </c>
      <c r="C149" s="1">
        <v>2.0370370370370372E-2</v>
      </c>
    </row>
    <row r="150" spans="1:3">
      <c r="A150" s="1">
        <v>13600</v>
      </c>
      <c r="B150" s="1">
        <v>300</v>
      </c>
      <c r="C150" s="1">
        <v>2.2058823529411766E-2</v>
      </c>
    </row>
    <row r="151" spans="1:3">
      <c r="A151" s="1">
        <v>13700</v>
      </c>
      <c r="B151" s="1">
        <v>325</v>
      </c>
      <c r="C151" s="1">
        <v>2.3722627737226276E-2</v>
      </c>
    </row>
    <row r="152" spans="1:3">
      <c r="A152" s="1">
        <v>13800</v>
      </c>
      <c r="B152" s="1">
        <v>350</v>
      </c>
      <c r="C152" s="1">
        <v>2.5362318840579712E-2</v>
      </c>
    </row>
    <row r="153" spans="1:3">
      <c r="A153" s="1">
        <v>13900</v>
      </c>
      <c r="B153" s="1">
        <v>375</v>
      </c>
      <c r="C153" s="1">
        <v>2.6978417266187049E-2</v>
      </c>
    </row>
    <row r="154" spans="1:3">
      <c r="A154" s="1">
        <v>14000</v>
      </c>
      <c r="B154" s="1">
        <v>400</v>
      </c>
      <c r="C154" s="1">
        <v>2.8571428571428571E-2</v>
      </c>
    </row>
    <row r="155" spans="1:3">
      <c r="A155" s="1">
        <v>14100</v>
      </c>
      <c r="B155" s="1">
        <v>425</v>
      </c>
      <c r="C155" s="1">
        <v>3.0141843971631204E-2</v>
      </c>
    </row>
    <row r="156" spans="1:3">
      <c r="A156" s="1">
        <v>14200</v>
      </c>
      <c r="B156" s="1">
        <v>450</v>
      </c>
      <c r="C156" s="1">
        <v>3.1690140845070422E-2</v>
      </c>
    </row>
    <row r="157" spans="1:3">
      <c r="A157" s="1">
        <v>14300</v>
      </c>
      <c r="B157" s="1">
        <v>475</v>
      </c>
      <c r="C157" s="1">
        <v>3.3216783216783216E-2</v>
      </c>
    </row>
    <row r="158" spans="1:3">
      <c r="A158" s="1">
        <v>14400</v>
      </c>
      <c r="B158" s="1">
        <v>500</v>
      </c>
      <c r="C158" s="1">
        <v>3.4722222222222224E-2</v>
      </c>
    </row>
    <row r="159" spans="1:3">
      <c r="A159" s="1">
        <v>14500</v>
      </c>
      <c r="B159" s="1">
        <v>525</v>
      </c>
      <c r="C159" s="1">
        <v>3.6206896551724141E-2</v>
      </c>
    </row>
    <row r="160" spans="1:3">
      <c r="A160" s="1">
        <v>14600</v>
      </c>
      <c r="B160" s="1">
        <v>550</v>
      </c>
      <c r="C160" s="1">
        <v>3.7671232876712327E-2</v>
      </c>
    </row>
    <row r="161" spans="1:3">
      <c r="A161" s="1">
        <v>14700</v>
      </c>
      <c r="B161" s="1">
        <v>575</v>
      </c>
      <c r="C161" s="1">
        <v>3.9115646258503403E-2</v>
      </c>
    </row>
    <row r="162" spans="1:3">
      <c r="A162" s="1">
        <v>14800</v>
      </c>
      <c r="B162" s="1">
        <v>600</v>
      </c>
      <c r="C162" s="1">
        <v>4.0540540540540543E-2</v>
      </c>
    </row>
    <row r="163" spans="1:3">
      <c r="A163" s="1">
        <v>14900</v>
      </c>
      <c r="B163" s="1">
        <v>625</v>
      </c>
      <c r="C163" s="1">
        <v>4.1946308724832217E-2</v>
      </c>
    </row>
    <row r="164" spans="1:3">
      <c r="A164" s="1">
        <v>15000</v>
      </c>
      <c r="B164" s="1">
        <v>650</v>
      </c>
      <c r="C164" s="1">
        <v>4.3333333333333335E-2</v>
      </c>
    </row>
    <row r="165" spans="1:3">
      <c r="A165" s="1">
        <v>15100</v>
      </c>
      <c r="B165" s="1">
        <v>675</v>
      </c>
      <c r="C165" s="1">
        <v>4.4701986754966887E-2</v>
      </c>
    </row>
    <row r="166" spans="1:3">
      <c r="A166" s="1">
        <v>15200</v>
      </c>
      <c r="B166" s="1">
        <v>700</v>
      </c>
      <c r="C166" s="1">
        <v>4.6052631578947366E-2</v>
      </c>
    </row>
    <row r="167" spans="1:3">
      <c r="A167" s="1">
        <v>15300</v>
      </c>
      <c r="B167" s="1">
        <v>725</v>
      </c>
      <c r="C167" s="1">
        <v>4.7385620915032678E-2</v>
      </c>
    </row>
    <row r="168" spans="1:3">
      <c r="A168" s="1">
        <v>15400</v>
      </c>
      <c r="B168" s="1">
        <v>750</v>
      </c>
      <c r="C168" s="1">
        <v>4.8701298701298704E-2</v>
      </c>
    </row>
    <row r="169" spans="1:3">
      <c r="A169" s="1">
        <v>15500</v>
      </c>
      <c r="B169" s="1">
        <v>775</v>
      </c>
      <c r="C169" s="1">
        <v>0.05</v>
      </c>
    </row>
    <row r="170" spans="1:3">
      <c r="A170" s="1">
        <v>15600</v>
      </c>
      <c r="B170" s="1">
        <v>800</v>
      </c>
      <c r="C170" s="1">
        <v>5.128205128205128E-2</v>
      </c>
    </row>
    <row r="171" spans="1:3">
      <c r="A171" s="1">
        <v>15700</v>
      </c>
      <c r="B171" s="1">
        <v>825</v>
      </c>
      <c r="C171" s="1">
        <v>5.2547770700636945E-2</v>
      </c>
    </row>
    <row r="172" spans="1:3">
      <c r="A172" s="1">
        <v>15800</v>
      </c>
      <c r="B172" s="1">
        <v>850</v>
      </c>
      <c r="C172" s="1">
        <v>5.3797468354430382E-2</v>
      </c>
    </row>
    <row r="173" spans="1:3">
      <c r="A173" s="1">
        <v>15900</v>
      </c>
      <c r="B173" s="1">
        <v>875</v>
      </c>
      <c r="C173" s="1">
        <v>5.5031446540880505E-2</v>
      </c>
    </row>
    <row r="174" spans="1:3">
      <c r="A174" s="1">
        <v>16000</v>
      </c>
      <c r="B174" s="1">
        <v>900</v>
      </c>
      <c r="C174" s="1">
        <v>5.6250000000000001E-2</v>
      </c>
    </row>
    <row r="175" spans="1:3">
      <c r="A175" s="1">
        <v>16100</v>
      </c>
      <c r="B175" s="1">
        <v>925</v>
      </c>
      <c r="C175" s="1">
        <v>5.745341614906832E-2</v>
      </c>
    </row>
    <row r="176" spans="1:3">
      <c r="A176" s="1">
        <v>16200</v>
      </c>
      <c r="B176" s="1">
        <v>950</v>
      </c>
      <c r="C176" s="1">
        <v>5.8641975308641972E-2</v>
      </c>
    </row>
    <row r="177" spans="1:3">
      <c r="A177" s="1">
        <v>16300</v>
      </c>
      <c r="B177" s="1">
        <v>975</v>
      </c>
      <c r="C177" s="1">
        <v>5.98159509202454E-2</v>
      </c>
    </row>
    <row r="178" spans="1:3">
      <c r="A178" s="1">
        <v>16400</v>
      </c>
      <c r="B178" s="1">
        <v>1000</v>
      </c>
      <c r="C178" s="1">
        <v>6.097560975609756E-2</v>
      </c>
    </row>
    <row r="179" spans="1:3">
      <c r="A179" s="1">
        <v>16500</v>
      </c>
      <c r="B179" s="1">
        <v>1025</v>
      </c>
      <c r="C179" s="1">
        <v>6.2121212121212119E-2</v>
      </c>
    </row>
    <row r="180" spans="1:3">
      <c r="A180" s="1">
        <v>16600</v>
      </c>
      <c r="B180" s="1">
        <v>1050</v>
      </c>
      <c r="C180" s="1">
        <v>6.3253012048192767E-2</v>
      </c>
    </row>
    <row r="181" spans="1:3">
      <c r="A181" s="1">
        <v>16700</v>
      </c>
      <c r="B181" s="1">
        <v>1075</v>
      </c>
      <c r="C181" s="1">
        <v>6.4371257485029934E-2</v>
      </c>
    </row>
    <row r="182" spans="1:3">
      <c r="A182" s="1">
        <v>16800</v>
      </c>
      <c r="B182" s="1">
        <v>1100</v>
      </c>
      <c r="C182" s="1">
        <v>6.5476190476190479E-2</v>
      </c>
    </row>
    <row r="183" spans="1:3">
      <c r="A183" s="1">
        <v>16900</v>
      </c>
      <c r="B183" s="1">
        <v>1125</v>
      </c>
      <c r="C183" s="1">
        <v>6.6568047337278113E-2</v>
      </c>
    </row>
    <row r="184" spans="1:3">
      <c r="A184" s="1">
        <v>17000</v>
      </c>
      <c r="B184" s="1">
        <v>1150</v>
      </c>
      <c r="C184" s="1">
        <v>6.7647058823529407E-2</v>
      </c>
    </row>
    <row r="185" spans="1:3">
      <c r="A185" s="1">
        <v>17100</v>
      </c>
      <c r="B185" s="1">
        <v>1175</v>
      </c>
      <c r="C185" s="1">
        <v>6.8713450292397657E-2</v>
      </c>
    </row>
    <row r="186" spans="1:3">
      <c r="A186" s="1">
        <v>17200</v>
      </c>
      <c r="B186" s="1">
        <v>1200</v>
      </c>
      <c r="C186" s="1">
        <v>6.9767441860465115E-2</v>
      </c>
    </row>
    <row r="187" spans="1:3">
      <c r="A187" s="1">
        <v>17300</v>
      </c>
      <c r="B187" s="1">
        <v>1225</v>
      </c>
      <c r="C187" s="1">
        <v>7.0809248554913301E-2</v>
      </c>
    </row>
    <row r="188" spans="1:3">
      <c r="A188" s="1">
        <v>17400</v>
      </c>
      <c r="B188" s="1">
        <v>1250</v>
      </c>
      <c r="C188" s="1">
        <v>7.183908045977011E-2</v>
      </c>
    </row>
    <row r="189" spans="1:3">
      <c r="A189" s="1">
        <v>17500</v>
      </c>
      <c r="B189" s="1">
        <v>1275</v>
      </c>
      <c r="C189" s="1">
        <v>7.2857142857142856E-2</v>
      </c>
    </row>
    <row r="190" spans="1:3">
      <c r="A190" s="1">
        <v>17600</v>
      </c>
      <c r="B190" s="1">
        <v>1300</v>
      </c>
      <c r="C190" s="1">
        <v>7.3863636363636367E-2</v>
      </c>
    </row>
    <row r="191" spans="1:3">
      <c r="A191" s="1">
        <v>17700</v>
      </c>
      <c r="B191" s="1">
        <v>1325</v>
      </c>
      <c r="C191" s="1">
        <v>7.4858757062146897E-2</v>
      </c>
    </row>
    <row r="192" spans="1:3">
      <c r="A192" s="1">
        <v>17800</v>
      </c>
      <c r="B192" s="1">
        <v>1350</v>
      </c>
      <c r="C192" s="1">
        <v>7.5842696629213488E-2</v>
      </c>
    </row>
    <row r="193" spans="1:3">
      <c r="A193" s="1">
        <v>17900</v>
      </c>
      <c r="B193" s="1">
        <v>1375</v>
      </c>
      <c r="C193" s="1">
        <v>7.6815642458100561E-2</v>
      </c>
    </row>
    <row r="194" spans="1:3">
      <c r="A194" s="1">
        <v>18000</v>
      </c>
      <c r="B194" s="1">
        <v>1400</v>
      </c>
      <c r="C194" s="1">
        <v>7.7777777777777779E-2</v>
      </c>
    </row>
    <row r="195" spans="1:3">
      <c r="A195" s="1">
        <v>18100</v>
      </c>
      <c r="B195" s="1">
        <v>1425</v>
      </c>
      <c r="C195" s="1">
        <v>7.8729281767955794E-2</v>
      </c>
    </row>
    <row r="196" spans="1:3">
      <c r="A196" s="1">
        <v>18200</v>
      </c>
      <c r="B196" s="1">
        <v>1450</v>
      </c>
      <c r="C196" s="1">
        <v>7.9670329670329665E-2</v>
      </c>
    </row>
    <row r="197" spans="1:3">
      <c r="A197" s="1">
        <v>18300</v>
      </c>
      <c r="B197" s="1">
        <v>1475</v>
      </c>
      <c r="C197" s="1">
        <v>8.060109289617487E-2</v>
      </c>
    </row>
    <row r="198" spans="1:3">
      <c r="A198" s="1">
        <v>18400</v>
      </c>
      <c r="B198" s="1">
        <v>1500</v>
      </c>
      <c r="C198" s="1">
        <v>8.1521739130434784E-2</v>
      </c>
    </row>
    <row r="199" spans="1:3">
      <c r="A199" s="1">
        <v>18500</v>
      </c>
      <c r="B199" s="1">
        <v>1525</v>
      </c>
      <c r="C199" s="1">
        <v>8.2432432432432437E-2</v>
      </c>
    </row>
    <row r="200" spans="1:3">
      <c r="A200" s="1">
        <v>18600</v>
      </c>
      <c r="B200" s="1">
        <v>1550</v>
      </c>
      <c r="C200" s="1">
        <v>8.3333333333333329E-2</v>
      </c>
    </row>
    <row r="201" spans="1:3">
      <c r="A201" s="1">
        <v>18700</v>
      </c>
      <c r="B201" s="1">
        <v>1575</v>
      </c>
      <c r="C201" s="1">
        <v>8.4224598930481287E-2</v>
      </c>
    </row>
    <row r="202" spans="1:3">
      <c r="A202" s="1">
        <v>18800</v>
      </c>
      <c r="B202" s="1">
        <v>1600</v>
      </c>
      <c r="C202" s="1">
        <v>8.5106382978723402E-2</v>
      </c>
    </row>
    <row r="203" spans="1:3">
      <c r="A203" s="1">
        <v>18900</v>
      </c>
      <c r="B203" s="1">
        <v>1625</v>
      </c>
      <c r="C203" s="1">
        <v>8.5978835978835974E-2</v>
      </c>
    </row>
    <row r="204" spans="1:3">
      <c r="A204" s="1">
        <v>19000</v>
      </c>
      <c r="B204" s="1">
        <v>1650</v>
      </c>
      <c r="C204" s="1">
        <v>8.6842105263157901E-2</v>
      </c>
    </row>
    <row r="205" spans="1:3">
      <c r="A205" s="1">
        <v>19100</v>
      </c>
      <c r="B205" s="1">
        <v>1675</v>
      </c>
      <c r="C205" s="1">
        <v>8.7696335078534027E-2</v>
      </c>
    </row>
    <row r="206" spans="1:3">
      <c r="A206" s="1">
        <v>19200</v>
      </c>
      <c r="B206" s="1">
        <v>1700</v>
      </c>
      <c r="C206" s="1">
        <v>8.8541666666666671E-2</v>
      </c>
    </row>
    <row r="207" spans="1:3">
      <c r="A207" s="1">
        <v>19300</v>
      </c>
      <c r="B207" s="1">
        <v>1725</v>
      </c>
      <c r="C207" s="1">
        <v>8.937823834196891E-2</v>
      </c>
    </row>
    <row r="208" spans="1:3">
      <c r="A208" s="1">
        <v>19400</v>
      </c>
      <c r="B208" s="1">
        <v>1750</v>
      </c>
      <c r="C208" s="1">
        <v>9.0206185567010308E-2</v>
      </c>
    </row>
    <row r="209" spans="1:3">
      <c r="A209" s="1">
        <v>19500</v>
      </c>
      <c r="B209" s="1">
        <v>1775</v>
      </c>
      <c r="C209" s="1">
        <v>9.1025641025641021E-2</v>
      </c>
    </row>
    <row r="210" spans="1:3">
      <c r="A210" s="1">
        <v>19600</v>
      </c>
      <c r="B210" s="1">
        <v>1800</v>
      </c>
      <c r="C210" s="1">
        <v>9.1836734693877556E-2</v>
      </c>
    </row>
    <row r="211" spans="1:3">
      <c r="A211" s="1">
        <v>19700</v>
      </c>
      <c r="B211" s="1">
        <v>1825</v>
      </c>
      <c r="C211" s="1">
        <v>9.2639593908629442E-2</v>
      </c>
    </row>
    <row r="212" spans="1:3">
      <c r="A212" s="1">
        <v>19800</v>
      </c>
      <c r="B212" s="1">
        <v>1850</v>
      </c>
      <c r="C212" s="1">
        <v>9.3434343434343439E-2</v>
      </c>
    </row>
    <row r="213" spans="1:3">
      <c r="A213" s="1">
        <v>19900</v>
      </c>
      <c r="B213" s="1">
        <v>1875</v>
      </c>
      <c r="C213" s="1">
        <v>9.4221105527638196E-2</v>
      </c>
    </row>
    <row r="214" spans="1:3">
      <c r="A214" s="1">
        <v>20000</v>
      </c>
      <c r="B214" s="1">
        <v>1900</v>
      </c>
      <c r="C214" s="1">
        <v>9.5000000000000001E-2</v>
      </c>
    </row>
    <row r="215" spans="1:3">
      <c r="A215" s="1">
        <v>20100</v>
      </c>
      <c r="B215" s="1">
        <v>1925</v>
      </c>
      <c r="C215" s="1">
        <v>9.5771144278606959E-2</v>
      </c>
    </row>
    <row r="216" spans="1:3">
      <c r="A216" s="1">
        <v>20200</v>
      </c>
      <c r="B216" s="1">
        <v>1950</v>
      </c>
      <c r="C216" s="1">
        <v>9.6534653465346537E-2</v>
      </c>
    </row>
    <row r="217" spans="1:3">
      <c r="A217" s="1">
        <v>20300</v>
      </c>
      <c r="B217" s="1">
        <v>1975</v>
      </c>
      <c r="C217" s="1">
        <v>9.7290640394088676E-2</v>
      </c>
    </row>
    <row r="218" spans="1:3">
      <c r="A218" s="1">
        <v>20400</v>
      </c>
      <c r="B218" s="1">
        <v>2000</v>
      </c>
      <c r="C218" s="1">
        <v>9.8039215686274508E-2</v>
      </c>
    </row>
    <row r="219" spans="1:3">
      <c r="A219" s="1">
        <v>20500</v>
      </c>
      <c r="B219" s="1">
        <v>2025</v>
      </c>
      <c r="C219" s="1">
        <v>9.8780487804878053E-2</v>
      </c>
    </row>
    <row r="220" spans="1:3">
      <c r="A220" s="1">
        <v>20600</v>
      </c>
      <c r="B220" s="1">
        <v>2050</v>
      </c>
      <c r="C220" s="1">
        <v>9.9514563106796114E-2</v>
      </c>
    </row>
    <row r="221" spans="1:3">
      <c r="A221" s="1">
        <v>20700</v>
      </c>
      <c r="B221" s="1">
        <v>2075</v>
      </c>
      <c r="C221" s="1">
        <v>0.10024154589371981</v>
      </c>
    </row>
    <row r="222" spans="1:3">
      <c r="A222" s="1">
        <v>20800</v>
      </c>
      <c r="B222" s="1">
        <v>2100</v>
      </c>
      <c r="C222" s="1">
        <v>0.10096153846153846</v>
      </c>
    </row>
    <row r="223" spans="1:3">
      <c r="A223" s="1">
        <v>20900</v>
      </c>
      <c r="B223" s="1">
        <v>2125</v>
      </c>
      <c r="C223" s="1">
        <v>0.10167464114832536</v>
      </c>
    </row>
    <row r="224" spans="1:3">
      <c r="A224" s="1">
        <v>21000</v>
      </c>
      <c r="B224" s="1">
        <v>2150</v>
      </c>
      <c r="C224" s="1">
        <v>0.10238095238095238</v>
      </c>
    </row>
    <row r="225" spans="1:3">
      <c r="A225" s="1">
        <v>21100</v>
      </c>
      <c r="B225" s="1">
        <v>2175</v>
      </c>
      <c r="C225" s="1">
        <v>0.10308056872037914</v>
      </c>
    </row>
    <row r="226" spans="1:3">
      <c r="A226" s="1">
        <v>21200</v>
      </c>
      <c r="B226" s="1">
        <v>2200</v>
      </c>
      <c r="C226" s="1">
        <v>0.10377358490566038</v>
      </c>
    </row>
    <row r="227" spans="1:3">
      <c r="A227" s="1">
        <v>21300</v>
      </c>
      <c r="B227" s="1">
        <v>2225</v>
      </c>
      <c r="C227" s="1">
        <v>0.10446009389671361</v>
      </c>
    </row>
    <row r="228" spans="1:3">
      <c r="A228" s="1">
        <v>21400</v>
      </c>
      <c r="B228" s="1">
        <v>2250</v>
      </c>
      <c r="C228" s="1">
        <v>0.10514018691588785</v>
      </c>
    </row>
    <row r="229" spans="1:3">
      <c r="A229" s="1">
        <v>21500</v>
      </c>
      <c r="B229" s="1">
        <v>2275</v>
      </c>
      <c r="C229" s="1">
        <v>0.1058139534883721</v>
      </c>
    </row>
    <row r="230" spans="1:3">
      <c r="A230" s="1">
        <v>21600</v>
      </c>
      <c r="B230" s="1">
        <v>2300</v>
      </c>
      <c r="C230" s="1">
        <v>0.10648148148148148</v>
      </c>
    </row>
    <row r="231" spans="1:3">
      <c r="A231" s="1">
        <v>21700</v>
      </c>
      <c r="B231" s="1">
        <v>2325</v>
      </c>
      <c r="C231" s="1">
        <v>0.10714285714285714</v>
      </c>
    </row>
    <row r="232" spans="1:3">
      <c r="A232" s="1">
        <v>21800</v>
      </c>
      <c r="B232" s="1">
        <v>2350</v>
      </c>
      <c r="C232" s="1">
        <v>0.10779816513761468</v>
      </c>
    </row>
    <row r="233" spans="1:3">
      <c r="A233" s="1">
        <v>21900</v>
      </c>
      <c r="B233" s="1">
        <v>2375</v>
      </c>
      <c r="C233" s="1">
        <v>0.10844748858447488</v>
      </c>
    </row>
    <row r="234" spans="1:3">
      <c r="A234" s="1">
        <v>22000</v>
      </c>
      <c r="B234" s="1">
        <v>2400</v>
      </c>
      <c r="C234" s="1">
        <v>0.10909090909090909</v>
      </c>
    </row>
    <row r="235" spans="1:3">
      <c r="A235" s="1">
        <v>22100</v>
      </c>
      <c r="B235" s="1">
        <v>2425</v>
      </c>
      <c r="C235" s="1">
        <v>0.10972850678733032</v>
      </c>
    </row>
    <row r="236" spans="1:3">
      <c r="A236" s="1">
        <v>22200</v>
      </c>
      <c r="B236" s="1">
        <v>2450</v>
      </c>
      <c r="C236" s="1">
        <v>0.11036036036036036</v>
      </c>
    </row>
    <row r="237" spans="1:3">
      <c r="A237" s="1">
        <v>22300</v>
      </c>
      <c r="B237" s="1">
        <v>2475</v>
      </c>
      <c r="C237" s="1">
        <v>0.11098654708520179</v>
      </c>
    </row>
    <row r="238" spans="1:3">
      <c r="A238" s="1">
        <v>22400</v>
      </c>
      <c r="B238" s="1">
        <v>2500</v>
      </c>
      <c r="C238" s="1">
        <v>0.11160714285714286</v>
      </c>
    </row>
    <row r="239" spans="1:3">
      <c r="A239" s="1">
        <v>22500</v>
      </c>
      <c r="B239" s="1">
        <v>2525</v>
      </c>
      <c r="C239" s="1">
        <v>0.11222222222222222</v>
      </c>
    </row>
    <row r="240" spans="1:3">
      <c r="A240" s="1">
        <v>22600</v>
      </c>
      <c r="B240" s="1">
        <v>2550</v>
      </c>
      <c r="C240" s="1">
        <v>0.11283185840707964</v>
      </c>
    </row>
    <row r="241" spans="1:3">
      <c r="A241" s="1">
        <v>22700</v>
      </c>
      <c r="B241" s="1">
        <v>2575</v>
      </c>
      <c r="C241" s="1">
        <v>0.11343612334801761</v>
      </c>
    </row>
    <row r="242" spans="1:3">
      <c r="A242" s="1">
        <v>22800</v>
      </c>
      <c r="B242" s="1">
        <v>2600</v>
      </c>
      <c r="C242" s="1">
        <v>0.11403508771929824</v>
      </c>
    </row>
    <row r="243" spans="1:3">
      <c r="A243" s="1">
        <v>22900</v>
      </c>
      <c r="B243" s="1">
        <v>2625</v>
      </c>
      <c r="C243" s="1">
        <v>0.11462882096069869</v>
      </c>
    </row>
    <row r="244" spans="1:3">
      <c r="A244" s="1">
        <v>23000</v>
      </c>
      <c r="B244" s="1">
        <v>2650</v>
      </c>
      <c r="C244" s="1">
        <v>0.11521739130434783</v>
      </c>
    </row>
    <row r="245" spans="1:3">
      <c r="A245" s="1">
        <v>23100</v>
      </c>
      <c r="B245" s="1">
        <v>2675</v>
      </c>
      <c r="C245" s="1">
        <v>0.11580086580086581</v>
      </c>
    </row>
    <row r="246" spans="1:3">
      <c r="A246" s="1">
        <v>23200</v>
      </c>
      <c r="B246" s="1">
        <v>2700</v>
      </c>
      <c r="C246" s="1">
        <v>0.11637931034482758</v>
      </c>
    </row>
    <row r="247" spans="1:3">
      <c r="A247" s="1">
        <v>23300</v>
      </c>
      <c r="B247" s="1">
        <v>2725</v>
      </c>
      <c r="C247" s="1">
        <v>0.11695278969957082</v>
      </c>
    </row>
    <row r="248" spans="1:3">
      <c r="A248" s="1">
        <v>23400</v>
      </c>
      <c r="B248" s="1">
        <v>2750</v>
      </c>
      <c r="C248" s="1">
        <v>0.11752136752136752</v>
      </c>
    </row>
    <row r="249" spans="1:3">
      <c r="A249" s="1">
        <v>23500</v>
      </c>
      <c r="B249" s="1">
        <v>2775</v>
      </c>
      <c r="C249" s="1">
        <v>0.11808510638297873</v>
      </c>
    </row>
    <row r="250" spans="1:3">
      <c r="A250" s="1">
        <v>23600</v>
      </c>
      <c r="B250" s="1">
        <v>2800</v>
      </c>
      <c r="C250" s="1">
        <v>0.11864406779661017</v>
      </c>
    </row>
    <row r="251" spans="1:3">
      <c r="A251" s="1">
        <v>23700</v>
      </c>
      <c r="B251" s="1">
        <v>2825</v>
      </c>
      <c r="C251" s="1">
        <v>0.11919831223628692</v>
      </c>
    </row>
    <row r="252" spans="1:3">
      <c r="A252" s="1">
        <v>23800</v>
      </c>
      <c r="B252" s="1">
        <v>2850</v>
      </c>
      <c r="C252" s="1">
        <v>0.11974789915966387</v>
      </c>
    </row>
    <row r="253" spans="1:3">
      <c r="A253" s="1">
        <v>23900</v>
      </c>
      <c r="B253" s="1">
        <v>2875</v>
      </c>
      <c r="C253" s="1">
        <v>0.1202928870292887</v>
      </c>
    </row>
    <row r="254" spans="1:3">
      <c r="A254" s="1">
        <v>24000</v>
      </c>
      <c r="B254" s="1">
        <v>2900</v>
      </c>
      <c r="C254" s="1">
        <v>0.12083333333333333</v>
      </c>
    </row>
    <row r="255" spans="1:3">
      <c r="A255" s="1">
        <v>24100</v>
      </c>
      <c r="B255" s="1">
        <v>2925</v>
      </c>
      <c r="C255" s="1">
        <v>0.12136929460580913</v>
      </c>
    </row>
    <row r="256" spans="1:3">
      <c r="A256" s="1">
        <v>24200</v>
      </c>
      <c r="B256" s="1">
        <v>2950</v>
      </c>
      <c r="C256" s="1">
        <v>0.12190082644628099</v>
      </c>
    </row>
    <row r="257" spans="1:3">
      <c r="A257" s="1">
        <v>24300</v>
      </c>
      <c r="B257" s="1">
        <v>2975</v>
      </c>
      <c r="C257" s="1">
        <v>0.12242798353909465</v>
      </c>
    </row>
    <row r="258" spans="1:3">
      <c r="A258" s="1">
        <v>24400</v>
      </c>
      <c r="B258" s="1">
        <v>3000</v>
      </c>
      <c r="C258" s="1">
        <v>0.12295081967213115</v>
      </c>
    </row>
    <row r="259" spans="1:3">
      <c r="A259" s="1">
        <v>24500</v>
      </c>
      <c r="B259" s="1">
        <v>3025</v>
      </c>
      <c r="C259" s="1">
        <v>0.12346938775510204</v>
      </c>
    </row>
    <row r="260" spans="1:3">
      <c r="A260" s="1">
        <v>24600</v>
      </c>
      <c r="B260" s="1">
        <v>3050</v>
      </c>
      <c r="C260" s="1">
        <v>0.12398373983739837</v>
      </c>
    </row>
    <row r="261" spans="1:3">
      <c r="A261" s="1">
        <v>24700</v>
      </c>
      <c r="B261" s="1">
        <v>3075</v>
      </c>
      <c r="C261" s="1">
        <v>0.12449392712550607</v>
      </c>
    </row>
    <row r="262" spans="1:3">
      <c r="A262" s="1">
        <v>24800</v>
      </c>
      <c r="B262" s="1">
        <v>3100</v>
      </c>
      <c r="C262" s="1">
        <v>0.125</v>
      </c>
    </row>
    <row r="263" spans="1:3">
      <c r="A263" s="1">
        <v>24900</v>
      </c>
      <c r="B263" s="1">
        <v>3125</v>
      </c>
      <c r="C263" s="1">
        <v>0.12550200803212852</v>
      </c>
    </row>
    <row r="264" spans="1:3">
      <c r="A264" s="1">
        <v>25000</v>
      </c>
      <c r="B264" s="1">
        <v>3150</v>
      </c>
      <c r="C264" s="1">
        <v>0.126</v>
      </c>
    </row>
    <row r="265" spans="1:3">
      <c r="A265" s="1">
        <v>25100</v>
      </c>
      <c r="B265" s="1">
        <v>3175</v>
      </c>
      <c r="C265" s="1">
        <v>0.12649402390438247</v>
      </c>
    </row>
    <row r="266" spans="1:3">
      <c r="A266" s="1">
        <v>25200</v>
      </c>
      <c r="B266" s="1">
        <v>3200</v>
      </c>
      <c r="C266" s="1">
        <v>0.12698412698412698</v>
      </c>
    </row>
    <row r="267" spans="1:3">
      <c r="A267" s="1">
        <v>25300</v>
      </c>
      <c r="B267" s="1">
        <v>3225</v>
      </c>
      <c r="C267" s="1">
        <v>0.12747035573122531</v>
      </c>
    </row>
    <row r="268" spans="1:3">
      <c r="A268" s="1">
        <v>25400</v>
      </c>
      <c r="B268" s="1">
        <v>3250</v>
      </c>
      <c r="C268" s="1">
        <v>0.12795275590551181</v>
      </c>
    </row>
    <row r="269" spans="1:3">
      <c r="A269" s="1">
        <v>25500</v>
      </c>
      <c r="B269" s="1">
        <v>3275</v>
      </c>
      <c r="C269" s="1">
        <v>0.1284313725490196</v>
      </c>
    </row>
    <row r="270" spans="1:3">
      <c r="A270" s="1">
        <v>25600</v>
      </c>
      <c r="B270" s="1">
        <v>3300</v>
      </c>
      <c r="C270" s="1">
        <v>0.12890625</v>
      </c>
    </row>
    <row r="271" spans="1:3">
      <c r="A271" s="1">
        <v>25700</v>
      </c>
      <c r="B271" s="1">
        <v>3325</v>
      </c>
      <c r="C271" s="1">
        <v>0.1293774319066148</v>
      </c>
    </row>
    <row r="272" spans="1:3">
      <c r="A272" s="1">
        <v>25800</v>
      </c>
      <c r="B272" s="1">
        <v>3350</v>
      </c>
      <c r="C272" s="1">
        <v>0.12984496124031009</v>
      </c>
    </row>
    <row r="273" spans="1:3">
      <c r="A273" s="1">
        <v>25900</v>
      </c>
      <c r="B273" s="1">
        <v>3375</v>
      </c>
      <c r="C273" s="1">
        <v>0.1303088803088803</v>
      </c>
    </row>
    <row r="274" spans="1:3">
      <c r="A274" s="1">
        <v>26000</v>
      </c>
      <c r="B274" s="1">
        <v>3400</v>
      </c>
      <c r="C274" s="1">
        <v>0.13076923076923078</v>
      </c>
    </row>
    <row r="275" spans="1:3">
      <c r="A275" s="1">
        <v>26100</v>
      </c>
      <c r="B275" s="1">
        <v>3425</v>
      </c>
      <c r="C275" s="1">
        <v>0.13122605363984674</v>
      </c>
    </row>
    <row r="276" spans="1:3">
      <c r="A276" s="1">
        <v>26200</v>
      </c>
      <c r="B276" s="1">
        <v>3450</v>
      </c>
      <c r="C276" s="1">
        <v>0.1316793893129771</v>
      </c>
    </row>
    <row r="277" spans="1:3">
      <c r="A277" s="1">
        <v>26300</v>
      </c>
      <c r="B277" s="1">
        <v>3475</v>
      </c>
      <c r="C277" s="1">
        <v>0.13212927756653992</v>
      </c>
    </row>
    <row r="278" spans="1:3">
      <c r="A278" s="1">
        <v>26400</v>
      </c>
      <c r="B278" s="1">
        <v>3500</v>
      </c>
      <c r="C278" s="1">
        <v>0.13257575757575757</v>
      </c>
    </row>
    <row r="279" spans="1:3">
      <c r="A279" s="1">
        <v>26500</v>
      </c>
      <c r="B279" s="1">
        <v>3525</v>
      </c>
      <c r="C279" s="1">
        <v>0.1330188679245283</v>
      </c>
    </row>
    <row r="280" spans="1:3">
      <c r="A280" s="1">
        <v>26600</v>
      </c>
      <c r="B280" s="1">
        <v>3550</v>
      </c>
      <c r="C280" s="1">
        <v>0.13345864661654136</v>
      </c>
    </row>
    <row r="281" spans="1:3">
      <c r="A281" s="1">
        <v>26700</v>
      </c>
      <c r="B281" s="1">
        <v>3575</v>
      </c>
      <c r="C281" s="1">
        <v>0.13389513108614232</v>
      </c>
    </row>
    <row r="282" spans="1:3">
      <c r="A282" s="1">
        <v>26800</v>
      </c>
      <c r="B282" s="1">
        <v>3600</v>
      </c>
      <c r="C282" s="1">
        <v>0.13432835820895522</v>
      </c>
    </row>
    <row r="283" spans="1:3">
      <c r="A283" s="1">
        <v>26900</v>
      </c>
      <c r="B283" s="1">
        <v>3625</v>
      </c>
      <c r="C283" s="1">
        <v>0.13475836431226765</v>
      </c>
    </row>
    <row r="284" spans="1:3">
      <c r="A284" s="1">
        <v>27000</v>
      </c>
      <c r="B284" s="1">
        <v>3650</v>
      </c>
      <c r="C284" s="1">
        <v>0.13518518518518519</v>
      </c>
    </row>
    <row r="285" spans="1:3">
      <c r="A285" s="1">
        <v>27100</v>
      </c>
      <c r="B285" s="1">
        <v>3675</v>
      </c>
      <c r="C285" s="1">
        <v>0.13560885608856088</v>
      </c>
    </row>
    <row r="286" spans="1:3">
      <c r="A286" s="1">
        <v>27200</v>
      </c>
      <c r="B286" s="1">
        <v>3700</v>
      </c>
      <c r="C286" s="1">
        <v>0.13602941176470587</v>
      </c>
    </row>
    <row r="287" spans="1:3">
      <c r="A287" s="1">
        <v>27300</v>
      </c>
      <c r="B287" s="1">
        <v>3725</v>
      </c>
      <c r="C287" s="1">
        <v>0.13644688644688643</v>
      </c>
    </row>
    <row r="288" spans="1:3">
      <c r="A288" s="1">
        <v>27400</v>
      </c>
      <c r="B288" s="1">
        <v>3750</v>
      </c>
      <c r="C288" s="1">
        <v>0.13686131386861314</v>
      </c>
    </row>
    <row r="289" spans="1:3">
      <c r="A289" s="1">
        <v>27500</v>
      </c>
      <c r="B289" s="1">
        <v>3775</v>
      </c>
      <c r="C289" s="1">
        <v>0.13727272727272727</v>
      </c>
    </row>
    <row r="290" spans="1:3">
      <c r="A290" s="1">
        <v>27600</v>
      </c>
      <c r="B290" s="1">
        <v>3800</v>
      </c>
      <c r="C290" s="1">
        <v>0.13768115942028986</v>
      </c>
    </row>
    <row r="291" spans="1:3">
      <c r="A291" s="1">
        <v>27700</v>
      </c>
      <c r="B291" s="1">
        <v>3825</v>
      </c>
      <c r="C291" s="1">
        <v>0.13808664259927797</v>
      </c>
    </row>
    <row r="292" spans="1:3">
      <c r="A292" s="1">
        <v>27800</v>
      </c>
      <c r="B292" s="1">
        <v>3850</v>
      </c>
      <c r="C292" s="1">
        <v>0.13848920863309352</v>
      </c>
    </row>
    <row r="293" spans="1:3">
      <c r="A293" s="1">
        <v>27900</v>
      </c>
      <c r="B293" s="1">
        <v>3875</v>
      </c>
      <c r="C293" s="1">
        <v>0.1388888888888889</v>
      </c>
    </row>
    <row r="294" spans="1:3">
      <c r="A294" s="1">
        <v>28000</v>
      </c>
      <c r="B294" s="1">
        <v>3900</v>
      </c>
      <c r="C294" s="1">
        <v>0.13928571428571429</v>
      </c>
    </row>
    <row r="295" spans="1:3">
      <c r="A295" s="1">
        <v>28100</v>
      </c>
      <c r="B295" s="1">
        <v>3925</v>
      </c>
      <c r="C295" s="1">
        <v>0.1396797153024911</v>
      </c>
    </row>
    <row r="296" spans="1:3">
      <c r="A296" s="1">
        <v>28200</v>
      </c>
      <c r="B296" s="1">
        <v>3950</v>
      </c>
      <c r="C296" s="1">
        <v>0.14007092198581561</v>
      </c>
    </row>
    <row r="297" spans="1:3">
      <c r="A297" s="1">
        <v>28300</v>
      </c>
      <c r="B297" s="1">
        <v>3975</v>
      </c>
      <c r="C297" s="1">
        <v>0.14045936395759717</v>
      </c>
    </row>
    <row r="298" spans="1:3">
      <c r="A298" s="1">
        <v>28400</v>
      </c>
      <c r="B298" s="1">
        <v>4000</v>
      </c>
      <c r="C298" s="1">
        <v>0.14084507042253522</v>
      </c>
    </row>
    <row r="299" spans="1:3">
      <c r="A299" s="1">
        <v>28500</v>
      </c>
      <c r="B299" s="1">
        <v>4025</v>
      </c>
      <c r="C299" s="1">
        <v>0.14122807017543859</v>
      </c>
    </row>
    <row r="300" spans="1:3">
      <c r="A300" s="1">
        <v>28600</v>
      </c>
      <c r="B300" s="1">
        <v>4050</v>
      </c>
      <c r="C300" s="1">
        <v>0.14160839160839161</v>
      </c>
    </row>
    <row r="301" spans="1:3">
      <c r="A301" s="1">
        <v>28700</v>
      </c>
      <c r="B301" s="1">
        <v>4075</v>
      </c>
      <c r="C301" s="1">
        <v>0.14198606271777003</v>
      </c>
    </row>
    <row r="302" spans="1:3">
      <c r="A302" s="1">
        <v>28800</v>
      </c>
      <c r="B302" s="1">
        <v>4100</v>
      </c>
      <c r="C302" s="1">
        <v>0.1423611111111111</v>
      </c>
    </row>
    <row r="303" spans="1:3">
      <c r="A303" s="1">
        <v>28900</v>
      </c>
      <c r="B303" s="1">
        <v>4125</v>
      </c>
      <c r="C303" s="1">
        <v>0.14273356401384082</v>
      </c>
    </row>
    <row r="304" spans="1:3">
      <c r="A304" s="1">
        <v>29000</v>
      </c>
      <c r="B304" s="1">
        <v>4150</v>
      </c>
      <c r="C304" s="1">
        <v>0.14310344827586208</v>
      </c>
    </row>
    <row r="305" spans="1:3">
      <c r="A305" s="1">
        <v>29100</v>
      </c>
      <c r="B305" s="1">
        <v>4175</v>
      </c>
      <c r="C305" s="1">
        <v>0.14347079037800686</v>
      </c>
    </row>
    <row r="306" spans="1:3">
      <c r="A306" s="1">
        <v>29200</v>
      </c>
      <c r="B306" s="1">
        <v>4200</v>
      </c>
      <c r="C306" s="1">
        <v>0.14383561643835616</v>
      </c>
    </row>
    <row r="307" spans="1:3">
      <c r="A307" s="1">
        <v>29300</v>
      </c>
      <c r="B307" s="1">
        <v>4225</v>
      </c>
      <c r="C307" s="1">
        <v>0.14419795221843004</v>
      </c>
    </row>
    <row r="308" spans="1:3">
      <c r="A308" s="1">
        <v>29400</v>
      </c>
      <c r="B308" s="1">
        <v>4250</v>
      </c>
      <c r="C308" s="1">
        <v>0.14455782312925169</v>
      </c>
    </row>
    <row r="309" spans="1:3">
      <c r="A309" s="1">
        <v>29500</v>
      </c>
      <c r="B309" s="1">
        <v>4275</v>
      </c>
      <c r="C309" s="1">
        <v>0.14491525423728813</v>
      </c>
    </row>
    <row r="310" spans="1:3">
      <c r="A310" s="1">
        <v>29600</v>
      </c>
      <c r="B310" s="1">
        <v>4300</v>
      </c>
      <c r="C310" s="1">
        <v>0.14527027027027026</v>
      </c>
    </row>
    <row r="311" spans="1:3">
      <c r="A311" s="1">
        <v>29700</v>
      </c>
      <c r="B311" s="1">
        <v>4325</v>
      </c>
      <c r="C311" s="1">
        <v>0.14562289562289563</v>
      </c>
    </row>
    <row r="312" spans="1:3">
      <c r="A312" s="1">
        <v>29800</v>
      </c>
      <c r="B312" s="1">
        <v>4350</v>
      </c>
      <c r="C312" s="1">
        <v>0.14597315436241612</v>
      </c>
    </row>
    <row r="313" spans="1:3">
      <c r="A313" s="1">
        <v>29900</v>
      </c>
      <c r="B313" s="1">
        <v>4375</v>
      </c>
      <c r="C313" s="1">
        <v>0.14632107023411373</v>
      </c>
    </row>
    <row r="314" spans="1:3">
      <c r="A314" s="1">
        <v>30000</v>
      </c>
      <c r="B314" s="1">
        <v>4400</v>
      </c>
      <c r="C314" s="1">
        <v>0.14666666666666667</v>
      </c>
    </row>
    <row r="315" spans="1:3">
      <c r="A315" s="1">
        <v>30100</v>
      </c>
      <c r="B315" s="1">
        <v>4425</v>
      </c>
      <c r="C315" s="1">
        <v>0.14700996677740863</v>
      </c>
    </row>
    <row r="316" spans="1:3">
      <c r="A316" s="1">
        <v>30200</v>
      </c>
      <c r="B316" s="1">
        <v>4450</v>
      </c>
      <c r="C316" s="1">
        <v>0.14735099337748345</v>
      </c>
    </row>
    <row r="317" spans="1:3">
      <c r="A317" s="1">
        <v>30300</v>
      </c>
      <c r="B317" s="1">
        <v>4475</v>
      </c>
      <c r="C317" s="1">
        <v>0.1476897689768977</v>
      </c>
    </row>
    <row r="318" spans="1:3">
      <c r="A318" s="1">
        <v>30400</v>
      </c>
      <c r="B318" s="1">
        <v>4500</v>
      </c>
      <c r="C318" s="1">
        <v>0.14802631578947367</v>
      </c>
    </row>
    <row r="319" spans="1:3">
      <c r="A319" s="1">
        <v>30500</v>
      </c>
      <c r="B319" s="1">
        <v>4525</v>
      </c>
      <c r="C319" s="1">
        <v>0.14836065573770491</v>
      </c>
    </row>
    <row r="320" spans="1:3">
      <c r="A320" s="1">
        <v>30600</v>
      </c>
      <c r="B320" s="1">
        <v>4550</v>
      </c>
      <c r="C320" s="1">
        <v>0.14869281045751634</v>
      </c>
    </row>
    <row r="321" spans="1:3">
      <c r="A321" s="1">
        <v>30700</v>
      </c>
      <c r="B321" s="1">
        <v>4575</v>
      </c>
      <c r="C321" s="1">
        <v>0.14902280130293161</v>
      </c>
    </row>
    <row r="322" spans="1:3">
      <c r="A322" s="1">
        <v>30800</v>
      </c>
      <c r="B322" s="1">
        <v>4600</v>
      </c>
      <c r="C322" s="1">
        <v>0.14935064935064934</v>
      </c>
    </row>
    <row r="323" spans="1:3">
      <c r="A323" s="1">
        <v>30900</v>
      </c>
      <c r="B323" s="1">
        <v>4625</v>
      </c>
      <c r="C323" s="1">
        <v>0.14967637540453074</v>
      </c>
    </row>
    <row r="324" spans="1:3">
      <c r="A324" s="1">
        <v>31000</v>
      </c>
      <c r="B324" s="1">
        <v>4650</v>
      </c>
      <c r="C324" s="1">
        <v>0.15</v>
      </c>
    </row>
    <row r="325" spans="1:3">
      <c r="A325" s="1">
        <v>31100</v>
      </c>
      <c r="B325" s="1">
        <v>4675</v>
      </c>
      <c r="C325" s="1">
        <v>0.15032154340836013</v>
      </c>
    </row>
    <row r="326" spans="1:3">
      <c r="A326" s="1">
        <v>31200</v>
      </c>
      <c r="B326" s="1">
        <v>4700</v>
      </c>
      <c r="C326" s="1">
        <v>0.15064102564102563</v>
      </c>
    </row>
    <row r="327" spans="1:3">
      <c r="A327" s="1">
        <v>31300</v>
      </c>
      <c r="B327" s="1">
        <v>4725</v>
      </c>
      <c r="C327" s="1">
        <v>0.15095846645367411</v>
      </c>
    </row>
    <row r="328" spans="1:3">
      <c r="A328" s="1">
        <v>31400</v>
      </c>
      <c r="B328" s="1">
        <v>4750</v>
      </c>
      <c r="C328" s="1">
        <v>0.15127388535031847</v>
      </c>
    </row>
    <row r="329" spans="1:3">
      <c r="A329" s="1">
        <v>31500</v>
      </c>
      <c r="B329" s="1">
        <v>4775</v>
      </c>
      <c r="C329" s="1">
        <v>0.15158730158730158</v>
      </c>
    </row>
    <row r="330" spans="1:3">
      <c r="A330" s="1">
        <v>31600</v>
      </c>
      <c r="B330" s="1">
        <v>4800</v>
      </c>
      <c r="C330" s="1">
        <v>0.15189873417721519</v>
      </c>
    </row>
    <row r="331" spans="1:3">
      <c r="A331" s="1">
        <v>31700</v>
      </c>
      <c r="B331" s="1">
        <v>4825</v>
      </c>
      <c r="C331" s="1">
        <v>0.15220820189274448</v>
      </c>
    </row>
    <row r="332" spans="1:3">
      <c r="A332" s="1">
        <v>31800</v>
      </c>
      <c r="B332" s="1">
        <v>4850</v>
      </c>
      <c r="C332" s="1">
        <v>0.15251572327044025</v>
      </c>
    </row>
    <row r="333" spans="1:3">
      <c r="A333" s="1">
        <v>31900</v>
      </c>
      <c r="B333" s="1">
        <v>4875</v>
      </c>
      <c r="C333" s="1">
        <v>0.15282131661442006</v>
      </c>
    </row>
    <row r="334" spans="1:3">
      <c r="A334" s="1">
        <v>32000</v>
      </c>
      <c r="B334" s="1">
        <v>4900</v>
      </c>
      <c r="C334" s="1">
        <v>0.15312500000000001</v>
      </c>
    </row>
    <row r="335" spans="1:3">
      <c r="A335" s="1">
        <v>32100</v>
      </c>
      <c r="B335" s="1">
        <v>4925</v>
      </c>
      <c r="C335" s="1">
        <v>0.15342679127725856</v>
      </c>
    </row>
    <row r="336" spans="1:3">
      <c r="A336" s="1">
        <v>32200</v>
      </c>
      <c r="B336" s="1">
        <v>4950</v>
      </c>
      <c r="C336" s="1">
        <v>0.15372670807453417</v>
      </c>
    </row>
    <row r="337" spans="1:3">
      <c r="A337" s="1">
        <v>32300</v>
      </c>
      <c r="B337" s="1">
        <v>4975</v>
      </c>
      <c r="C337" s="1">
        <v>0.15402476780185759</v>
      </c>
    </row>
    <row r="338" spans="1:3">
      <c r="A338" s="1">
        <v>32400</v>
      </c>
      <c r="B338" s="1">
        <v>5000</v>
      </c>
      <c r="C338" s="1">
        <v>0.15432098765432098</v>
      </c>
    </row>
    <row r="339" spans="1:3">
      <c r="A339" s="1">
        <v>32500</v>
      </c>
      <c r="B339" s="1">
        <v>5025</v>
      </c>
      <c r="C339" s="1">
        <v>0.15461538461538463</v>
      </c>
    </row>
    <row r="340" spans="1:3">
      <c r="A340" s="1">
        <v>32600</v>
      </c>
      <c r="B340" s="1">
        <v>5050</v>
      </c>
      <c r="C340" s="1">
        <v>0.15490797546012269</v>
      </c>
    </row>
    <row r="341" spans="1:3">
      <c r="A341" s="1">
        <v>32700</v>
      </c>
      <c r="B341" s="1">
        <v>5075</v>
      </c>
      <c r="C341" s="1">
        <v>0.15519877675840979</v>
      </c>
    </row>
    <row r="342" spans="1:3">
      <c r="A342" s="1">
        <v>32800</v>
      </c>
      <c r="B342" s="1">
        <v>5100</v>
      </c>
      <c r="C342" s="1">
        <v>0.15548780487804878</v>
      </c>
    </row>
    <row r="343" spans="1:3">
      <c r="A343" s="1">
        <v>32900</v>
      </c>
      <c r="B343" s="1">
        <v>5125</v>
      </c>
      <c r="C343" s="1">
        <v>0.15577507598784193</v>
      </c>
    </row>
    <row r="344" spans="1:3">
      <c r="A344" s="1">
        <v>33000</v>
      </c>
      <c r="B344" s="1">
        <v>5150</v>
      </c>
      <c r="C344" s="1">
        <v>0.15606060606060607</v>
      </c>
    </row>
    <row r="345" spans="1:3">
      <c r="A345" s="1">
        <v>33100</v>
      </c>
      <c r="B345" s="1">
        <v>5175</v>
      </c>
      <c r="C345" s="1">
        <v>0.15634441087613293</v>
      </c>
    </row>
    <row r="346" spans="1:3">
      <c r="A346" s="1">
        <v>33200</v>
      </c>
      <c r="B346" s="1">
        <v>5200</v>
      </c>
      <c r="C346" s="1">
        <v>0.15662650602409639</v>
      </c>
    </row>
    <row r="347" spans="1:3">
      <c r="A347" s="1">
        <v>33300</v>
      </c>
      <c r="B347" s="1">
        <v>5225</v>
      </c>
      <c r="C347" s="1">
        <v>0.1569069069069069</v>
      </c>
    </row>
    <row r="348" spans="1:3">
      <c r="A348" s="1">
        <v>33400</v>
      </c>
      <c r="B348" s="1">
        <v>5250</v>
      </c>
      <c r="C348" s="1">
        <v>0.15718562874251496</v>
      </c>
    </row>
    <row r="349" spans="1:3">
      <c r="A349" s="1">
        <v>33500</v>
      </c>
      <c r="B349" s="1">
        <v>5275</v>
      </c>
      <c r="C349" s="1">
        <v>0.15746268656716417</v>
      </c>
    </row>
    <row r="350" spans="1:3">
      <c r="A350" s="1">
        <v>33600</v>
      </c>
      <c r="B350" s="1">
        <v>5300</v>
      </c>
      <c r="C350" s="1">
        <v>0.15773809523809523</v>
      </c>
    </row>
    <row r="351" spans="1:3">
      <c r="A351" s="1">
        <v>33700</v>
      </c>
      <c r="B351" s="1">
        <v>5325</v>
      </c>
      <c r="C351" s="1">
        <v>0.15801186943620177</v>
      </c>
    </row>
    <row r="352" spans="1:3">
      <c r="A352" s="1">
        <v>33800</v>
      </c>
      <c r="B352" s="1">
        <v>5350</v>
      </c>
      <c r="C352" s="1">
        <v>0.15828402366863906</v>
      </c>
    </row>
    <row r="353" spans="1:3">
      <c r="A353" s="1">
        <v>33900</v>
      </c>
      <c r="B353" s="1">
        <v>5375</v>
      </c>
      <c r="C353" s="1">
        <v>0.15855457227138642</v>
      </c>
    </row>
    <row r="354" spans="1:3">
      <c r="A354" s="1">
        <v>34000</v>
      </c>
      <c r="B354" s="1">
        <v>5400</v>
      </c>
      <c r="C354" s="1">
        <v>0.1588235294117647</v>
      </c>
    </row>
    <row r="355" spans="1:3">
      <c r="A355" s="1">
        <v>34100</v>
      </c>
      <c r="B355" s="1">
        <v>5425</v>
      </c>
      <c r="C355" s="1">
        <v>0.15909090909090909</v>
      </c>
    </row>
    <row r="356" spans="1:3">
      <c r="A356" s="1">
        <v>34200</v>
      </c>
      <c r="B356" s="1">
        <v>5450</v>
      </c>
      <c r="C356" s="1">
        <v>0.15935672514619884</v>
      </c>
    </row>
    <row r="357" spans="1:3">
      <c r="A357" s="1">
        <v>34300</v>
      </c>
      <c r="B357" s="1">
        <v>5475</v>
      </c>
      <c r="C357" s="1">
        <v>0.15962099125364432</v>
      </c>
    </row>
    <row r="358" spans="1:3">
      <c r="A358" s="1">
        <v>34400</v>
      </c>
      <c r="B358" s="1">
        <v>5500</v>
      </c>
      <c r="C358" s="1">
        <v>0.15988372093023256</v>
      </c>
    </row>
    <row r="359" spans="1:3">
      <c r="A359" s="1">
        <v>34500</v>
      </c>
      <c r="B359" s="1">
        <v>5525</v>
      </c>
      <c r="C359" s="1">
        <v>0.16014492753623188</v>
      </c>
    </row>
    <row r="360" spans="1:3">
      <c r="A360" s="1">
        <v>34600</v>
      </c>
      <c r="B360" s="1">
        <v>5550</v>
      </c>
      <c r="C360" s="1">
        <v>0.16040462427745664</v>
      </c>
    </row>
    <row r="361" spans="1:3">
      <c r="A361" s="1">
        <v>34700</v>
      </c>
      <c r="B361" s="1">
        <v>5575</v>
      </c>
      <c r="C361" s="1">
        <v>0.16066282420749278</v>
      </c>
    </row>
    <row r="362" spans="1:3">
      <c r="A362" s="1">
        <v>34800</v>
      </c>
      <c r="B362" s="1">
        <v>5600</v>
      </c>
      <c r="C362" s="1">
        <v>0.16091954022988506</v>
      </c>
    </row>
    <row r="363" spans="1:3">
      <c r="A363" s="1">
        <v>34900</v>
      </c>
      <c r="B363" s="1">
        <v>5625</v>
      </c>
      <c r="C363" s="1">
        <v>0.16117478510028654</v>
      </c>
    </row>
    <row r="364" spans="1:3">
      <c r="A364" s="1">
        <v>35000</v>
      </c>
      <c r="B364" s="1">
        <v>5650</v>
      </c>
      <c r="C364" s="1">
        <v>0.16142857142857142</v>
      </c>
    </row>
    <row r="365" spans="1:3">
      <c r="A365" s="1">
        <v>35100</v>
      </c>
      <c r="B365" s="1">
        <v>5675</v>
      </c>
      <c r="C365" s="1">
        <v>0.16168091168091167</v>
      </c>
    </row>
    <row r="366" spans="1:3">
      <c r="A366" s="1">
        <v>35200</v>
      </c>
      <c r="B366" s="1">
        <v>5700</v>
      </c>
      <c r="C366" s="1">
        <v>0.16193181818181818</v>
      </c>
    </row>
    <row r="367" spans="1:3">
      <c r="A367" s="1">
        <v>35300</v>
      </c>
      <c r="B367" s="1">
        <v>5725</v>
      </c>
      <c r="C367" s="1">
        <v>0.16218130311614731</v>
      </c>
    </row>
    <row r="368" spans="1:3">
      <c r="A368" s="1">
        <v>35400</v>
      </c>
      <c r="B368" s="1">
        <v>5750</v>
      </c>
      <c r="C368" s="1">
        <v>0.16242937853107345</v>
      </c>
    </row>
    <row r="369" spans="1:3">
      <c r="A369" s="1">
        <v>35500</v>
      </c>
      <c r="B369" s="1">
        <v>5775</v>
      </c>
      <c r="C369" s="1">
        <v>0.16267605633802817</v>
      </c>
    </row>
    <row r="370" spans="1:3">
      <c r="A370" s="1">
        <v>35600</v>
      </c>
      <c r="B370" s="1">
        <v>5800</v>
      </c>
      <c r="C370" s="1">
        <v>0.16292134831460675</v>
      </c>
    </row>
    <row r="371" spans="1:3">
      <c r="A371" s="1">
        <v>35700</v>
      </c>
      <c r="B371" s="1">
        <v>5825</v>
      </c>
      <c r="C371" s="1">
        <v>0.16316526610644258</v>
      </c>
    </row>
    <row r="372" spans="1:3">
      <c r="A372" s="1">
        <v>35800</v>
      </c>
      <c r="B372" s="1">
        <v>5850</v>
      </c>
      <c r="C372" s="1">
        <v>0.16340782122905029</v>
      </c>
    </row>
    <row r="373" spans="1:3">
      <c r="A373" s="1">
        <v>35900</v>
      </c>
      <c r="B373" s="1">
        <v>5875</v>
      </c>
      <c r="C373" s="1">
        <v>0.16364902506963788</v>
      </c>
    </row>
    <row r="374" spans="1:3">
      <c r="A374" s="1">
        <v>36000</v>
      </c>
      <c r="B374" s="1">
        <v>5900</v>
      </c>
      <c r="C374" s="1">
        <v>0.16388888888888889</v>
      </c>
    </row>
    <row r="375" spans="1:3">
      <c r="A375" s="1">
        <v>36100</v>
      </c>
      <c r="B375" s="1">
        <v>5925</v>
      </c>
      <c r="C375" s="1">
        <v>0.16412742382271467</v>
      </c>
    </row>
    <row r="376" spans="1:3">
      <c r="A376" s="1">
        <v>36200</v>
      </c>
      <c r="B376" s="1">
        <v>5950</v>
      </c>
      <c r="C376" s="1">
        <v>0.1643646408839779</v>
      </c>
    </row>
    <row r="377" spans="1:3">
      <c r="A377" s="1">
        <v>36300</v>
      </c>
      <c r="B377" s="1">
        <v>5975</v>
      </c>
      <c r="C377" s="1">
        <v>0.16460055096418733</v>
      </c>
    </row>
    <row r="378" spans="1:3">
      <c r="A378" s="1">
        <v>36400</v>
      </c>
      <c r="B378" s="1">
        <v>6000</v>
      </c>
      <c r="C378" s="1">
        <v>0.16483516483516483</v>
      </c>
    </row>
    <row r="379" spans="1:3">
      <c r="A379" s="1">
        <v>36500</v>
      </c>
      <c r="B379" s="1">
        <v>6025</v>
      </c>
      <c r="C379" s="1">
        <v>0.16506849315068492</v>
      </c>
    </row>
    <row r="380" spans="1:3">
      <c r="A380" s="1">
        <v>36600</v>
      </c>
      <c r="B380" s="1">
        <v>6050</v>
      </c>
      <c r="C380" s="1">
        <v>0.16530054644808742</v>
      </c>
    </row>
    <row r="381" spans="1:3">
      <c r="A381" s="1">
        <v>36700</v>
      </c>
      <c r="B381" s="1">
        <v>6075</v>
      </c>
      <c r="C381" s="1">
        <v>0.16553133514986376</v>
      </c>
    </row>
    <row r="382" spans="1:3">
      <c r="A382" s="1">
        <v>36800</v>
      </c>
      <c r="B382" s="1">
        <v>6100</v>
      </c>
      <c r="C382" s="1">
        <v>0.16576086956521738</v>
      </c>
    </row>
    <row r="383" spans="1:3">
      <c r="A383" s="1">
        <v>36900</v>
      </c>
      <c r="B383" s="1">
        <v>6125</v>
      </c>
      <c r="C383" s="1">
        <v>0.1659891598915989</v>
      </c>
    </row>
    <row r="384" spans="1:3">
      <c r="A384" s="1">
        <v>37000</v>
      </c>
      <c r="B384" s="1">
        <v>6150</v>
      </c>
      <c r="C384" s="1">
        <v>0.16621621621621621</v>
      </c>
    </row>
    <row r="385" spans="1:3">
      <c r="A385" s="1">
        <v>37100</v>
      </c>
      <c r="B385" s="1">
        <v>6175</v>
      </c>
      <c r="C385" s="1">
        <v>0.1664420485175202</v>
      </c>
    </row>
    <row r="386" spans="1:3">
      <c r="A386" s="1">
        <v>37200</v>
      </c>
      <c r="B386" s="1">
        <v>6200</v>
      </c>
      <c r="C386" s="1">
        <v>0.16666666666666666</v>
      </c>
    </row>
    <row r="387" spans="1:3">
      <c r="A387" s="1">
        <v>37300</v>
      </c>
      <c r="B387" s="1">
        <v>6225</v>
      </c>
      <c r="C387" s="1">
        <v>0.16689008042895442</v>
      </c>
    </row>
    <row r="388" spans="1:3">
      <c r="A388" s="1">
        <v>37400</v>
      </c>
      <c r="B388" s="1">
        <v>6250</v>
      </c>
      <c r="C388" s="1">
        <v>0.16711229946524064</v>
      </c>
    </row>
    <row r="389" spans="1:3">
      <c r="A389" s="1">
        <v>37500</v>
      </c>
      <c r="B389" s="1">
        <v>6275</v>
      </c>
      <c r="C389" s="1">
        <v>0.16733333333333333</v>
      </c>
    </row>
    <row r="390" spans="1:3">
      <c r="A390" s="1">
        <v>37600</v>
      </c>
      <c r="B390" s="1">
        <v>6300</v>
      </c>
      <c r="C390" s="1">
        <v>0.16755319148936171</v>
      </c>
    </row>
    <row r="391" spans="1:3">
      <c r="A391" s="1">
        <v>37700</v>
      </c>
      <c r="B391" s="1">
        <v>6325</v>
      </c>
      <c r="C391" s="1">
        <v>0.16777188328912468</v>
      </c>
    </row>
    <row r="392" spans="1:3">
      <c r="A392" s="1">
        <v>37800</v>
      </c>
      <c r="B392" s="1">
        <v>6350</v>
      </c>
      <c r="C392" s="1">
        <v>0.16798941798941799</v>
      </c>
    </row>
    <row r="393" spans="1:3">
      <c r="A393" s="1">
        <v>37900</v>
      </c>
      <c r="B393" s="1">
        <v>6375</v>
      </c>
      <c r="C393" s="1">
        <v>0.16820580474934038</v>
      </c>
    </row>
    <row r="394" spans="1:3">
      <c r="A394" s="1">
        <v>38000</v>
      </c>
      <c r="B394" s="1">
        <v>6400</v>
      </c>
      <c r="C394" s="1">
        <v>0.16842105263157894</v>
      </c>
    </row>
    <row r="395" spans="1:3">
      <c r="A395" s="1">
        <v>38100</v>
      </c>
      <c r="B395" s="1">
        <v>6425</v>
      </c>
      <c r="C395" s="1">
        <v>0.16863517060367453</v>
      </c>
    </row>
    <row r="396" spans="1:3">
      <c r="A396" s="1">
        <v>38200</v>
      </c>
      <c r="B396" s="1">
        <v>6450</v>
      </c>
      <c r="C396" s="1">
        <v>0.16884816753926701</v>
      </c>
    </row>
    <row r="397" spans="1:3">
      <c r="A397" s="1">
        <v>38300</v>
      </c>
      <c r="B397" s="1">
        <v>6475</v>
      </c>
      <c r="C397" s="1">
        <v>0.16906005221932116</v>
      </c>
    </row>
    <row r="398" spans="1:3">
      <c r="A398" s="1">
        <v>38400</v>
      </c>
      <c r="B398" s="1">
        <v>6500</v>
      </c>
      <c r="C398" s="1">
        <v>0.16927083333333334</v>
      </c>
    </row>
    <row r="399" spans="1:3">
      <c r="A399" s="1">
        <v>38500</v>
      </c>
      <c r="B399" s="1">
        <v>6525</v>
      </c>
      <c r="C399" s="1">
        <v>0.16948051948051948</v>
      </c>
    </row>
    <row r="400" spans="1:3">
      <c r="A400" s="1">
        <v>38600</v>
      </c>
      <c r="B400" s="1">
        <v>6550</v>
      </c>
      <c r="C400" s="1">
        <v>0.16968911917098445</v>
      </c>
    </row>
    <row r="401" spans="1:3">
      <c r="A401" s="1">
        <v>38700</v>
      </c>
      <c r="B401" s="1">
        <v>6575</v>
      </c>
      <c r="C401" s="1">
        <v>0.16989664082687339</v>
      </c>
    </row>
    <row r="402" spans="1:3">
      <c r="A402" s="1">
        <v>38800</v>
      </c>
      <c r="B402" s="1">
        <v>6600</v>
      </c>
      <c r="C402" s="1">
        <v>0.17010309278350516</v>
      </c>
    </row>
    <row r="403" spans="1:3">
      <c r="A403" s="1">
        <v>38900</v>
      </c>
      <c r="B403" s="1">
        <v>6625</v>
      </c>
      <c r="C403" s="1">
        <v>0.17030848329048842</v>
      </c>
    </row>
    <row r="404" spans="1:3">
      <c r="A404" s="1">
        <v>39000</v>
      </c>
      <c r="B404" s="1">
        <v>6650</v>
      </c>
      <c r="C404" s="1">
        <v>0.17051282051282052</v>
      </c>
    </row>
    <row r="405" spans="1:3">
      <c r="A405" s="1">
        <v>39100</v>
      </c>
      <c r="B405" s="1">
        <v>6675</v>
      </c>
      <c r="C405" s="1">
        <v>0.17071611253196931</v>
      </c>
    </row>
    <row r="406" spans="1:3">
      <c r="A406" s="1">
        <v>39200</v>
      </c>
      <c r="B406" s="1">
        <v>6700</v>
      </c>
      <c r="C406" s="1">
        <v>0.17091836734693877</v>
      </c>
    </row>
    <row r="407" spans="1:3">
      <c r="A407" s="1">
        <v>39300</v>
      </c>
      <c r="B407" s="1">
        <v>6725</v>
      </c>
      <c r="C407" s="1">
        <v>0.17111959287531806</v>
      </c>
    </row>
    <row r="408" spans="1:3">
      <c r="A408" s="1">
        <v>39400</v>
      </c>
      <c r="B408" s="1">
        <v>6750</v>
      </c>
      <c r="C408" s="1">
        <v>0.17131979695431471</v>
      </c>
    </row>
    <row r="409" spans="1:3">
      <c r="A409" s="1">
        <v>39500</v>
      </c>
      <c r="B409" s="1">
        <v>6775</v>
      </c>
      <c r="C409" s="1">
        <v>0.17151898734177215</v>
      </c>
    </row>
    <row r="410" spans="1:3">
      <c r="A410" s="1">
        <v>39600</v>
      </c>
      <c r="B410" s="1">
        <v>6800</v>
      </c>
      <c r="C410" s="1">
        <v>0.17171717171717171</v>
      </c>
    </row>
    <row r="411" spans="1:3">
      <c r="A411" s="1">
        <v>39700</v>
      </c>
      <c r="B411" s="1">
        <v>6825</v>
      </c>
      <c r="C411" s="1">
        <v>0.17191435768261965</v>
      </c>
    </row>
    <row r="412" spans="1:3">
      <c r="A412" s="1">
        <v>39800</v>
      </c>
      <c r="B412" s="1">
        <v>6850</v>
      </c>
      <c r="C412" s="1">
        <v>0.17211055276381909</v>
      </c>
    </row>
    <row r="413" spans="1:3">
      <c r="A413" s="1">
        <v>39900</v>
      </c>
      <c r="B413" s="1">
        <v>6875</v>
      </c>
      <c r="C413" s="1">
        <v>0.17230576441102757</v>
      </c>
    </row>
    <row r="414" spans="1:3">
      <c r="A414" s="1">
        <v>40000</v>
      </c>
      <c r="B414" s="1">
        <v>6900</v>
      </c>
      <c r="C414" s="1">
        <v>0.17249999999999999</v>
      </c>
    </row>
    <row r="415" spans="1:3">
      <c r="A415" s="1">
        <v>40100</v>
      </c>
      <c r="B415" s="1">
        <v>6925</v>
      </c>
      <c r="C415" s="1">
        <v>0.17269326683291772</v>
      </c>
    </row>
    <row r="416" spans="1:3">
      <c r="A416" s="1">
        <v>40200</v>
      </c>
      <c r="B416" s="1">
        <v>6950</v>
      </c>
      <c r="C416" s="1">
        <v>0.17288557213930347</v>
      </c>
    </row>
    <row r="417" spans="1:3">
      <c r="A417" s="1">
        <v>40300</v>
      </c>
      <c r="B417" s="1">
        <v>6975</v>
      </c>
      <c r="C417" s="1">
        <v>0.17307692307692307</v>
      </c>
    </row>
    <row r="418" spans="1:3">
      <c r="A418" s="1">
        <v>40400</v>
      </c>
      <c r="B418" s="1">
        <v>7000</v>
      </c>
      <c r="C418" s="1">
        <v>0.17326732673267325</v>
      </c>
    </row>
    <row r="419" spans="1:3">
      <c r="A419" s="1">
        <v>40500</v>
      </c>
      <c r="B419" s="1">
        <v>7025</v>
      </c>
      <c r="C419" s="1">
        <v>0.1734567901234568</v>
      </c>
    </row>
    <row r="420" spans="1:3">
      <c r="A420" s="1">
        <v>40600</v>
      </c>
      <c r="B420" s="1">
        <v>7050</v>
      </c>
      <c r="C420" s="1">
        <v>0.17364532019704434</v>
      </c>
    </row>
    <row r="421" spans="1:3">
      <c r="A421" s="1">
        <v>40700</v>
      </c>
      <c r="B421" s="1">
        <v>7075</v>
      </c>
      <c r="C421" s="1">
        <v>0.17383292383292384</v>
      </c>
    </row>
    <row r="422" spans="1:3">
      <c r="A422" s="1">
        <v>40800</v>
      </c>
      <c r="B422" s="1">
        <v>7100</v>
      </c>
      <c r="C422" s="1">
        <v>0.17401960784313725</v>
      </c>
    </row>
    <row r="423" spans="1:3">
      <c r="A423" s="1">
        <v>40900</v>
      </c>
      <c r="B423" s="1">
        <v>7125</v>
      </c>
      <c r="C423" s="1">
        <v>0.17420537897310515</v>
      </c>
    </row>
    <row r="424" spans="1:3">
      <c r="A424" s="1">
        <v>41000</v>
      </c>
      <c r="B424" s="1">
        <v>7150</v>
      </c>
      <c r="C424" s="1">
        <v>0.17439024390243901</v>
      </c>
    </row>
    <row r="425" spans="1:3">
      <c r="A425" s="1">
        <v>41100</v>
      </c>
      <c r="B425" s="1">
        <v>7175</v>
      </c>
      <c r="C425" s="1">
        <v>0.1745742092457421</v>
      </c>
    </row>
    <row r="426" spans="1:3">
      <c r="A426" s="1">
        <v>41200</v>
      </c>
      <c r="B426" s="1">
        <v>7200</v>
      </c>
      <c r="C426" s="1">
        <v>0.17475728155339806</v>
      </c>
    </row>
    <row r="427" spans="1:3">
      <c r="A427" s="1">
        <v>41300</v>
      </c>
      <c r="B427" s="1">
        <v>7225</v>
      </c>
      <c r="C427" s="1">
        <v>0.17493946731234866</v>
      </c>
    </row>
    <row r="428" spans="1:3">
      <c r="A428" s="1">
        <v>41400</v>
      </c>
      <c r="B428" s="1">
        <v>7250</v>
      </c>
      <c r="C428" s="1">
        <v>0.1751207729468599</v>
      </c>
    </row>
    <row r="429" spans="1:3">
      <c r="A429" s="1">
        <v>41500</v>
      </c>
      <c r="B429" s="1">
        <v>7275</v>
      </c>
      <c r="C429" s="1">
        <v>0.17530120481927711</v>
      </c>
    </row>
    <row r="430" spans="1:3">
      <c r="A430" s="1">
        <v>41600</v>
      </c>
      <c r="B430" s="1">
        <v>7300</v>
      </c>
      <c r="C430" s="1">
        <v>0.17548076923076922</v>
      </c>
    </row>
    <row r="431" spans="1:3">
      <c r="A431" s="1">
        <v>41700</v>
      </c>
      <c r="B431" s="1">
        <v>7325</v>
      </c>
      <c r="C431" s="1">
        <v>0.17565947242206234</v>
      </c>
    </row>
    <row r="432" spans="1:3">
      <c r="A432" s="1">
        <v>41800</v>
      </c>
      <c r="B432" s="1">
        <v>7350</v>
      </c>
      <c r="C432" s="1">
        <v>0.17583732057416268</v>
      </c>
    </row>
    <row r="433" spans="1:3">
      <c r="A433" s="1">
        <v>41900</v>
      </c>
      <c r="B433" s="1">
        <v>7375</v>
      </c>
      <c r="C433" s="1">
        <v>0.1760143198090692</v>
      </c>
    </row>
    <row r="434" spans="1:3">
      <c r="A434" s="1">
        <v>42000</v>
      </c>
      <c r="B434" s="1">
        <v>7400</v>
      </c>
      <c r="C434" s="1">
        <v>0.1761904761904762</v>
      </c>
    </row>
    <row r="435" spans="1:3">
      <c r="A435" s="1">
        <v>42100</v>
      </c>
      <c r="B435" s="1">
        <v>7425</v>
      </c>
      <c r="C435" s="1">
        <v>0.17636579572446556</v>
      </c>
    </row>
    <row r="436" spans="1:3">
      <c r="A436" s="1">
        <v>42200</v>
      </c>
      <c r="B436" s="1">
        <v>7450</v>
      </c>
      <c r="C436" s="1">
        <v>0.17654028436018956</v>
      </c>
    </row>
    <row r="437" spans="1:3">
      <c r="A437" s="1">
        <v>42300</v>
      </c>
      <c r="B437" s="1">
        <v>7475</v>
      </c>
      <c r="C437" s="1">
        <v>0.17671394799054374</v>
      </c>
    </row>
    <row r="438" spans="1:3">
      <c r="A438" s="1">
        <v>42400</v>
      </c>
      <c r="B438" s="1">
        <v>7500</v>
      </c>
      <c r="C438" s="1">
        <v>0.17688679245283018</v>
      </c>
    </row>
    <row r="439" spans="1:3">
      <c r="A439" s="1">
        <v>42500</v>
      </c>
      <c r="B439" s="1">
        <v>7525</v>
      </c>
      <c r="C439" s="1">
        <v>0.17705882352941177</v>
      </c>
    </row>
    <row r="440" spans="1:3">
      <c r="A440" s="1">
        <v>42600</v>
      </c>
      <c r="B440" s="1">
        <v>7550</v>
      </c>
      <c r="C440" s="1">
        <v>0.17723004694835681</v>
      </c>
    </row>
    <row r="441" spans="1:3">
      <c r="A441" s="1">
        <v>42700</v>
      </c>
      <c r="B441" s="1">
        <v>7575</v>
      </c>
      <c r="C441" s="1">
        <v>0.17740046838407494</v>
      </c>
    </row>
    <row r="442" spans="1:3">
      <c r="A442" s="1">
        <v>42800</v>
      </c>
      <c r="B442" s="1">
        <v>7600</v>
      </c>
      <c r="C442" s="1">
        <v>0.17757009345794392</v>
      </c>
    </row>
    <row r="443" spans="1:3">
      <c r="A443" s="1">
        <v>42900</v>
      </c>
      <c r="B443" s="1">
        <v>7625</v>
      </c>
      <c r="C443" s="1">
        <v>0.17773892773892774</v>
      </c>
    </row>
    <row r="444" spans="1:3">
      <c r="A444" s="1">
        <v>43000</v>
      </c>
      <c r="B444" s="1">
        <v>7650</v>
      </c>
      <c r="C444" s="1">
        <v>0.17790697674418604</v>
      </c>
    </row>
    <row r="445" spans="1:3">
      <c r="A445" s="1">
        <v>43100</v>
      </c>
      <c r="B445" s="1">
        <v>7675</v>
      </c>
      <c r="C445" s="1">
        <v>0.17807424593967516</v>
      </c>
    </row>
    <row r="446" spans="1:3">
      <c r="A446" s="1">
        <v>43200</v>
      </c>
      <c r="B446" s="1">
        <v>7700</v>
      </c>
      <c r="C446" s="1">
        <v>0.17824074074074073</v>
      </c>
    </row>
    <row r="447" spans="1:3">
      <c r="A447" s="1">
        <v>43300</v>
      </c>
      <c r="B447" s="1">
        <v>7725</v>
      </c>
      <c r="C447" s="1">
        <v>0.17840646651270209</v>
      </c>
    </row>
    <row r="448" spans="1:3">
      <c r="A448" s="1">
        <v>43400</v>
      </c>
      <c r="B448" s="1">
        <v>7750</v>
      </c>
      <c r="C448" s="1">
        <v>0.17857142857142858</v>
      </c>
    </row>
    <row r="449" spans="1:3">
      <c r="A449" s="1">
        <v>43500</v>
      </c>
      <c r="B449" s="1">
        <v>7775</v>
      </c>
      <c r="C449" s="1">
        <v>0.17873563218390803</v>
      </c>
    </row>
    <row r="450" spans="1:3">
      <c r="A450" s="1">
        <v>43600</v>
      </c>
      <c r="B450" s="1">
        <v>7800</v>
      </c>
      <c r="C450" s="1">
        <v>0.17889908256880735</v>
      </c>
    </row>
    <row r="451" spans="1:3">
      <c r="A451" s="1">
        <v>43700</v>
      </c>
      <c r="B451" s="1">
        <v>7825</v>
      </c>
      <c r="C451" s="1">
        <v>0.17906178489702518</v>
      </c>
    </row>
    <row r="452" spans="1:3">
      <c r="A452" s="1">
        <v>43800</v>
      </c>
      <c r="B452" s="1">
        <v>7850</v>
      </c>
      <c r="C452" s="1">
        <v>0.17922374429223745</v>
      </c>
    </row>
    <row r="453" spans="1:3">
      <c r="A453" s="1">
        <v>43900</v>
      </c>
      <c r="B453" s="1">
        <v>7875</v>
      </c>
      <c r="C453" s="1">
        <v>0.17938496583143507</v>
      </c>
    </row>
    <row r="454" spans="1:3">
      <c r="A454" s="1">
        <v>44000</v>
      </c>
      <c r="B454" s="1">
        <v>7900</v>
      </c>
      <c r="C454" s="1">
        <v>0.17954545454545454</v>
      </c>
    </row>
    <row r="455" spans="1:3">
      <c r="A455" s="1">
        <v>44100</v>
      </c>
      <c r="B455" s="1">
        <v>7925</v>
      </c>
      <c r="C455" s="1">
        <v>0.17970521541950113</v>
      </c>
    </row>
    <row r="456" spans="1:3">
      <c r="A456" s="1">
        <v>44200</v>
      </c>
      <c r="B456" s="1">
        <v>7950</v>
      </c>
      <c r="C456" s="1">
        <v>0.17986425339366516</v>
      </c>
    </row>
    <row r="457" spans="1:3">
      <c r="A457" s="1">
        <v>44300</v>
      </c>
      <c r="B457" s="1">
        <v>7975</v>
      </c>
      <c r="C457" s="1">
        <v>0.18002257336343114</v>
      </c>
    </row>
    <row r="458" spans="1:3">
      <c r="A458" s="1">
        <v>44400</v>
      </c>
      <c r="B458" s="1">
        <v>8000</v>
      </c>
      <c r="C458" s="1">
        <v>0.18018018018018017</v>
      </c>
    </row>
    <row r="459" spans="1:3">
      <c r="A459" s="1">
        <v>44500</v>
      </c>
      <c r="B459" s="1">
        <v>8025</v>
      </c>
      <c r="C459" s="1">
        <v>0.18033707865168538</v>
      </c>
    </row>
    <row r="460" spans="1:3">
      <c r="A460" s="1">
        <v>44600</v>
      </c>
      <c r="B460" s="1">
        <v>8050</v>
      </c>
      <c r="C460" s="1">
        <v>0.18049327354260089</v>
      </c>
    </row>
    <row r="461" spans="1:3">
      <c r="A461" s="1">
        <v>44700</v>
      </c>
      <c r="B461" s="1">
        <v>8075</v>
      </c>
      <c r="C461" s="1">
        <v>0.18064876957494408</v>
      </c>
    </row>
    <row r="462" spans="1:3">
      <c r="A462" s="1">
        <v>44800</v>
      </c>
      <c r="B462" s="1">
        <v>8100</v>
      </c>
      <c r="C462" s="1">
        <v>0.18080357142857142</v>
      </c>
    </row>
    <row r="463" spans="1:3">
      <c r="A463" s="1">
        <v>44900</v>
      </c>
      <c r="B463" s="1">
        <v>8125</v>
      </c>
      <c r="C463" s="1">
        <v>0.18095768374164811</v>
      </c>
    </row>
    <row r="464" spans="1:3">
      <c r="A464" s="1">
        <v>45000</v>
      </c>
      <c r="B464" s="1">
        <v>8150</v>
      </c>
      <c r="C464" s="1">
        <v>0.18111111111111111</v>
      </c>
    </row>
    <row r="465" spans="1:3">
      <c r="A465" s="1">
        <v>45100</v>
      </c>
      <c r="B465" s="1">
        <v>8175</v>
      </c>
      <c r="C465" s="1">
        <v>0.1812638580931264</v>
      </c>
    </row>
    <row r="466" spans="1:3">
      <c r="A466" s="1">
        <v>45200</v>
      </c>
      <c r="B466" s="1">
        <v>8200</v>
      </c>
      <c r="C466" s="1">
        <v>0.18141592920353983</v>
      </c>
    </row>
    <row r="467" spans="1:3">
      <c r="A467" s="1">
        <v>45300</v>
      </c>
      <c r="B467" s="1">
        <v>8225</v>
      </c>
      <c r="C467" s="1">
        <v>0.18156732891832231</v>
      </c>
    </row>
    <row r="468" spans="1:3">
      <c r="A468" s="1">
        <v>45400</v>
      </c>
      <c r="B468" s="1">
        <v>8250</v>
      </c>
      <c r="C468" s="1">
        <v>0.18171806167400881</v>
      </c>
    </row>
    <row r="469" spans="1:3">
      <c r="A469" s="1">
        <v>45500</v>
      </c>
      <c r="B469" s="1">
        <v>8275</v>
      </c>
      <c r="C469" s="1">
        <v>0.18186813186813186</v>
      </c>
    </row>
    <row r="470" spans="1:3">
      <c r="A470" s="1">
        <v>45600</v>
      </c>
      <c r="B470" s="1">
        <v>8300</v>
      </c>
      <c r="C470" s="1">
        <v>0.18201754385964913</v>
      </c>
    </row>
    <row r="471" spans="1:3">
      <c r="A471" s="1">
        <v>45700</v>
      </c>
      <c r="B471" s="1">
        <v>8325</v>
      </c>
      <c r="C471" s="1">
        <v>0.18216630196936542</v>
      </c>
    </row>
    <row r="472" spans="1:3">
      <c r="A472" s="1">
        <v>45800</v>
      </c>
      <c r="B472" s="1">
        <v>8350</v>
      </c>
      <c r="C472" s="1">
        <v>0.18231441048034935</v>
      </c>
    </row>
    <row r="473" spans="1:3">
      <c r="A473" s="1">
        <v>45900</v>
      </c>
      <c r="B473" s="1">
        <v>8375</v>
      </c>
      <c r="C473" s="1">
        <v>0.18246187363834424</v>
      </c>
    </row>
    <row r="474" spans="1:3">
      <c r="A474" s="1">
        <v>46000</v>
      </c>
      <c r="B474" s="1">
        <v>8400</v>
      </c>
      <c r="C474" s="1">
        <v>0.18260869565217391</v>
      </c>
    </row>
    <row r="475" spans="1:3">
      <c r="A475" s="1">
        <v>46100</v>
      </c>
      <c r="B475" s="1">
        <v>8425</v>
      </c>
      <c r="C475" s="1">
        <v>0.18275488069414317</v>
      </c>
    </row>
    <row r="476" spans="1:3">
      <c r="A476" s="1">
        <v>46200</v>
      </c>
      <c r="B476" s="1">
        <v>8450</v>
      </c>
      <c r="C476" s="1">
        <v>0.1829004329004329</v>
      </c>
    </row>
    <row r="477" spans="1:3">
      <c r="A477" s="1">
        <v>46300</v>
      </c>
      <c r="B477" s="1">
        <v>8475</v>
      </c>
      <c r="C477" s="1">
        <v>0.18304535637149028</v>
      </c>
    </row>
    <row r="478" spans="1:3">
      <c r="A478" s="1">
        <v>46400</v>
      </c>
      <c r="B478" s="1">
        <v>8500</v>
      </c>
      <c r="C478" s="1">
        <v>0.18318965517241378</v>
      </c>
    </row>
    <row r="479" spans="1:3">
      <c r="A479" s="1">
        <v>46500</v>
      </c>
      <c r="B479" s="1">
        <v>8525</v>
      </c>
      <c r="C479" s="1">
        <v>0.18333333333333332</v>
      </c>
    </row>
    <row r="480" spans="1:3">
      <c r="A480" s="1">
        <v>46600</v>
      </c>
      <c r="B480" s="1">
        <v>8550</v>
      </c>
      <c r="C480" s="1">
        <v>0.1834763948497854</v>
      </c>
    </row>
    <row r="481" spans="1:3">
      <c r="A481" s="1">
        <v>46700</v>
      </c>
      <c r="B481" s="1">
        <v>8575</v>
      </c>
      <c r="C481" s="1">
        <v>0.18361884368308351</v>
      </c>
    </row>
    <row r="482" spans="1:3">
      <c r="A482" s="1">
        <v>46800</v>
      </c>
      <c r="B482" s="1">
        <v>8600</v>
      </c>
      <c r="C482" s="1">
        <v>0.18376068376068377</v>
      </c>
    </row>
    <row r="483" spans="1:3">
      <c r="A483" s="1">
        <v>46900</v>
      </c>
      <c r="B483" s="1">
        <v>8625</v>
      </c>
      <c r="C483" s="1">
        <v>0.18390191897654584</v>
      </c>
    </row>
    <row r="484" spans="1:3">
      <c r="A484" s="1">
        <v>47000</v>
      </c>
      <c r="B484" s="1">
        <v>8650</v>
      </c>
      <c r="C484" s="1">
        <v>0.18404255319148935</v>
      </c>
    </row>
    <row r="485" spans="1:3">
      <c r="A485" s="1">
        <v>47100</v>
      </c>
      <c r="B485" s="1">
        <v>8675</v>
      </c>
      <c r="C485" s="1">
        <v>0.18418259023354563</v>
      </c>
    </row>
    <row r="486" spans="1:3">
      <c r="A486" s="1">
        <v>47200</v>
      </c>
      <c r="B486" s="1">
        <v>8700</v>
      </c>
      <c r="C486" s="1">
        <v>0.18432203389830509</v>
      </c>
    </row>
    <row r="487" spans="1:3">
      <c r="A487" s="1">
        <v>47300</v>
      </c>
      <c r="B487" s="1">
        <v>8725</v>
      </c>
      <c r="C487" s="1">
        <v>0.18446088794926005</v>
      </c>
    </row>
    <row r="488" spans="1:3">
      <c r="A488" s="1">
        <v>47400</v>
      </c>
      <c r="B488" s="1">
        <v>8750</v>
      </c>
      <c r="C488" s="1">
        <v>0.18459915611814345</v>
      </c>
    </row>
    <row r="489" spans="1:3">
      <c r="A489" s="1">
        <v>47500</v>
      </c>
      <c r="B489" s="1">
        <v>8775</v>
      </c>
      <c r="C489" s="1">
        <v>0.18473684210526317</v>
      </c>
    </row>
    <row r="490" spans="1:3">
      <c r="A490" s="1">
        <v>47600</v>
      </c>
      <c r="B490" s="1">
        <v>8800</v>
      </c>
      <c r="C490" s="1">
        <v>0.18487394957983194</v>
      </c>
    </row>
    <row r="491" spans="1:3">
      <c r="A491" s="1">
        <v>47700</v>
      </c>
      <c r="B491" s="1">
        <v>8825</v>
      </c>
      <c r="C491" s="1">
        <v>0.18501048218029351</v>
      </c>
    </row>
    <row r="492" spans="1:3">
      <c r="A492" s="1">
        <v>47800</v>
      </c>
      <c r="B492" s="1">
        <v>8850</v>
      </c>
      <c r="C492" s="1">
        <v>0.18514644351464435</v>
      </c>
    </row>
    <row r="493" spans="1:3">
      <c r="A493" s="1">
        <v>47900</v>
      </c>
      <c r="B493" s="1">
        <v>8875</v>
      </c>
      <c r="C493" s="1">
        <v>0.18528183716075156</v>
      </c>
    </row>
    <row r="494" spans="1:3">
      <c r="A494" s="1">
        <v>48000</v>
      </c>
      <c r="B494" s="1">
        <v>8900</v>
      </c>
      <c r="C494" s="1">
        <v>0.18541666666666667</v>
      </c>
    </row>
    <row r="495" spans="1:3">
      <c r="A495" s="1">
        <v>48100</v>
      </c>
      <c r="B495" s="1">
        <v>8925</v>
      </c>
      <c r="C495" s="1">
        <v>0.18555093555093555</v>
      </c>
    </row>
    <row r="496" spans="1:3">
      <c r="A496" s="1">
        <v>48200</v>
      </c>
      <c r="B496" s="1">
        <v>8950</v>
      </c>
      <c r="C496" s="1">
        <v>0.18568464730290457</v>
      </c>
    </row>
    <row r="497" spans="1:3">
      <c r="A497" s="1">
        <v>48300</v>
      </c>
      <c r="B497" s="1">
        <v>8975</v>
      </c>
      <c r="C497" s="1">
        <v>0.18581780538302278</v>
      </c>
    </row>
    <row r="498" spans="1:3">
      <c r="A498" s="1">
        <v>48400</v>
      </c>
      <c r="B498" s="1">
        <v>9000</v>
      </c>
      <c r="C498" s="1">
        <v>0.18595041322314049</v>
      </c>
    </row>
    <row r="499" spans="1:3">
      <c r="A499" s="1">
        <v>48500</v>
      </c>
      <c r="B499" s="1">
        <v>9025</v>
      </c>
      <c r="C499" s="1">
        <v>0.18608247422680413</v>
      </c>
    </row>
    <row r="500" spans="1:3">
      <c r="A500" s="1">
        <v>48600</v>
      </c>
      <c r="B500" s="1">
        <v>9050</v>
      </c>
      <c r="C500" s="1">
        <v>0.18621399176954734</v>
      </c>
    </row>
    <row r="501" spans="1:3">
      <c r="A501" s="1">
        <v>48700</v>
      </c>
      <c r="B501" s="1">
        <v>9075</v>
      </c>
      <c r="C501" s="1">
        <v>0.18634496919917864</v>
      </c>
    </row>
    <row r="502" spans="1:3">
      <c r="A502" s="1">
        <v>48800</v>
      </c>
      <c r="B502" s="1">
        <v>9100</v>
      </c>
      <c r="C502" s="1">
        <v>0.18647540983606559</v>
      </c>
    </row>
    <row r="503" spans="1:3">
      <c r="A503" s="1">
        <v>48900</v>
      </c>
      <c r="B503" s="1">
        <v>9125</v>
      </c>
      <c r="C503" s="1">
        <v>0.18660531697341512</v>
      </c>
    </row>
    <row r="504" spans="1:3">
      <c r="A504" s="1">
        <v>49000</v>
      </c>
      <c r="B504" s="1">
        <v>9150</v>
      </c>
      <c r="C504" s="1">
        <v>0.18673469387755101</v>
      </c>
    </row>
    <row r="505" spans="1:3">
      <c r="A505" s="1">
        <v>49100</v>
      </c>
      <c r="B505" s="1">
        <v>9175</v>
      </c>
      <c r="C505" s="1">
        <v>0.18686354378818737</v>
      </c>
    </row>
    <row r="506" spans="1:3">
      <c r="A506" s="1">
        <v>49200</v>
      </c>
      <c r="B506" s="1">
        <v>9200</v>
      </c>
      <c r="C506" s="1">
        <v>0.18699186991869918</v>
      </c>
    </row>
    <row r="507" spans="1:3">
      <c r="A507" s="1">
        <v>49300</v>
      </c>
      <c r="B507" s="1">
        <v>9225</v>
      </c>
      <c r="C507" s="1">
        <v>0.18711967545638944</v>
      </c>
    </row>
    <row r="508" spans="1:3">
      <c r="A508" s="1">
        <v>49400</v>
      </c>
      <c r="B508" s="1">
        <v>9250</v>
      </c>
      <c r="C508" s="1">
        <v>0.18724696356275303</v>
      </c>
    </row>
    <row r="509" spans="1:3">
      <c r="A509" s="1">
        <v>49500</v>
      </c>
      <c r="B509" s="1">
        <v>9275</v>
      </c>
      <c r="C509" s="1">
        <v>0.18737373737373739</v>
      </c>
    </row>
    <row r="510" spans="1:3">
      <c r="A510" s="1">
        <v>49600</v>
      </c>
      <c r="B510" s="1">
        <v>9300</v>
      </c>
      <c r="C510" s="1">
        <v>0.1875</v>
      </c>
    </row>
    <row r="511" spans="1:3">
      <c r="A511" s="1">
        <v>49700</v>
      </c>
      <c r="B511" s="1">
        <v>9325</v>
      </c>
      <c r="C511" s="1">
        <v>0.18762575452716299</v>
      </c>
    </row>
    <row r="512" spans="1:3">
      <c r="A512" s="1">
        <v>49800</v>
      </c>
      <c r="B512" s="1">
        <v>9350</v>
      </c>
      <c r="C512" s="1">
        <v>0.18775100401606426</v>
      </c>
    </row>
    <row r="513" spans="1:3">
      <c r="A513" s="1">
        <v>49900</v>
      </c>
      <c r="B513" s="1">
        <v>9375</v>
      </c>
      <c r="C513" s="1">
        <v>0.18787575150300601</v>
      </c>
    </row>
    <row r="514" spans="1:3">
      <c r="A514" s="1">
        <v>50000</v>
      </c>
      <c r="B514" s="1">
        <v>9400</v>
      </c>
      <c r="C514" s="1">
        <v>0.188</v>
      </c>
    </row>
    <row r="515" spans="1:3">
      <c r="A515" s="1">
        <v>50100</v>
      </c>
      <c r="B515" s="1">
        <v>9425</v>
      </c>
      <c r="C515" s="1">
        <v>0.18812375249500998</v>
      </c>
    </row>
    <row r="516" spans="1:3">
      <c r="A516" s="1">
        <v>50200</v>
      </c>
      <c r="B516" s="1">
        <v>9450</v>
      </c>
      <c r="C516" s="1">
        <v>0.18824701195219123</v>
      </c>
    </row>
    <row r="517" spans="1:3">
      <c r="A517" s="1">
        <v>50300</v>
      </c>
      <c r="B517" s="1">
        <v>9475</v>
      </c>
      <c r="C517" s="1">
        <v>0.18836978131212723</v>
      </c>
    </row>
    <row r="518" spans="1:3">
      <c r="A518" s="1">
        <v>50400</v>
      </c>
      <c r="B518" s="1">
        <v>9500</v>
      </c>
      <c r="C518" s="1">
        <v>0.18849206349206349</v>
      </c>
    </row>
    <row r="519" spans="1:3">
      <c r="A519" s="1">
        <v>50500</v>
      </c>
      <c r="B519" s="1">
        <v>9525</v>
      </c>
      <c r="C519" s="1">
        <v>0.18861386138613861</v>
      </c>
    </row>
    <row r="520" spans="1:3">
      <c r="A520" s="1">
        <v>50600</v>
      </c>
      <c r="B520" s="1">
        <v>9550</v>
      </c>
      <c r="C520" s="1">
        <v>0.18873517786561264</v>
      </c>
    </row>
    <row r="521" spans="1:3">
      <c r="A521" s="1">
        <v>50700</v>
      </c>
      <c r="B521" s="1">
        <v>9575</v>
      </c>
      <c r="C521" s="1">
        <v>0.1888560157790927</v>
      </c>
    </row>
    <row r="522" spans="1:3">
      <c r="A522" s="1">
        <v>50800</v>
      </c>
      <c r="B522" s="1">
        <v>9600</v>
      </c>
      <c r="C522" s="1">
        <v>0.1889763779527559</v>
      </c>
    </row>
    <row r="523" spans="1:3">
      <c r="A523" s="1">
        <v>50900</v>
      </c>
      <c r="B523" s="1">
        <v>9625</v>
      </c>
      <c r="C523" s="1">
        <v>0.18909626719056974</v>
      </c>
    </row>
    <row r="524" spans="1:3">
      <c r="A524" s="1">
        <v>51000</v>
      </c>
      <c r="B524" s="1">
        <v>9650</v>
      </c>
      <c r="C524" s="1">
        <v>0.1892156862745098</v>
      </c>
    </row>
    <row r="525" spans="1:3">
      <c r="A525" s="1">
        <v>51100</v>
      </c>
      <c r="B525" s="1">
        <v>9675</v>
      </c>
      <c r="C525" s="1">
        <v>0.18933463796477495</v>
      </c>
    </row>
    <row r="526" spans="1:3">
      <c r="A526" s="1">
        <v>51200</v>
      </c>
      <c r="B526" s="1">
        <v>9700</v>
      </c>
      <c r="C526" s="1">
        <v>0.189453125</v>
      </c>
    </row>
    <row r="527" spans="1:3">
      <c r="A527" s="1">
        <v>51300</v>
      </c>
      <c r="B527" s="1">
        <v>9725</v>
      </c>
      <c r="C527" s="1">
        <v>0.18957115009746589</v>
      </c>
    </row>
    <row r="528" spans="1:3">
      <c r="A528" s="1">
        <v>51400</v>
      </c>
      <c r="B528" s="1">
        <v>9750</v>
      </c>
      <c r="C528" s="1">
        <v>0.18968871595330739</v>
      </c>
    </row>
    <row r="529" spans="1:3">
      <c r="A529" s="1">
        <v>51500</v>
      </c>
      <c r="B529" s="1">
        <v>9775</v>
      </c>
      <c r="C529" s="1">
        <v>0.18980582524271844</v>
      </c>
    </row>
    <row r="530" spans="1:3">
      <c r="A530" s="1">
        <v>51600</v>
      </c>
      <c r="B530" s="1">
        <v>9800</v>
      </c>
      <c r="C530" s="1">
        <v>0.18992248062015504</v>
      </c>
    </row>
    <row r="531" spans="1:3">
      <c r="A531" s="1">
        <v>51700</v>
      </c>
      <c r="B531" s="1">
        <v>9825</v>
      </c>
      <c r="C531" s="1">
        <v>0.19003868471953578</v>
      </c>
    </row>
    <row r="532" spans="1:3">
      <c r="A532" s="1">
        <v>51800</v>
      </c>
      <c r="B532" s="1">
        <v>9850</v>
      </c>
      <c r="C532" s="1">
        <v>0.19015444015444016</v>
      </c>
    </row>
    <row r="533" spans="1:3">
      <c r="A533" s="1">
        <v>51900</v>
      </c>
      <c r="B533" s="1">
        <v>9875</v>
      </c>
      <c r="C533" s="1">
        <v>0.19026974951830444</v>
      </c>
    </row>
    <row r="534" spans="1:3">
      <c r="A534" s="1">
        <v>52000</v>
      </c>
      <c r="B534" s="1">
        <v>9900</v>
      </c>
      <c r="C534" s="1">
        <v>0.19038461538461537</v>
      </c>
    </row>
    <row r="535" spans="1:3">
      <c r="A535" s="1">
        <v>52100</v>
      </c>
      <c r="B535" s="1">
        <v>9925</v>
      </c>
      <c r="C535" s="1">
        <v>0.19049904030710174</v>
      </c>
    </row>
    <row r="536" spans="1:3">
      <c r="A536" s="1">
        <v>52200</v>
      </c>
      <c r="B536" s="1">
        <v>9950</v>
      </c>
      <c r="C536" s="1">
        <v>0.19061302681992337</v>
      </c>
    </row>
    <row r="537" spans="1:3">
      <c r="A537" s="1">
        <v>52300</v>
      </c>
      <c r="B537" s="1">
        <v>9975</v>
      </c>
      <c r="C537" s="1">
        <v>0.19072657743785851</v>
      </c>
    </row>
    <row r="538" spans="1:3">
      <c r="A538" s="1">
        <v>52400</v>
      </c>
      <c r="B538" s="1">
        <v>10000</v>
      </c>
      <c r="C538" s="1">
        <v>0.19083969465648856</v>
      </c>
    </row>
    <row r="539" spans="1:3">
      <c r="A539" s="1">
        <v>52500</v>
      </c>
      <c r="B539" s="1">
        <v>10025</v>
      </c>
      <c r="C539" s="1">
        <v>0.19095238095238096</v>
      </c>
    </row>
    <row r="540" spans="1:3">
      <c r="A540" s="1">
        <v>52600</v>
      </c>
      <c r="B540" s="1">
        <v>10050</v>
      </c>
      <c r="C540" s="1">
        <v>0.19106463878326996</v>
      </c>
    </row>
    <row r="541" spans="1:3">
      <c r="A541" s="1">
        <v>52700</v>
      </c>
      <c r="B541" s="1">
        <v>10075</v>
      </c>
      <c r="C541" s="1">
        <v>0.19117647058823528</v>
      </c>
    </row>
    <row r="542" spans="1:3">
      <c r="A542" s="1">
        <v>52800</v>
      </c>
      <c r="B542" s="1">
        <v>10100</v>
      </c>
      <c r="C542" s="1">
        <v>0.19128787878787878</v>
      </c>
    </row>
    <row r="543" spans="1:3">
      <c r="A543" s="1">
        <v>52900</v>
      </c>
      <c r="B543" s="1">
        <v>10125</v>
      </c>
      <c r="C543" s="1">
        <v>0.19139886578449905</v>
      </c>
    </row>
    <row r="544" spans="1:3">
      <c r="A544" s="1">
        <v>53000</v>
      </c>
      <c r="B544" s="1">
        <v>10150</v>
      </c>
      <c r="C544" s="1">
        <v>0.19150943396226416</v>
      </c>
    </row>
    <row r="545" spans="1:3">
      <c r="A545" s="1">
        <v>53100</v>
      </c>
      <c r="B545" s="1">
        <v>10175</v>
      </c>
      <c r="C545" s="1">
        <v>0.1916195856873823</v>
      </c>
    </row>
    <row r="546" spans="1:3">
      <c r="A546" s="1">
        <v>53200</v>
      </c>
      <c r="B546" s="1">
        <v>10200</v>
      </c>
      <c r="C546" s="1">
        <v>0.19172932330827067</v>
      </c>
    </row>
    <row r="547" spans="1:3">
      <c r="A547" s="1">
        <v>53300</v>
      </c>
      <c r="B547" s="1">
        <v>10225</v>
      </c>
      <c r="C547" s="1">
        <v>0.19183864915572232</v>
      </c>
    </row>
    <row r="548" spans="1:3">
      <c r="A548" s="1">
        <v>53400</v>
      </c>
      <c r="B548" s="1">
        <v>10250</v>
      </c>
      <c r="C548" s="1">
        <v>0.19194756554307116</v>
      </c>
    </row>
    <row r="549" spans="1:3">
      <c r="A549" s="1">
        <v>53500</v>
      </c>
      <c r="B549" s="1">
        <v>10275</v>
      </c>
      <c r="C549" s="1">
        <v>0.19205607476635514</v>
      </c>
    </row>
    <row r="550" spans="1:3">
      <c r="A550" s="1">
        <v>53600</v>
      </c>
      <c r="B550" s="1">
        <v>10300</v>
      </c>
      <c r="C550" s="1">
        <v>0.19216417910447761</v>
      </c>
    </row>
    <row r="551" spans="1:3">
      <c r="A551" s="1">
        <v>53700</v>
      </c>
      <c r="B551" s="1">
        <v>10325</v>
      </c>
      <c r="C551" s="1">
        <v>0.19227188081936686</v>
      </c>
    </row>
    <row r="552" spans="1:3">
      <c r="A552" s="1">
        <v>53800</v>
      </c>
      <c r="B552" s="1">
        <v>10350</v>
      </c>
      <c r="C552" s="1">
        <v>0.19237918215613384</v>
      </c>
    </row>
    <row r="553" spans="1:3">
      <c r="A553" s="1">
        <v>53900</v>
      </c>
      <c r="B553" s="1">
        <v>10375</v>
      </c>
      <c r="C553" s="1">
        <v>0.1924860853432282</v>
      </c>
    </row>
    <row r="554" spans="1:3">
      <c r="A554" s="1">
        <v>54000</v>
      </c>
      <c r="B554" s="1">
        <v>10400</v>
      </c>
      <c r="C554" s="1">
        <v>0.19259259259259259</v>
      </c>
    </row>
    <row r="555" spans="1:3">
      <c r="A555" s="1">
        <v>54100</v>
      </c>
      <c r="B555" s="1">
        <v>10425</v>
      </c>
      <c r="C555" s="1">
        <v>0.19269870609981515</v>
      </c>
    </row>
    <row r="556" spans="1:3">
      <c r="A556" s="1">
        <v>54200</v>
      </c>
      <c r="B556" s="1">
        <v>10450</v>
      </c>
      <c r="C556" s="1">
        <v>0.19280442804428044</v>
      </c>
    </row>
    <row r="557" spans="1:3">
      <c r="A557" s="1">
        <v>54300</v>
      </c>
      <c r="B557" s="1">
        <v>10475</v>
      </c>
      <c r="C557" s="1">
        <v>0.19290976058931861</v>
      </c>
    </row>
    <row r="558" spans="1:3">
      <c r="A558" s="1">
        <v>54400</v>
      </c>
      <c r="B558" s="1">
        <v>10500</v>
      </c>
      <c r="C558" s="1">
        <v>0.19301470588235295</v>
      </c>
    </row>
    <row r="559" spans="1:3">
      <c r="A559" s="1">
        <v>54500</v>
      </c>
      <c r="B559" s="1">
        <v>10525</v>
      </c>
      <c r="C559" s="1">
        <v>0.19311926605504587</v>
      </c>
    </row>
    <row r="560" spans="1:3">
      <c r="A560" s="1">
        <v>54600</v>
      </c>
      <c r="B560" s="1">
        <v>10550</v>
      </c>
      <c r="C560" s="1">
        <v>0.19322344322344323</v>
      </c>
    </row>
    <row r="561" spans="1:3">
      <c r="A561" s="1">
        <v>54700</v>
      </c>
      <c r="B561" s="1">
        <v>10575</v>
      </c>
      <c r="C561" s="1">
        <v>0.193327239488117</v>
      </c>
    </row>
    <row r="562" spans="1:3">
      <c r="A562" s="1">
        <v>54800</v>
      </c>
      <c r="B562" s="1">
        <v>10600</v>
      </c>
      <c r="C562" s="1">
        <v>0.19343065693430658</v>
      </c>
    </row>
    <row r="563" spans="1:3">
      <c r="A563" s="1">
        <v>54900</v>
      </c>
      <c r="B563" s="1">
        <v>10625</v>
      </c>
      <c r="C563" s="1">
        <v>0.1935336976320583</v>
      </c>
    </row>
    <row r="564" spans="1:3">
      <c r="A564" s="1">
        <v>55000</v>
      </c>
      <c r="B564" s="1">
        <v>10650</v>
      </c>
      <c r="C564" s="1">
        <v>0.19363636363636363</v>
      </c>
    </row>
    <row r="565" spans="1:3">
      <c r="A565" s="1">
        <v>55100</v>
      </c>
      <c r="B565" s="1">
        <v>10675</v>
      </c>
      <c r="C565" s="1">
        <v>0.19373865698729584</v>
      </c>
    </row>
    <row r="566" spans="1:3">
      <c r="A566" s="1">
        <v>55200</v>
      </c>
      <c r="B566" s="1">
        <v>10700</v>
      </c>
      <c r="C566" s="1">
        <v>0.19384057971014493</v>
      </c>
    </row>
    <row r="567" spans="1:3">
      <c r="A567" s="1">
        <v>55300</v>
      </c>
      <c r="B567" s="1">
        <v>10725</v>
      </c>
      <c r="C567" s="1">
        <v>0.19394213381555153</v>
      </c>
    </row>
    <row r="568" spans="1:3">
      <c r="A568" s="1">
        <v>55400</v>
      </c>
      <c r="B568" s="1">
        <v>10750</v>
      </c>
      <c r="C568" s="1">
        <v>0.194043321299639</v>
      </c>
    </row>
    <row r="569" spans="1:3">
      <c r="A569" s="1">
        <v>55500</v>
      </c>
      <c r="B569" s="1">
        <v>10775</v>
      </c>
      <c r="C569" s="1">
        <v>0.19414414414414413</v>
      </c>
    </row>
    <row r="570" spans="1:3">
      <c r="A570" s="1">
        <v>55600</v>
      </c>
      <c r="B570" s="1">
        <v>10800</v>
      </c>
      <c r="C570" s="1">
        <v>0.19424460431654678</v>
      </c>
    </row>
    <row r="571" spans="1:3">
      <c r="A571" s="1">
        <v>55700</v>
      </c>
      <c r="B571" s="1">
        <v>10825</v>
      </c>
      <c r="C571" s="1">
        <v>0.1943447037701975</v>
      </c>
    </row>
    <row r="572" spans="1:3">
      <c r="A572" s="1">
        <v>55800</v>
      </c>
      <c r="B572" s="1">
        <v>10850</v>
      </c>
      <c r="C572" s="1">
        <v>0.19444444444444445</v>
      </c>
    </row>
    <row r="573" spans="1:3">
      <c r="A573" s="1">
        <v>55900</v>
      </c>
      <c r="B573" s="1">
        <v>10875</v>
      </c>
      <c r="C573" s="1">
        <v>0.19454382826475849</v>
      </c>
    </row>
    <row r="574" spans="1:3">
      <c r="A574" s="1">
        <v>56000</v>
      </c>
      <c r="B574" s="1">
        <v>10900</v>
      </c>
      <c r="C574" s="1">
        <v>0.19464285714285715</v>
      </c>
    </row>
    <row r="575" spans="1:3">
      <c r="A575" s="1">
        <v>56100</v>
      </c>
      <c r="B575" s="1">
        <v>10925</v>
      </c>
      <c r="C575" s="1">
        <v>0.19474153297682709</v>
      </c>
    </row>
    <row r="576" spans="1:3">
      <c r="A576" s="1">
        <v>56200</v>
      </c>
      <c r="B576" s="1">
        <v>10950</v>
      </c>
      <c r="C576" s="1">
        <v>0.19483985765124556</v>
      </c>
    </row>
    <row r="577" spans="1:3">
      <c r="A577" s="1">
        <v>56300</v>
      </c>
      <c r="B577" s="1">
        <v>10975</v>
      </c>
      <c r="C577" s="1">
        <v>0.19493783303730017</v>
      </c>
    </row>
    <row r="578" spans="1:3">
      <c r="A578" s="1">
        <v>56400</v>
      </c>
      <c r="B578" s="1">
        <v>11000</v>
      </c>
      <c r="C578" s="1">
        <v>0.19503546099290781</v>
      </c>
    </row>
    <row r="579" spans="1:3">
      <c r="A579" s="1">
        <v>56500</v>
      </c>
      <c r="B579" s="1">
        <v>11025</v>
      </c>
      <c r="C579" s="1">
        <v>0.19513274336283185</v>
      </c>
    </row>
    <row r="580" spans="1:3">
      <c r="A580" s="1">
        <v>56600</v>
      </c>
      <c r="B580" s="1">
        <v>11050</v>
      </c>
      <c r="C580" s="1">
        <v>0.19522968197879859</v>
      </c>
    </row>
    <row r="581" spans="1:3">
      <c r="A581" s="1">
        <v>56700</v>
      </c>
      <c r="B581" s="1">
        <v>11075</v>
      </c>
      <c r="C581" s="1">
        <v>0.195326278659612</v>
      </c>
    </row>
    <row r="582" spans="1:3">
      <c r="A582" s="1">
        <v>56800</v>
      </c>
      <c r="B582" s="1">
        <v>11100</v>
      </c>
      <c r="C582" s="1">
        <v>0.1954225352112676</v>
      </c>
    </row>
    <row r="583" spans="1:3">
      <c r="A583" s="1">
        <v>56900</v>
      </c>
      <c r="B583" s="1">
        <v>11125</v>
      </c>
      <c r="C583" s="1">
        <v>0.19551845342706503</v>
      </c>
    </row>
    <row r="584" spans="1:3">
      <c r="A584" s="1">
        <v>57000</v>
      </c>
      <c r="B584" s="1">
        <v>11150</v>
      </c>
      <c r="C584" s="1">
        <v>0.1956140350877193</v>
      </c>
    </row>
    <row r="585" spans="1:3">
      <c r="A585" s="1">
        <v>57100</v>
      </c>
      <c r="B585" s="1">
        <v>11175</v>
      </c>
      <c r="C585" s="1">
        <v>0.19570928196147111</v>
      </c>
    </row>
    <row r="586" spans="1:3">
      <c r="A586" s="1">
        <v>57200</v>
      </c>
      <c r="B586" s="1">
        <v>11200</v>
      </c>
      <c r="C586" s="1">
        <v>0.19580419580419581</v>
      </c>
    </row>
    <row r="587" spans="1:3">
      <c r="A587" s="1">
        <v>57300</v>
      </c>
      <c r="B587" s="1">
        <v>11225</v>
      </c>
      <c r="C587" s="1">
        <v>0.19589877835951133</v>
      </c>
    </row>
    <row r="588" spans="1:3">
      <c r="A588" s="1">
        <v>57400</v>
      </c>
      <c r="B588" s="1">
        <v>11250</v>
      </c>
      <c r="C588" s="1">
        <v>0.19599303135888502</v>
      </c>
    </row>
    <row r="589" spans="1:3">
      <c r="A589" s="1">
        <v>57500</v>
      </c>
      <c r="B589" s="1">
        <v>11275</v>
      </c>
      <c r="C589" s="1">
        <v>0.19608695652173913</v>
      </c>
    </row>
    <row r="590" spans="1:3">
      <c r="A590" s="1">
        <v>57600</v>
      </c>
      <c r="B590" s="1">
        <v>11300</v>
      </c>
      <c r="C590" s="1">
        <v>0.19618055555555555</v>
      </c>
    </row>
    <row r="591" spans="1:3">
      <c r="A591" s="1">
        <v>57700</v>
      </c>
      <c r="B591" s="1">
        <v>11325</v>
      </c>
      <c r="C591" s="1">
        <v>0.19627383015597921</v>
      </c>
    </row>
    <row r="592" spans="1:3">
      <c r="A592" s="1">
        <v>57800</v>
      </c>
      <c r="B592" s="1">
        <v>11350</v>
      </c>
      <c r="C592" s="1">
        <v>0.19636678200692043</v>
      </c>
    </row>
    <row r="593" spans="1:3">
      <c r="A593" s="1">
        <v>57900</v>
      </c>
      <c r="B593" s="1">
        <v>11375</v>
      </c>
      <c r="C593" s="1">
        <v>0.19645941278065632</v>
      </c>
    </row>
    <row r="594" spans="1:3">
      <c r="A594" s="1">
        <v>58000</v>
      </c>
      <c r="B594" s="1">
        <v>11400</v>
      </c>
      <c r="C594" s="1">
        <v>0.19655172413793104</v>
      </c>
    </row>
    <row r="595" spans="1:3">
      <c r="A595" s="1">
        <v>58100</v>
      </c>
      <c r="B595" s="1">
        <v>11425</v>
      </c>
      <c r="C595" s="1">
        <v>0.19664371772805508</v>
      </c>
    </row>
    <row r="596" spans="1:3">
      <c r="A596" s="1">
        <v>58200</v>
      </c>
      <c r="B596" s="1">
        <v>11450</v>
      </c>
      <c r="C596" s="1">
        <v>0.19673539518900343</v>
      </c>
    </row>
    <row r="597" spans="1:3">
      <c r="A597" s="1">
        <v>58300</v>
      </c>
      <c r="B597" s="1">
        <v>11475</v>
      </c>
      <c r="C597" s="1">
        <v>0.19682675814751285</v>
      </c>
    </row>
    <row r="598" spans="1:3">
      <c r="A598" s="1">
        <v>58400</v>
      </c>
      <c r="B598" s="1">
        <v>11500</v>
      </c>
      <c r="C598" s="1">
        <v>0.19691780821917809</v>
      </c>
    </row>
    <row r="599" spans="1:3">
      <c r="A599" s="1">
        <v>58500</v>
      </c>
      <c r="B599" s="1">
        <v>11525</v>
      </c>
      <c r="C599" s="1">
        <v>0.197008547008547</v>
      </c>
    </row>
    <row r="600" spans="1:3">
      <c r="A600" s="1">
        <v>58600</v>
      </c>
      <c r="B600" s="1">
        <v>11550</v>
      </c>
      <c r="C600" s="1">
        <v>0.19709897610921501</v>
      </c>
    </row>
    <row r="601" spans="1:3">
      <c r="A601" s="1">
        <v>58700</v>
      </c>
      <c r="B601" s="1">
        <v>11575</v>
      </c>
      <c r="C601" s="1">
        <v>0.19718909710391821</v>
      </c>
    </row>
    <row r="602" spans="1:3">
      <c r="A602" s="1">
        <v>58800</v>
      </c>
      <c r="B602" s="1">
        <v>11600</v>
      </c>
      <c r="C602" s="1">
        <v>0.19727891156462585</v>
      </c>
    </row>
    <row r="603" spans="1:3">
      <c r="A603" s="1">
        <v>58900</v>
      </c>
      <c r="B603" s="1">
        <v>11625</v>
      </c>
      <c r="C603" s="1">
        <v>0.19736842105263158</v>
      </c>
    </row>
    <row r="604" spans="1:3">
      <c r="A604" s="1">
        <v>59000</v>
      </c>
      <c r="B604" s="1">
        <v>11650</v>
      </c>
      <c r="C604" s="1">
        <v>0.19745762711864406</v>
      </c>
    </row>
    <row r="605" spans="1:3">
      <c r="A605" s="1">
        <v>59100</v>
      </c>
      <c r="B605" s="1">
        <v>11675</v>
      </c>
      <c r="C605" s="1">
        <v>0.19754653130287647</v>
      </c>
    </row>
    <row r="606" spans="1:3">
      <c r="A606" s="1">
        <v>59200</v>
      </c>
      <c r="B606" s="1">
        <v>11700</v>
      </c>
      <c r="C606" s="1">
        <v>0.19763513513513514</v>
      </c>
    </row>
    <row r="607" spans="1:3">
      <c r="A607" s="1">
        <v>59300</v>
      </c>
      <c r="B607" s="1">
        <v>11725</v>
      </c>
      <c r="C607" s="1">
        <v>0.19772344013490725</v>
      </c>
    </row>
    <row r="608" spans="1:3">
      <c r="A608" s="1">
        <v>59400</v>
      </c>
      <c r="B608" s="1">
        <v>11750</v>
      </c>
      <c r="C608" s="1">
        <v>0.1978114478114478</v>
      </c>
    </row>
    <row r="609" spans="1:3">
      <c r="A609" s="1">
        <v>59500</v>
      </c>
      <c r="B609" s="1">
        <v>11775</v>
      </c>
      <c r="C609" s="1">
        <v>0.19789915966386554</v>
      </c>
    </row>
    <row r="610" spans="1:3">
      <c r="A610" s="1">
        <v>59600</v>
      </c>
      <c r="B610" s="1">
        <v>11800</v>
      </c>
      <c r="C610" s="1">
        <v>0.19798657718120805</v>
      </c>
    </row>
    <row r="611" spans="1:3">
      <c r="A611" s="1">
        <v>59700</v>
      </c>
      <c r="B611" s="1">
        <v>11825</v>
      </c>
      <c r="C611" s="1">
        <v>0.19807370184254605</v>
      </c>
    </row>
    <row r="612" spans="1:3">
      <c r="A612" s="1">
        <v>59800</v>
      </c>
      <c r="B612" s="1">
        <v>11850</v>
      </c>
      <c r="C612" s="1">
        <v>0.19816053511705686</v>
      </c>
    </row>
    <row r="613" spans="1:3">
      <c r="A613" s="1">
        <v>59900</v>
      </c>
      <c r="B613" s="1">
        <v>11875</v>
      </c>
      <c r="C613" s="1">
        <v>0.19824707846410686</v>
      </c>
    </row>
    <row r="614" spans="1:3">
      <c r="A614" s="1">
        <v>60000</v>
      </c>
      <c r="B614" s="1">
        <v>11900</v>
      </c>
      <c r="C614" s="1">
        <v>0.19833333333333333</v>
      </c>
    </row>
    <row r="615" spans="1:3">
      <c r="A615" s="1">
        <v>60100</v>
      </c>
      <c r="B615" s="1">
        <v>11925</v>
      </c>
      <c r="C615" s="1">
        <v>0.19841930116472545</v>
      </c>
    </row>
    <row r="616" spans="1:3">
      <c r="A616" s="1">
        <v>60200</v>
      </c>
      <c r="B616" s="1">
        <v>11950</v>
      </c>
      <c r="C616" s="1">
        <v>0.19850498338870431</v>
      </c>
    </row>
    <row r="617" spans="1:3">
      <c r="A617" s="1">
        <v>60300</v>
      </c>
      <c r="B617" s="1">
        <v>11975</v>
      </c>
      <c r="C617" s="1">
        <v>0.19859038142620233</v>
      </c>
    </row>
    <row r="618" spans="1:3">
      <c r="A618" s="1">
        <v>60400</v>
      </c>
      <c r="B618" s="1">
        <v>12000</v>
      </c>
      <c r="C618" s="1">
        <v>0.19867549668874171</v>
      </c>
    </row>
    <row r="619" spans="1:3">
      <c r="A619" s="1">
        <v>60500</v>
      </c>
      <c r="B619" s="1">
        <v>12025</v>
      </c>
      <c r="C619" s="1">
        <v>0.19876033057851239</v>
      </c>
    </row>
    <row r="620" spans="1:3">
      <c r="A620" s="1">
        <v>60600</v>
      </c>
      <c r="B620" s="1">
        <v>12050</v>
      </c>
      <c r="C620" s="1">
        <v>0.19884488448844884</v>
      </c>
    </row>
    <row r="621" spans="1:3">
      <c r="A621" s="1">
        <v>60700</v>
      </c>
      <c r="B621" s="1">
        <v>12075</v>
      </c>
      <c r="C621" s="1">
        <v>0.19892915980230644</v>
      </c>
    </row>
    <row r="622" spans="1:3">
      <c r="A622" s="1">
        <v>60800</v>
      </c>
      <c r="B622" s="1">
        <v>12100</v>
      </c>
      <c r="C622" s="1">
        <v>0.19901315789473684</v>
      </c>
    </row>
    <row r="623" spans="1:3">
      <c r="A623" s="1">
        <v>60900</v>
      </c>
      <c r="B623" s="1">
        <v>12125</v>
      </c>
      <c r="C623" s="1">
        <v>0.1990968801313629</v>
      </c>
    </row>
    <row r="624" spans="1:3">
      <c r="A624" s="1">
        <v>61000</v>
      </c>
      <c r="B624" s="1">
        <v>12150</v>
      </c>
      <c r="C624" s="1">
        <v>0.19918032786885245</v>
      </c>
    </row>
    <row r="625" spans="1:3">
      <c r="A625" s="1">
        <v>61100</v>
      </c>
      <c r="B625" s="1">
        <v>12175</v>
      </c>
      <c r="C625" s="1">
        <v>0.1992635024549918</v>
      </c>
    </row>
    <row r="626" spans="1:3">
      <c r="A626" s="1">
        <v>61200</v>
      </c>
      <c r="B626" s="1">
        <v>12200</v>
      </c>
      <c r="C626" s="1">
        <v>0.19934640522875818</v>
      </c>
    </row>
    <row r="627" spans="1:3">
      <c r="A627" s="1">
        <v>61300</v>
      </c>
      <c r="B627" s="1">
        <v>12225</v>
      </c>
      <c r="C627" s="1">
        <v>0.19942903752039151</v>
      </c>
    </row>
    <row r="628" spans="1:3">
      <c r="A628" s="1">
        <v>61400</v>
      </c>
      <c r="B628" s="1">
        <v>12250</v>
      </c>
      <c r="C628" s="1">
        <v>0.1995114006514658</v>
      </c>
    </row>
    <row r="629" spans="1:3">
      <c r="A629" s="1">
        <v>61500</v>
      </c>
      <c r="B629" s="1">
        <v>12275</v>
      </c>
      <c r="C629" s="1">
        <v>0.19959349593495934</v>
      </c>
    </row>
    <row r="630" spans="1:3">
      <c r="A630" s="1">
        <v>61600</v>
      </c>
      <c r="B630" s="1">
        <v>12300</v>
      </c>
      <c r="C630" s="1">
        <v>0.19967532467532467</v>
      </c>
    </row>
    <row r="631" spans="1:3">
      <c r="A631" s="1">
        <v>61700</v>
      </c>
      <c r="B631" s="1">
        <v>12325</v>
      </c>
      <c r="C631" s="1">
        <v>0.19975688816855752</v>
      </c>
    </row>
    <row r="632" spans="1:3">
      <c r="A632" s="1">
        <v>61800</v>
      </c>
      <c r="B632" s="1">
        <v>12350</v>
      </c>
      <c r="C632" s="1">
        <v>0.19983818770226539</v>
      </c>
    </row>
    <row r="633" spans="1:3">
      <c r="A633" s="1">
        <v>61900</v>
      </c>
      <c r="B633" s="1">
        <v>12375</v>
      </c>
      <c r="C633" s="1">
        <v>0.19991922455573505</v>
      </c>
    </row>
    <row r="634" spans="1:3">
      <c r="A634" s="1">
        <v>62000</v>
      </c>
      <c r="B634" s="1">
        <v>12400</v>
      </c>
      <c r="C634" s="1">
        <v>0.2</v>
      </c>
    </row>
    <row r="635" spans="1:3">
      <c r="A635" s="1">
        <v>62100</v>
      </c>
      <c r="B635" s="1">
        <v>12425</v>
      </c>
      <c r="C635" s="1">
        <v>0.2000805152979066</v>
      </c>
    </row>
    <row r="636" spans="1:3">
      <c r="A636" s="1">
        <v>62200</v>
      </c>
      <c r="B636" s="1">
        <v>12450</v>
      </c>
      <c r="C636" s="1">
        <v>0.20016077170418006</v>
      </c>
    </row>
    <row r="637" spans="1:3">
      <c r="A637" s="1">
        <v>62300</v>
      </c>
      <c r="B637" s="1">
        <v>12475</v>
      </c>
      <c r="C637" s="1">
        <v>0.20024077046548958</v>
      </c>
    </row>
    <row r="638" spans="1:3">
      <c r="A638" s="1">
        <v>62400</v>
      </c>
      <c r="B638" s="1">
        <v>12500</v>
      </c>
      <c r="C638" s="1">
        <v>0.20032051282051283</v>
      </c>
    </row>
    <row r="639" spans="1:3">
      <c r="A639" s="1">
        <v>62500</v>
      </c>
      <c r="B639" s="1">
        <v>12525</v>
      </c>
      <c r="C639" s="1">
        <v>0.20039999999999999</v>
      </c>
    </row>
    <row r="640" spans="1:3">
      <c r="A640" s="1">
        <v>62600</v>
      </c>
      <c r="B640" s="1">
        <v>12550</v>
      </c>
      <c r="C640" s="1">
        <v>0.20047923322683706</v>
      </c>
    </row>
    <row r="641" spans="1:3">
      <c r="A641" s="1">
        <v>62700</v>
      </c>
      <c r="B641" s="1">
        <v>12575</v>
      </c>
      <c r="C641" s="1">
        <v>0.20055821371610846</v>
      </c>
    </row>
    <row r="642" spans="1:3">
      <c r="A642" s="1">
        <v>62800</v>
      </c>
      <c r="B642" s="1">
        <v>12600</v>
      </c>
      <c r="C642" s="1">
        <v>0.20063694267515925</v>
      </c>
    </row>
    <row r="643" spans="1:3">
      <c r="A643" s="1">
        <v>62900</v>
      </c>
      <c r="B643" s="1">
        <v>12625</v>
      </c>
      <c r="C643" s="1">
        <v>0.2007154213036566</v>
      </c>
    </row>
    <row r="644" spans="1:3">
      <c r="A644" s="1">
        <v>63000</v>
      </c>
      <c r="B644" s="1">
        <v>12650</v>
      </c>
      <c r="C644" s="1">
        <v>0.2007936507936508</v>
      </c>
    </row>
    <row r="645" spans="1:3">
      <c r="A645" s="1">
        <v>63100</v>
      </c>
      <c r="B645" s="1">
        <v>12675</v>
      </c>
      <c r="C645" s="1">
        <v>0.20087163232963551</v>
      </c>
    </row>
    <row r="646" spans="1:3">
      <c r="A646" s="1">
        <v>63200</v>
      </c>
      <c r="B646" s="1">
        <v>12700</v>
      </c>
      <c r="C646" s="1">
        <v>0.20094936708860758</v>
      </c>
    </row>
    <row r="647" spans="1:3">
      <c r="A647" s="1">
        <v>63300</v>
      </c>
      <c r="B647" s="1">
        <v>12725</v>
      </c>
      <c r="C647" s="1">
        <v>0.20102685624012639</v>
      </c>
    </row>
    <row r="648" spans="1:3">
      <c r="A648" s="1">
        <v>63400</v>
      </c>
      <c r="B648" s="1">
        <v>12750</v>
      </c>
      <c r="C648" s="1">
        <v>0.20110410094637224</v>
      </c>
    </row>
    <row r="649" spans="1:3">
      <c r="A649" s="1">
        <v>63500</v>
      </c>
      <c r="B649" s="1">
        <v>12775</v>
      </c>
      <c r="C649" s="1">
        <v>0.20118110236220471</v>
      </c>
    </row>
    <row r="650" spans="1:3">
      <c r="A650" s="1">
        <v>63600</v>
      </c>
      <c r="B650" s="1">
        <v>12800</v>
      </c>
      <c r="C650" s="1">
        <v>0.20125786163522014</v>
      </c>
    </row>
    <row r="651" spans="1:3">
      <c r="A651" s="1">
        <v>63700</v>
      </c>
      <c r="B651" s="1">
        <v>12825</v>
      </c>
      <c r="C651" s="1">
        <v>0.20133437990580846</v>
      </c>
    </row>
    <row r="652" spans="1:3">
      <c r="A652" s="1">
        <v>63800</v>
      </c>
      <c r="B652" s="1">
        <v>12850</v>
      </c>
      <c r="C652" s="1">
        <v>0.20141065830721003</v>
      </c>
    </row>
    <row r="653" spans="1:3">
      <c r="A653" s="1">
        <v>63900</v>
      </c>
      <c r="B653" s="1">
        <v>12875</v>
      </c>
      <c r="C653" s="1">
        <v>0.2014866979655712</v>
      </c>
    </row>
    <row r="654" spans="1:3">
      <c r="A654" s="1">
        <v>64000</v>
      </c>
      <c r="B654" s="1">
        <v>12900</v>
      </c>
      <c r="C654" s="1">
        <v>0.20156250000000001</v>
      </c>
    </row>
    <row r="655" spans="1:3">
      <c r="A655" s="1">
        <v>64100</v>
      </c>
      <c r="B655" s="1">
        <v>12925</v>
      </c>
      <c r="C655" s="1">
        <v>0.2016380655226209</v>
      </c>
    </row>
    <row r="656" spans="1:3">
      <c r="A656" s="1">
        <v>64200</v>
      </c>
      <c r="B656" s="1">
        <v>12950</v>
      </c>
      <c r="C656" s="1">
        <v>0.20171339563862928</v>
      </c>
    </row>
    <row r="657" spans="1:3">
      <c r="A657" s="1">
        <v>64300</v>
      </c>
      <c r="B657" s="1">
        <v>12975</v>
      </c>
      <c r="C657" s="1">
        <v>0.20178849144634525</v>
      </c>
    </row>
    <row r="658" spans="1:3">
      <c r="A658" s="1">
        <v>64400</v>
      </c>
      <c r="B658" s="1">
        <v>13000</v>
      </c>
      <c r="C658" s="1">
        <v>0.20186335403726707</v>
      </c>
    </row>
    <row r="659" spans="1:3">
      <c r="A659" s="1">
        <v>64500</v>
      </c>
      <c r="B659" s="1">
        <v>13025</v>
      </c>
      <c r="C659" s="1">
        <v>0.20193798449612402</v>
      </c>
    </row>
    <row r="660" spans="1:3">
      <c r="A660" s="1">
        <v>64600</v>
      </c>
      <c r="B660" s="1">
        <v>13050</v>
      </c>
      <c r="C660" s="1">
        <v>0.20201238390092879</v>
      </c>
    </row>
    <row r="661" spans="1:3">
      <c r="A661" s="1">
        <v>64700</v>
      </c>
      <c r="B661" s="1">
        <v>13075</v>
      </c>
      <c r="C661" s="1">
        <v>0.20208655332302936</v>
      </c>
    </row>
    <row r="662" spans="1:3">
      <c r="A662" s="1">
        <v>64800</v>
      </c>
      <c r="B662" s="1">
        <v>13100</v>
      </c>
      <c r="C662" s="1">
        <v>0.2021604938271605</v>
      </c>
    </row>
    <row r="663" spans="1:3">
      <c r="A663" s="1">
        <v>64900</v>
      </c>
      <c r="B663" s="1">
        <v>13125</v>
      </c>
      <c r="C663" s="1">
        <v>0.20223420647149462</v>
      </c>
    </row>
    <row r="664" spans="1:3">
      <c r="A664" s="1">
        <v>65000</v>
      </c>
      <c r="B664" s="1">
        <v>13150</v>
      </c>
      <c r="C664" s="1">
        <v>0.2023076923076923</v>
      </c>
    </row>
    <row r="665" spans="1:3">
      <c r="A665" s="1">
        <v>65100</v>
      </c>
      <c r="B665" s="1">
        <v>13175</v>
      </c>
      <c r="C665" s="1">
        <v>0.20238095238095238</v>
      </c>
    </row>
    <row r="666" spans="1:3">
      <c r="A666" s="1">
        <v>65200</v>
      </c>
      <c r="B666" s="1">
        <v>13200</v>
      </c>
      <c r="C666" s="1">
        <v>0.20245398773006135</v>
      </c>
    </row>
    <row r="667" spans="1:3">
      <c r="A667" s="1">
        <v>65300</v>
      </c>
      <c r="B667" s="1">
        <v>13225</v>
      </c>
      <c r="C667" s="1">
        <v>0.20252679938744259</v>
      </c>
    </row>
    <row r="668" spans="1:3">
      <c r="A668" s="1">
        <v>65400</v>
      </c>
      <c r="B668" s="1">
        <v>13250</v>
      </c>
      <c r="C668" s="1">
        <v>0.20259938837920488</v>
      </c>
    </row>
    <row r="669" spans="1:3">
      <c r="A669" s="1">
        <v>65500</v>
      </c>
      <c r="B669" s="1">
        <v>13275</v>
      </c>
      <c r="C669" s="1">
        <v>0.20267175572519083</v>
      </c>
    </row>
    <row r="670" spans="1:3">
      <c r="A670" s="1">
        <v>65600</v>
      </c>
      <c r="B670" s="1">
        <v>13300</v>
      </c>
      <c r="C670" s="1">
        <v>0.2027439024390244</v>
      </c>
    </row>
    <row r="671" spans="1:3">
      <c r="A671" s="1">
        <v>65700</v>
      </c>
      <c r="B671" s="1">
        <v>13325</v>
      </c>
      <c r="C671" s="1">
        <v>0.2028158295281583</v>
      </c>
    </row>
    <row r="672" spans="1:3">
      <c r="A672" s="1">
        <v>65800</v>
      </c>
      <c r="B672" s="1">
        <v>13350</v>
      </c>
      <c r="C672" s="1">
        <v>0.20288753799392098</v>
      </c>
    </row>
    <row r="673" spans="1:3">
      <c r="A673" s="1">
        <v>65900</v>
      </c>
      <c r="B673" s="1">
        <v>13375</v>
      </c>
      <c r="C673" s="1">
        <v>0.20295902883156297</v>
      </c>
    </row>
    <row r="674" spans="1:3">
      <c r="A674" s="1">
        <v>66000</v>
      </c>
      <c r="B674" s="1">
        <v>13400</v>
      </c>
      <c r="C674" s="1">
        <v>0.20303030303030303</v>
      </c>
    </row>
    <row r="675" spans="1:3">
      <c r="A675" s="1">
        <v>66100</v>
      </c>
      <c r="B675" s="1">
        <v>13425</v>
      </c>
      <c r="C675" s="1">
        <v>0.20310136157337369</v>
      </c>
    </row>
    <row r="676" spans="1:3">
      <c r="A676" s="1">
        <v>66200</v>
      </c>
      <c r="B676" s="1">
        <v>13450</v>
      </c>
      <c r="C676" s="1">
        <v>0.20317220543806647</v>
      </c>
    </row>
    <row r="677" spans="1:3">
      <c r="A677" s="1">
        <v>66300</v>
      </c>
      <c r="B677" s="1">
        <v>13475</v>
      </c>
      <c r="C677" s="1">
        <v>0.20324283559577677</v>
      </c>
    </row>
    <row r="678" spans="1:3">
      <c r="A678" s="1">
        <v>66400</v>
      </c>
      <c r="B678" s="1">
        <v>13500</v>
      </c>
      <c r="C678" s="1">
        <v>0.2033132530120482</v>
      </c>
    </row>
    <row r="679" spans="1:3">
      <c r="A679" s="1">
        <v>66500</v>
      </c>
      <c r="B679" s="1">
        <v>13525</v>
      </c>
      <c r="C679" s="1">
        <v>0.20338345864661656</v>
      </c>
    </row>
    <row r="680" spans="1:3">
      <c r="A680" s="1">
        <v>66600</v>
      </c>
      <c r="B680" s="1">
        <v>13550</v>
      </c>
      <c r="C680" s="1">
        <v>0.20345345345345345</v>
      </c>
    </row>
    <row r="681" spans="1:3">
      <c r="A681" s="1">
        <v>66700</v>
      </c>
      <c r="B681" s="1">
        <v>13575</v>
      </c>
      <c r="C681" s="1">
        <v>0.2035232383808096</v>
      </c>
    </row>
    <row r="682" spans="1:3">
      <c r="A682" s="1">
        <v>66800</v>
      </c>
      <c r="B682" s="1">
        <v>13600</v>
      </c>
      <c r="C682" s="1">
        <v>0.20359281437125748</v>
      </c>
    </row>
    <row r="683" spans="1:3">
      <c r="A683" s="1">
        <v>66900</v>
      </c>
      <c r="B683" s="1">
        <v>13625</v>
      </c>
      <c r="C683" s="1">
        <v>0.20366218236173392</v>
      </c>
    </row>
    <row r="684" spans="1:3">
      <c r="A684" s="1">
        <v>67000</v>
      </c>
      <c r="B684" s="1">
        <v>13650</v>
      </c>
      <c r="C684" s="1">
        <v>0.20373134328358208</v>
      </c>
    </row>
    <row r="685" spans="1:3">
      <c r="A685" s="1">
        <v>67100</v>
      </c>
      <c r="B685" s="1">
        <v>13675</v>
      </c>
      <c r="C685" s="1">
        <v>0.20380029806259314</v>
      </c>
    </row>
    <row r="686" spans="1:3">
      <c r="A686" s="1">
        <v>67200</v>
      </c>
      <c r="B686" s="1">
        <v>13700</v>
      </c>
      <c r="C686" s="1">
        <v>0.20386904761904762</v>
      </c>
    </row>
    <row r="687" spans="1:3">
      <c r="A687" s="1">
        <v>67300</v>
      </c>
      <c r="B687" s="1">
        <v>13725</v>
      </c>
      <c r="C687" s="1">
        <v>0.20393759286775631</v>
      </c>
    </row>
    <row r="688" spans="1:3">
      <c r="A688" s="1">
        <v>67400</v>
      </c>
      <c r="B688" s="1">
        <v>13750</v>
      </c>
      <c r="C688" s="1">
        <v>0.20400593471810088</v>
      </c>
    </row>
    <row r="689" spans="1:3">
      <c r="A689" s="1">
        <v>67500</v>
      </c>
      <c r="B689" s="1">
        <v>13775</v>
      </c>
      <c r="C689" s="1">
        <v>0.20407407407407407</v>
      </c>
    </row>
    <row r="690" spans="1:3">
      <c r="A690" s="1">
        <v>67600</v>
      </c>
      <c r="B690" s="1">
        <v>13800</v>
      </c>
      <c r="C690" s="1">
        <v>0.20414201183431951</v>
      </c>
    </row>
    <row r="691" spans="1:3">
      <c r="A691" s="1">
        <v>67700</v>
      </c>
      <c r="B691" s="1">
        <v>13825</v>
      </c>
      <c r="C691" s="1">
        <v>0.20420974889217133</v>
      </c>
    </row>
    <row r="692" spans="1:3">
      <c r="A692" s="1">
        <v>67800</v>
      </c>
      <c r="B692" s="1">
        <v>13850</v>
      </c>
      <c r="C692" s="1">
        <v>0.20427728613569321</v>
      </c>
    </row>
    <row r="693" spans="1:3">
      <c r="A693" s="1">
        <v>67900</v>
      </c>
      <c r="B693" s="1">
        <v>13875</v>
      </c>
      <c r="C693" s="1">
        <v>0.20434462444771723</v>
      </c>
    </row>
    <row r="694" spans="1:3">
      <c r="A694" s="1">
        <v>68000</v>
      </c>
      <c r="B694" s="1">
        <v>13900</v>
      </c>
      <c r="C694" s="1">
        <v>0.20441176470588235</v>
      </c>
    </row>
    <row r="695" spans="1:3">
      <c r="A695" s="1">
        <v>68100</v>
      </c>
      <c r="B695" s="1">
        <v>13925</v>
      </c>
      <c r="C695" s="1">
        <v>0.20447870778267255</v>
      </c>
    </row>
    <row r="696" spans="1:3">
      <c r="A696" s="1">
        <v>68200</v>
      </c>
      <c r="B696" s="1">
        <v>13950</v>
      </c>
      <c r="C696" s="1">
        <v>0.20454545454545456</v>
      </c>
    </row>
    <row r="697" spans="1:3">
      <c r="A697" s="1">
        <v>68300</v>
      </c>
      <c r="B697" s="1">
        <v>13975</v>
      </c>
      <c r="C697" s="1">
        <v>0.20461200585651537</v>
      </c>
    </row>
    <row r="698" spans="1:3">
      <c r="A698" s="1">
        <v>68400</v>
      </c>
      <c r="B698" s="1">
        <v>14000</v>
      </c>
      <c r="C698" s="1">
        <v>0.2046783625730994</v>
      </c>
    </row>
    <row r="699" spans="1:3">
      <c r="A699" s="1">
        <v>68500</v>
      </c>
      <c r="B699" s="1">
        <v>14025</v>
      </c>
      <c r="C699" s="1">
        <v>0.20474452554744527</v>
      </c>
    </row>
    <row r="700" spans="1:3">
      <c r="A700" s="1">
        <v>68600</v>
      </c>
      <c r="B700" s="1">
        <v>14050</v>
      </c>
      <c r="C700" s="1">
        <v>0.20481049562682216</v>
      </c>
    </row>
    <row r="701" spans="1:3">
      <c r="A701" s="1">
        <v>68700</v>
      </c>
      <c r="B701" s="1">
        <v>14075</v>
      </c>
      <c r="C701" s="1">
        <v>0.20487627365356623</v>
      </c>
    </row>
    <row r="702" spans="1:3">
      <c r="A702" s="1">
        <v>68800</v>
      </c>
      <c r="B702" s="1">
        <v>14100</v>
      </c>
      <c r="C702" s="1">
        <v>0.20494186046511628</v>
      </c>
    </row>
    <row r="703" spans="1:3">
      <c r="A703" s="1">
        <v>68900</v>
      </c>
      <c r="B703" s="1">
        <v>14125</v>
      </c>
      <c r="C703" s="1">
        <v>0.20500725689404933</v>
      </c>
    </row>
    <row r="704" spans="1:3">
      <c r="A704" s="1">
        <v>69000</v>
      </c>
      <c r="B704" s="1">
        <v>14150</v>
      </c>
      <c r="C704" s="1">
        <v>0.20507246376811594</v>
      </c>
    </row>
    <row r="705" spans="1:3">
      <c r="A705" s="1">
        <v>69100</v>
      </c>
      <c r="B705" s="1">
        <v>14175</v>
      </c>
      <c r="C705" s="1">
        <v>0.20513748191027498</v>
      </c>
    </row>
    <row r="706" spans="1:3">
      <c r="A706" s="1">
        <v>69200</v>
      </c>
      <c r="B706" s="1">
        <v>14200</v>
      </c>
      <c r="C706" s="1">
        <v>0.20520231213872833</v>
      </c>
    </row>
    <row r="707" spans="1:3">
      <c r="A707" s="1">
        <v>69300</v>
      </c>
      <c r="B707" s="1">
        <v>14225</v>
      </c>
      <c r="C707" s="1">
        <v>0.20526695526695526</v>
      </c>
    </row>
    <row r="708" spans="1:3">
      <c r="A708" s="1">
        <v>69400</v>
      </c>
      <c r="B708" s="1">
        <v>14250</v>
      </c>
      <c r="C708" s="1">
        <v>0.20533141210374639</v>
      </c>
    </row>
    <row r="709" spans="1:3">
      <c r="A709" s="1">
        <v>69500</v>
      </c>
      <c r="B709" s="1">
        <v>14275</v>
      </c>
      <c r="C709" s="1">
        <v>0.20539568345323742</v>
      </c>
    </row>
    <row r="710" spans="1:3">
      <c r="A710" s="1">
        <v>69600</v>
      </c>
      <c r="B710" s="1">
        <v>14300</v>
      </c>
      <c r="C710" s="1">
        <v>0.20545977011494254</v>
      </c>
    </row>
    <row r="711" spans="1:3">
      <c r="A711" s="1">
        <v>69700</v>
      </c>
      <c r="B711" s="1">
        <v>14325</v>
      </c>
      <c r="C711" s="1">
        <v>0.20552367288378767</v>
      </c>
    </row>
    <row r="712" spans="1:3">
      <c r="A712" s="1">
        <v>69800</v>
      </c>
      <c r="B712" s="1">
        <v>14350</v>
      </c>
      <c r="C712" s="1">
        <v>0.20558739255014327</v>
      </c>
    </row>
    <row r="713" spans="1:3">
      <c r="A713" s="1">
        <v>69900</v>
      </c>
      <c r="B713" s="1">
        <v>14375</v>
      </c>
      <c r="C713" s="1">
        <v>0.20565092989985695</v>
      </c>
    </row>
    <row r="714" spans="1:3">
      <c r="A714" s="1">
        <v>70000</v>
      </c>
      <c r="B714" s="1">
        <v>14400</v>
      </c>
      <c r="C714" s="1">
        <v>0.20571428571428571</v>
      </c>
    </row>
    <row r="715" spans="1:3">
      <c r="A715" s="1">
        <v>70100</v>
      </c>
      <c r="B715" s="1">
        <v>14425</v>
      </c>
      <c r="C715" s="1">
        <v>0.2057774607703281</v>
      </c>
    </row>
    <row r="716" spans="1:3">
      <c r="A716" s="1">
        <v>70200</v>
      </c>
      <c r="B716" s="1">
        <v>14450</v>
      </c>
      <c r="C716" s="1">
        <v>0.20584045584045585</v>
      </c>
    </row>
    <row r="717" spans="1:3">
      <c r="A717" s="1">
        <v>70300</v>
      </c>
      <c r="B717" s="1">
        <v>14475</v>
      </c>
      <c r="C717" s="1">
        <v>0.20590327169274539</v>
      </c>
    </row>
    <row r="718" spans="1:3">
      <c r="A718" s="1">
        <v>70400</v>
      </c>
      <c r="B718" s="1">
        <v>14500</v>
      </c>
      <c r="C718" s="1">
        <v>0.20596590909090909</v>
      </c>
    </row>
    <row r="719" spans="1:3">
      <c r="A719" s="1">
        <v>70500</v>
      </c>
      <c r="B719" s="1">
        <v>14525</v>
      </c>
      <c r="C719" s="1">
        <v>0.20602836879432623</v>
      </c>
    </row>
    <row r="720" spans="1:3">
      <c r="A720" s="1">
        <v>70600</v>
      </c>
      <c r="B720" s="1">
        <v>14550</v>
      </c>
      <c r="C720" s="1">
        <v>0.20609065155807366</v>
      </c>
    </row>
    <row r="721" spans="1:3">
      <c r="A721" s="1">
        <v>70700</v>
      </c>
      <c r="B721" s="1">
        <v>14575</v>
      </c>
      <c r="C721" s="1">
        <v>0.20615275813295617</v>
      </c>
    </row>
    <row r="722" spans="1:3">
      <c r="A722" s="1">
        <v>70800</v>
      </c>
      <c r="B722" s="1">
        <v>14600</v>
      </c>
      <c r="C722" s="1">
        <v>0.20621468926553671</v>
      </c>
    </row>
    <row r="723" spans="1:3">
      <c r="A723" s="1">
        <v>70900</v>
      </c>
      <c r="B723" s="1">
        <v>14625</v>
      </c>
      <c r="C723" s="1">
        <v>0.20627644569816644</v>
      </c>
    </row>
    <row r="724" spans="1:3">
      <c r="A724" s="1">
        <v>71000</v>
      </c>
      <c r="B724" s="1">
        <v>14650</v>
      </c>
      <c r="C724" s="1">
        <v>0.20633802816901409</v>
      </c>
    </row>
    <row r="725" spans="1:3">
      <c r="A725" s="1">
        <v>71100</v>
      </c>
      <c r="B725" s="1">
        <v>14675</v>
      </c>
      <c r="C725" s="1">
        <v>0.20639943741209563</v>
      </c>
    </row>
    <row r="726" spans="1:3">
      <c r="A726" s="1">
        <v>71200</v>
      </c>
      <c r="B726" s="1">
        <v>14700</v>
      </c>
      <c r="C726" s="1">
        <v>0.20646067415730338</v>
      </c>
    </row>
    <row r="727" spans="1:3">
      <c r="A727" s="1">
        <v>71300</v>
      </c>
      <c r="B727" s="1">
        <v>14725</v>
      </c>
      <c r="C727" s="1">
        <v>0.20652173913043478</v>
      </c>
    </row>
    <row r="728" spans="1:3">
      <c r="A728" s="1">
        <v>71400</v>
      </c>
      <c r="B728" s="1">
        <v>14750</v>
      </c>
      <c r="C728" s="1">
        <v>0.20658263305322128</v>
      </c>
    </row>
    <row r="729" spans="1:3">
      <c r="A729" s="1">
        <v>71500</v>
      </c>
      <c r="B729" s="1">
        <v>14775</v>
      </c>
      <c r="C729" s="1">
        <v>0.20664335664335665</v>
      </c>
    </row>
    <row r="730" spans="1:3">
      <c r="A730" s="1">
        <v>71600</v>
      </c>
      <c r="B730" s="1">
        <v>14800</v>
      </c>
      <c r="C730" s="1">
        <v>0.20670391061452514</v>
      </c>
    </row>
    <row r="731" spans="1:3">
      <c r="A731" s="1">
        <v>71700</v>
      </c>
      <c r="B731" s="1">
        <v>14825</v>
      </c>
      <c r="C731" s="1">
        <v>0.20676429567642957</v>
      </c>
    </row>
    <row r="732" spans="1:3">
      <c r="A732" s="1">
        <v>71800</v>
      </c>
      <c r="B732" s="1">
        <v>14850</v>
      </c>
      <c r="C732" s="1">
        <v>0.20682451253481896</v>
      </c>
    </row>
    <row r="733" spans="1:3">
      <c r="A733" s="1">
        <v>71900</v>
      </c>
      <c r="B733" s="1">
        <v>14875</v>
      </c>
      <c r="C733" s="1">
        <v>0.20688456189151599</v>
      </c>
    </row>
    <row r="734" spans="1:3">
      <c r="A734" s="1">
        <v>72000</v>
      </c>
      <c r="B734" s="1">
        <v>14900</v>
      </c>
      <c r="C734" s="1">
        <v>0.20694444444444443</v>
      </c>
    </row>
    <row r="735" spans="1:3">
      <c r="A735" s="1">
        <v>72100</v>
      </c>
      <c r="B735" s="1">
        <v>14925</v>
      </c>
      <c r="C735" s="1">
        <v>0.20700416088765602</v>
      </c>
    </row>
    <row r="736" spans="1:3">
      <c r="A736" s="1">
        <v>72200</v>
      </c>
      <c r="B736" s="1">
        <v>14950</v>
      </c>
      <c r="C736" s="1">
        <v>0.20706371191135733</v>
      </c>
    </row>
    <row r="737" spans="1:3">
      <c r="A737" s="1">
        <v>72300</v>
      </c>
      <c r="B737" s="1">
        <v>14975</v>
      </c>
      <c r="C737" s="1">
        <v>0.20712309820193639</v>
      </c>
    </row>
    <row r="738" spans="1:3">
      <c r="A738" s="1">
        <v>72400</v>
      </c>
      <c r="B738" s="1">
        <v>15000</v>
      </c>
      <c r="C738" s="1">
        <v>0.20718232044198895</v>
      </c>
    </row>
    <row r="739" spans="1:3">
      <c r="A739" s="1">
        <v>72500</v>
      </c>
      <c r="B739" s="1">
        <v>15025</v>
      </c>
      <c r="C739" s="1">
        <v>0.20724137931034484</v>
      </c>
    </row>
    <row r="740" spans="1:3">
      <c r="A740" s="1">
        <v>72600</v>
      </c>
      <c r="B740" s="1">
        <v>15050</v>
      </c>
      <c r="C740" s="1">
        <v>0.20730027548209368</v>
      </c>
    </row>
    <row r="741" spans="1:3">
      <c r="A741" s="1">
        <v>72700</v>
      </c>
      <c r="B741" s="1">
        <v>15075</v>
      </c>
      <c r="C741" s="1">
        <v>0.20735900962861073</v>
      </c>
    </row>
    <row r="742" spans="1:3">
      <c r="A742" s="1">
        <v>72800</v>
      </c>
      <c r="B742" s="1">
        <v>15100</v>
      </c>
      <c r="C742" s="1">
        <v>0.20741758241758243</v>
      </c>
    </row>
    <row r="743" spans="1:3">
      <c r="A743" s="1">
        <v>72900</v>
      </c>
      <c r="B743" s="1">
        <v>15125</v>
      </c>
      <c r="C743" s="1">
        <v>0.20747599451303156</v>
      </c>
    </row>
    <row r="744" spans="1:3">
      <c r="A744" s="1">
        <v>73000</v>
      </c>
      <c r="B744" s="1">
        <v>15150</v>
      </c>
      <c r="C744" s="1">
        <v>0.20753424657534247</v>
      </c>
    </row>
    <row r="745" spans="1:3">
      <c r="A745" s="1">
        <v>73100</v>
      </c>
      <c r="B745" s="1">
        <v>15175</v>
      </c>
      <c r="C745" s="1">
        <v>0.2075923392612859</v>
      </c>
    </row>
    <row r="746" spans="1:3">
      <c r="A746" s="1">
        <v>73200</v>
      </c>
      <c r="B746" s="1">
        <v>15200</v>
      </c>
      <c r="C746" s="1">
        <v>0.20765027322404372</v>
      </c>
    </row>
    <row r="747" spans="1:3">
      <c r="A747" s="1">
        <v>73300</v>
      </c>
      <c r="B747" s="1">
        <v>15225</v>
      </c>
      <c r="C747" s="1">
        <v>0.20770804911323329</v>
      </c>
    </row>
    <row r="748" spans="1:3">
      <c r="A748" s="1">
        <v>73400</v>
      </c>
      <c r="B748" s="1">
        <v>15250</v>
      </c>
      <c r="C748" s="1">
        <v>0.20776566757493187</v>
      </c>
    </row>
    <row r="749" spans="1:3">
      <c r="A749" s="1">
        <v>73500</v>
      </c>
      <c r="B749" s="1">
        <v>15275</v>
      </c>
      <c r="C749" s="1">
        <v>0.20782312925170068</v>
      </c>
    </row>
    <row r="750" spans="1:3">
      <c r="A750" s="1">
        <v>73600</v>
      </c>
      <c r="B750" s="1">
        <v>15300</v>
      </c>
      <c r="C750" s="1">
        <v>0.2078804347826087</v>
      </c>
    </row>
    <row r="751" spans="1:3">
      <c r="A751" s="1">
        <v>73700</v>
      </c>
      <c r="B751" s="1">
        <v>15325</v>
      </c>
      <c r="C751" s="1">
        <v>0.20793758480325644</v>
      </c>
    </row>
    <row r="752" spans="1:3">
      <c r="A752" s="1">
        <v>73800</v>
      </c>
      <c r="B752" s="1">
        <v>15350</v>
      </c>
      <c r="C752" s="1">
        <v>0.20799457994579945</v>
      </c>
    </row>
    <row r="753" spans="1:3">
      <c r="A753" s="1">
        <v>73900</v>
      </c>
      <c r="B753" s="1">
        <v>15375</v>
      </c>
      <c r="C753" s="1">
        <v>0.20805142083897157</v>
      </c>
    </row>
    <row r="754" spans="1:3">
      <c r="A754" s="1">
        <v>74000</v>
      </c>
      <c r="B754" s="1">
        <v>15400</v>
      </c>
      <c r="C754" s="1">
        <v>0.20810810810810812</v>
      </c>
    </row>
    <row r="755" spans="1:3">
      <c r="A755" s="1">
        <v>74100</v>
      </c>
      <c r="B755" s="1">
        <v>15425</v>
      </c>
      <c r="C755" s="1">
        <v>0.20816464237516868</v>
      </c>
    </row>
    <row r="756" spans="1:3">
      <c r="A756" s="1">
        <v>74200</v>
      </c>
      <c r="B756" s="1">
        <v>15450</v>
      </c>
      <c r="C756" s="1">
        <v>0.2082210242587601</v>
      </c>
    </row>
    <row r="757" spans="1:3">
      <c r="A757" s="1">
        <v>74300</v>
      </c>
      <c r="B757" s="1">
        <v>15475</v>
      </c>
      <c r="C757" s="1">
        <v>0.20827725437415881</v>
      </c>
    </row>
    <row r="758" spans="1:3">
      <c r="A758" s="1">
        <v>74400</v>
      </c>
      <c r="B758" s="1">
        <v>15500</v>
      </c>
      <c r="C758" s="1">
        <v>0.20833333333333334</v>
      </c>
    </row>
    <row r="759" spans="1:3">
      <c r="A759" s="1">
        <v>74500</v>
      </c>
      <c r="B759" s="1">
        <v>15525</v>
      </c>
      <c r="C759" s="1">
        <v>0.20838926174496644</v>
      </c>
    </row>
    <row r="760" spans="1:3">
      <c r="A760" s="1">
        <v>74600</v>
      </c>
      <c r="B760" s="1">
        <v>15550</v>
      </c>
      <c r="C760" s="1">
        <v>0.20844504021447721</v>
      </c>
    </row>
    <row r="761" spans="1:3">
      <c r="A761" s="1">
        <v>74700</v>
      </c>
      <c r="B761" s="1">
        <v>15575</v>
      </c>
      <c r="C761" s="1">
        <v>0.20850066934404285</v>
      </c>
    </row>
    <row r="762" spans="1:3">
      <c r="A762" s="1">
        <v>74800</v>
      </c>
      <c r="B762" s="1">
        <v>15600</v>
      </c>
      <c r="C762" s="1">
        <v>0.20855614973262032</v>
      </c>
    </row>
    <row r="763" spans="1:3">
      <c r="A763" s="1">
        <v>74900</v>
      </c>
      <c r="B763" s="1">
        <v>15625</v>
      </c>
      <c r="C763" s="1">
        <v>0.20861148197596796</v>
      </c>
    </row>
    <row r="764" spans="1:3">
      <c r="A764" s="1">
        <v>75000</v>
      </c>
      <c r="B764" s="1">
        <v>15650</v>
      </c>
      <c r="C764" s="1">
        <v>0.20866666666666667</v>
      </c>
    </row>
    <row r="765" spans="1:3">
      <c r="A765" s="1">
        <v>75100</v>
      </c>
      <c r="B765" s="1">
        <v>15675</v>
      </c>
      <c r="C765" s="1">
        <v>0.20872170439414114</v>
      </c>
    </row>
    <row r="766" spans="1:3">
      <c r="A766" s="1">
        <v>75200</v>
      </c>
      <c r="B766" s="1">
        <v>15700</v>
      </c>
      <c r="C766" s="1">
        <v>0.20877659574468085</v>
      </c>
    </row>
    <row r="767" spans="1:3">
      <c r="A767" s="1">
        <v>75300</v>
      </c>
      <c r="B767" s="1">
        <v>15725</v>
      </c>
      <c r="C767" s="1">
        <v>0.20883134130146083</v>
      </c>
    </row>
    <row r="768" spans="1:3">
      <c r="A768" s="1">
        <v>75400</v>
      </c>
      <c r="B768" s="1">
        <v>15750</v>
      </c>
      <c r="C768" s="1">
        <v>0.20888594164456234</v>
      </c>
    </row>
    <row r="769" spans="1:3">
      <c r="A769" s="1">
        <v>75500</v>
      </c>
      <c r="B769" s="1">
        <v>15775</v>
      </c>
      <c r="C769" s="1">
        <v>0.20894039735099337</v>
      </c>
    </row>
    <row r="770" spans="1:3">
      <c r="A770" s="1">
        <v>75600</v>
      </c>
      <c r="B770" s="1">
        <v>15800</v>
      </c>
      <c r="C770" s="1">
        <v>0.20899470899470898</v>
      </c>
    </row>
    <row r="771" spans="1:3">
      <c r="A771" s="1">
        <v>75700</v>
      </c>
      <c r="B771" s="1">
        <v>15825</v>
      </c>
      <c r="C771" s="1">
        <v>0.20904887714663145</v>
      </c>
    </row>
    <row r="772" spans="1:3">
      <c r="A772" s="1">
        <v>75800</v>
      </c>
      <c r="B772" s="1">
        <v>15850</v>
      </c>
      <c r="C772" s="1">
        <v>0.20910290237467019</v>
      </c>
    </row>
    <row r="773" spans="1:3">
      <c r="A773" s="1">
        <v>75900</v>
      </c>
      <c r="B773" s="1">
        <v>15875</v>
      </c>
      <c r="C773" s="1">
        <v>0.20915678524374176</v>
      </c>
    </row>
    <row r="774" spans="1:3">
      <c r="A774" s="1">
        <v>76000</v>
      </c>
      <c r="B774" s="1">
        <v>15900</v>
      </c>
      <c r="C774" s="1">
        <v>0.20921052631578949</v>
      </c>
    </row>
    <row r="775" spans="1:3">
      <c r="A775" s="1">
        <v>76100</v>
      </c>
      <c r="B775" s="1">
        <v>15925</v>
      </c>
      <c r="C775" s="1">
        <v>0.20926412614980289</v>
      </c>
    </row>
    <row r="776" spans="1:3">
      <c r="A776" s="1">
        <v>76200</v>
      </c>
      <c r="B776" s="1">
        <v>15950</v>
      </c>
      <c r="C776" s="1">
        <v>0.20931758530183728</v>
      </c>
    </row>
    <row r="777" spans="1:3">
      <c r="A777" s="1">
        <v>76300</v>
      </c>
      <c r="B777" s="1">
        <v>15975</v>
      </c>
      <c r="C777" s="1">
        <v>0.20937090432503278</v>
      </c>
    </row>
    <row r="778" spans="1:3">
      <c r="A778" s="1">
        <v>76400</v>
      </c>
      <c r="B778" s="1">
        <v>16000</v>
      </c>
      <c r="C778" s="1">
        <v>0.20942408376963351</v>
      </c>
    </row>
    <row r="779" spans="1:3">
      <c r="A779" s="1">
        <v>76500</v>
      </c>
      <c r="B779" s="1">
        <v>16025</v>
      </c>
      <c r="C779" s="1">
        <v>0.20947712418300654</v>
      </c>
    </row>
    <row r="780" spans="1:3">
      <c r="A780" s="1">
        <v>76600</v>
      </c>
      <c r="B780" s="1">
        <v>16050</v>
      </c>
      <c r="C780" s="1">
        <v>0.20953002610966057</v>
      </c>
    </row>
    <row r="781" spans="1:3">
      <c r="A781" s="1">
        <v>76700</v>
      </c>
      <c r="B781" s="1">
        <v>16075</v>
      </c>
      <c r="C781" s="1">
        <v>0.20958279009126468</v>
      </c>
    </row>
    <row r="782" spans="1:3">
      <c r="A782" s="1">
        <v>76800</v>
      </c>
      <c r="B782" s="1">
        <v>16100</v>
      </c>
      <c r="C782" s="1">
        <v>0.20963541666666666</v>
      </c>
    </row>
    <row r="783" spans="1:3">
      <c r="A783" s="1">
        <v>76900</v>
      </c>
      <c r="B783" s="1">
        <v>16125</v>
      </c>
      <c r="C783" s="1">
        <v>0.20968790637191156</v>
      </c>
    </row>
    <row r="784" spans="1:3">
      <c r="A784" s="1">
        <v>77000</v>
      </c>
      <c r="B784" s="1">
        <v>16150</v>
      </c>
      <c r="C784" s="1">
        <v>0.20974025974025973</v>
      </c>
    </row>
    <row r="785" spans="1:3">
      <c r="A785" s="1">
        <v>77100</v>
      </c>
      <c r="B785" s="1">
        <v>16175</v>
      </c>
      <c r="C785" s="1">
        <v>0.20979247730220493</v>
      </c>
    </row>
    <row r="786" spans="1:3">
      <c r="A786" s="1">
        <v>77200</v>
      </c>
      <c r="B786" s="1">
        <v>16200</v>
      </c>
      <c r="C786" s="1">
        <v>0.20984455958549222</v>
      </c>
    </row>
    <row r="787" spans="1:3">
      <c r="A787" s="1">
        <v>77300</v>
      </c>
      <c r="B787" s="1">
        <v>16225</v>
      </c>
      <c r="C787" s="1">
        <v>0.20989650711513583</v>
      </c>
    </row>
    <row r="788" spans="1:3">
      <c r="A788" s="1">
        <v>77400</v>
      </c>
      <c r="B788" s="1">
        <v>16250</v>
      </c>
      <c r="C788" s="1">
        <v>0.2099483204134367</v>
      </c>
    </row>
    <row r="789" spans="1:3">
      <c r="A789" s="1">
        <v>77500</v>
      </c>
      <c r="B789" s="1">
        <v>16275</v>
      </c>
      <c r="C789" s="1">
        <v>0.21</v>
      </c>
    </row>
    <row r="790" spans="1:3">
      <c r="A790" s="1">
        <v>77600</v>
      </c>
      <c r="B790" s="1">
        <v>16300</v>
      </c>
      <c r="C790" s="1">
        <v>0.21005154639175258</v>
      </c>
    </row>
    <row r="791" spans="1:3">
      <c r="A791" s="1">
        <v>77700</v>
      </c>
      <c r="B791" s="1">
        <v>16325</v>
      </c>
      <c r="C791" s="1">
        <v>0.21010296010296009</v>
      </c>
    </row>
    <row r="792" spans="1:3">
      <c r="A792" s="1">
        <v>77800</v>
      </c>
      <c r="B792" s="1">
        <v>16350</v>
      </c>
      <c r="C792" s="1">
        <v>0.21015424164524421</v>
      </c>
    </row>
    <row r="793" spans="1:3">
      <c r="A793" s="1">
        <v>77900</v>
      </c>
      <c r="B793" s="1">
        <v>16375</v>
      </c>
      <c r="C793" s="1">
        <v>0.21020539152759948</v>
      </c>
    </row>
    <row r="794" spans="1:3">
      <c r="A794" s="1">
        <v>78000</v>
      </c>
      <c r="B794" s="1">
        <v>16400</v>
      </c>
      <c r="C794" s="1">
        <v>0.21025641025641026</v>
      </c>
    </row>
    <row r="795" spans="1:3">
      <c r="A795" s="1">
        <v>78100</v>
      </c>
      <c r="B795" s="1">
        <v>16425</v>
      </c>
      <c r="C795" s="1">
        <v>0.21030729833546735</v>
      </c>
    </row>
    <row r="796" spans="1:3">
      <c r="A796" s="1">
        <v>78200</v>
      </c>
      <c r="B796" s="1">
        <v>16450</v>
      </c>
      <c r="C796" s="1">
        <v>0.21035805626598467</v>
      </c>
    </row>
    <row r="797" spans="1:3">
      <c r="A797" s="1">
        <v>78300</v>
      </c>
      <c r="B797" s="1">
        <v>16475</v>
      </c>
      <c r="C797" s="1">
        <v>0.21040868454661557</v>
      </c>
    </row>
    <row r="798" spans="1:3">
      <c r="A798" s="1">
        <v>78400</v>
      </c>
      <c r="B798" s="1">
        <v>16500</v>
      </c>
      <c r="C798" s="1">
        <v>0.21045918367346939</v>
      </c>
    </row>
    <row r="799" spans="1:3">
      <c r="A799" s="1">
        <v>78500</v>
      </c>
      <c r="B799" s="1">
        <v>16525</v>
      </c>
      <c r="C799" s="1">
        <v>0.2105095541401274</v>
      </c>
    </row>
    <row r="800" spans="1:3">
      <c r="A800" s="1">
        <v>78600</v>
      </c>
      <c r="B800" s="1">
        <v>16550</v>
      </c>
      <c r="C800" s="1">
        <v>0.21055979643765904</v>
      </c>
    </row>
    <row r="801" spans="1:3">
      <c r="A801" s="1">
        <v>78700</v>
      </c>
      <c r="B801" s="1">
        <v>16575</v>
      </c>
      <c r="C801" s="1">
        <v>0.21060991105463786</v>
      </c>
    </row>
    <row r="802" spans="1:3">
      <c r="A802" s="1">
        <v>78800</v>
      </c>
      <c r="B802" s="1">
        <v>16600</v>
      </c>
      <c r="C802" s="1">
        <v>0.21065989847715735</v>
      </c>
    </row>
    <row r="803" spans="1:3">
      <c r="A803" s="1">
        <v>78900</v>
      </c>
      <c r="B803" s="1">
        <v>16625</v>
      </c>
      <c r="C803" s="1">
        <v>0.21070975918884663</v>
      </c>
    </row>
    <row r="804" spans="1:3">
      <c r="A804" s="1">
        <v>79000</v>
      </c>
      <c r="B804" s="1">
        <v>16650</v>
      </c>
      <c r="C804" s="1">
        <v>0.21075949367088609</v>
      </c>
    </row>
    <row r="805" spans="1:3">
      <c r="A805" s="1">
        <v>79100</v>
      </c>
      <c r="B805" s="1">
        <v>16675</v>
      </c>
      <c r="C805" s="1">
        <v>0.21080910240202275</v>
      </c>
    </row>
    <row r="806" spans="1:3">
      <c r="A806" s="1">
        <v>79200</v>
      </c>
      <c r="B806" s="1">
        <v>16700</v>
      </c>
      <c r="C806" s="1">
        <v>0.21085858585858586</v>
      </c>
    </row>
    <row r="807" spans="1:3">
      <c r="A807" s="1">
        <v>79300</v>
      </c>
      <c r="B807" s="1">
        <v>16725</v>
      </c>
      <c r="C807" s="1">
        <v>0.2109079445145019</v>
      </c>
    </row>
    <row r="808" spans="1:3">
      <c r="A808" s="1">
        <v>79400</v>
      </c>
      <c r="B808" s="1">
        <v>16750</v>
      </c>
      <c r="C808" s="1">
        <v>0.21095717884130982</v>
      </c>
    </row>
    <row r="809" spans="1:3">
      <c r="A809" s="1">
        <v>79500</v>
      </c>
      <c r="B809" s="1">
        <v>16775</v>
      </c>
      <c r="C809" s="1">
        <v>0.21100628930817611</v>
      </c>
    </row>
    <row r="810" spans="1:3">
      <c r="A810" s="1">
        <v>79600</v>
      </c>
      <c r="B810" s="1">
        <v>16800</v>
      </c>
      <c r="C810" s="1">
        <v>0.21105527638190955</v>
      </c>
    </row>
    <row r="811" spans="1:3">
      <c r="A811" s="1">
        <v>79700</v>
      </c>
      <c r="B811" s="1">
        <v>16825</v>
      </c>
      <c r="C811" s="1">
        <v>0.21110414052697615</v>
      </c>
    </row>
    <row r="812" spans="1:3">
      <c r="A812" s="1">
        <v>79800</v>
      </c>
      <c r="B812" s="1">
        <v>16850</v>
      </c>
      <c r="C812" s="1">
        <v>0.21115288220551379</v>
      </c>
    </row>
    <row r="813" spans="1:3">
      <c r="A813" s="1">
        <v>79900</v>
      </c>
      <c r="B813" s="1">
        <v>16875</v>
      </c>
      <c r="C813" s="1">
        <v>0.21120150187734668</v>
      </c>
    </row>
    <row r="814" spans="1:3">
      <c r="A814" s="1">
        <v>80000</v>
      </c>
      <c r="B814" s="1">
        <v>16900</v>
      </c>
      <c r="C814" s="1">
        <v>0.21124999999999999</v>
      </c>
    </row>
  </sheetData>
  <mergeCells count="1"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C19" sqref="C19"/>
    </sheetView>
  </sheetViews>
  <sheetFormatPr defaultColWidth="8.77734375" defaultRowHeight="15.75"/>
  <cols>
    <col min="1" max="1" width="20.44140625" style="1" bestFit="1" customWidth="1"/>
    <col min="2" max="2" width="10" style="1" customWidth="1"/>
    <col min="3" max="3" width="17.77734375" style="1" bestFit="1" customWidth="1"/>
    <col min="4" max="6" width="8.77734375" style="1" customWidth="1"/>
    <col min="7" max="7" width="13.109375" style="1" customWidth="1"/>
    <col min="8" max="8" width="8.77734375" style="1" customWidth="1"/>
    <col min="9" max="16384" width="8.77734375" style="1"/>
  </cols>
  <sheetData>
    <row r="1" spans="1:5">
      <c r="A1" s="1" t="s">
        <v>0</v>
      </c>
      <c r="B1" s="7">
        <f>47500</f>
        <v>47500</v>
      </c>
    </row>
    <row r="2" spans="1:5">
      <c r="B2" s="7"/>
    </row>
    <row r="3" spans="1:5">
      <c r="A3" s="1" t="s">
        <v>1</v>
      </c>
      <c r="B3" s="7">
        <f>'Actual Tax'!B3</f>
        <v>0</v>
      </c>
    </row>
    <row r="4" spans="1:5">
      <c r="A4" s="1" t="s">
        <v>2</v>
      </c>
      <c r="B4" s="7">
        <f>'Actual Tax'!B4</f>
        <v>12400</v>
      </c>
    </row>
    <row r="5" spans="1:5">
      <c r="B5" s="7"/>
    </row>
    <row r="6" spans="1:5">
      <c r="A6" s="1" t="s">
        <v>3</v>
      </c>
      <c r="B6" s="6">
        <f>B1-B3-B4</f>
        <v>35100</v>
      </c>
    </row>
    <row r="8" spans="1:5">
      <c r="A8" s="15" t="s">
        <v>4</v>
      </c>
      <c r="B8" s="16"/>
      <c r="C8" s="16"/>
    </row>
    <row r="9" spans="1:5" ht="31.5">
      <c r="A9" s="4" t="s">
        <v>5</v>
      </c>
      <c r="B9" s="5" t="s">
        <v>6</v>
      </c>
      <c r="C9" s="4" t="s">
        <v>7</v>
      </c>
      <c r="D9" s="10" t="s">
        <v>21</v>
      </c>
      <c r="E9" s="14" t="s">
        <v>20</v>
      </c>
    </row>
    <row r="10" spans="1:5">
      <c r="A10" s="1">
        <v>0</v>
      </c>
      <c r="B10" s="3">
        <v>25000</v>
      </c>
      <c r="C10" s="2">
        <v>0.18</v>
      </c>
      <c r="D10" s="7">
        <f>B10</f>
        <v>25000</v>
      </c>
      <c r="E10" s="7">
        <f>C10*D10</f>
        <v>4500</v>
      </c>
    </row>
    <row r="11" spans="1:5">
      <c r="A11" s="3">
        <f>B10</f>
        <v>25000</v>
      </c>
      <c r="B11" s="3" t="s">
        <v>8</v>
      </c>
      <c r="C11" s="2">
        <v>0.27</v>
      </c>
      <c r="D11" s="7">
        <f>B6-B10</f>
        <v>10100</v>
      </c>
      <c r="E11" s="7">
        <f>C11*D11</f>
        <v>2727</v>
      </c>
    </row>
    <row r="15" spans="1:5">
      <c r="A15" s="17" t="s">
        <v>22</v>
      </c>
      <c r="B15" s="17"/>
      <c r="C15" s="17"/>
    </row>
    <row r="16" spans="1:5" ht="31.5">
      <c r="A16" s="1" t="s">
        <v>0</v>
      </c>
      <c r="B16" s="1" t="s">
        <v>23</v>
      </c>
      <c r="C16" s="10" t="s">
        <v>24</v>
      </c>
    </row>
    <row r="17" spans="1:3">
      <c r="A17" s="7">
        <v>5000</v>
      </c>
      <c r="B17" s="1">
        <v>0</v>
      </c>
      <c r="C17" s="1">
        <v>0</v>
      </c>
    </row>
    <row r="18" spans="1:3">
      <c r="A18" s="7">
        <f>10000+A17</f>
        <v>15000</v>
      </c>
      <c r="B18" s="7">
        <f>(A18-B$4)*C$10</f>
        <v>468</v>
      </c>
      <c r="C18" s="11">
        <f>B18/A18</f>
        <v>3.1199999999999999E-2</v>
      </c>
    </row>
    <row r="19" spans="1:3">
      <c r="A19" s="7">
        <f t="shared" ref="A19:A21" si="0">10000+A18</f>
        <v>25000</v>
      </c>
      <c r="B19" s="7">
        <f>(A19-B$4)*C$10</f>
        <v>2268</v>
      </c>
      <c r="C19" s="11">
        <f>B19/A19</f>
        <v>9.0719999999999995E-2</v>
      </c>
    </row>
    <row r="20" spans="1:3">
      <c r="A20" s="7">
        <f t="shared" si="0"/>
        <v>35000</v>
      </c>
      <c r="B20" s="7">
        <f>(A20-B$4)*C$10</f>
        <v>4068</v>
      </c>
      <c r="C20" s="11">
        <f t="shared" ref="C20:C21" si="1">B20/A20</f>
        <v>0.11622857142857143</v>
      </c>
    </row>
    <row r="21" spans="1:3">
      <c r="A21" s="7">
        <f t="shared" si="0"/>
        <v>45000</v>
      </c>
      <c r="B21" s="7">
        <f>(B$10*C$10)+(A21-B$4-B$10)*C$11</f>
        <v>6552</v>
      </c>
      <c r="C21" s="11">
        <f t="shared" si="1"/>
        <v>0.14560000000000001</v>
      </c>
    </row>
    <row r="23" spans="1:3">
      <c r="A23" s="1">
        <v>21000</v>
      </c>
      <c r="B23" s="7">
        <f>(A23-B$4)*C$10</f>
        <v>1548</v>
      </c>
    </row>
    <row r="24" spans="1:3">
      <c r="A24" s="1">
        <v>32000</v>
      </c>
      <c r="B24" s="7">
        <f>(A24-B$4)*C$10</f>
        <v>3528</v>
      </c>
    </row>
    <row r="25" spans="1:3">
      <c r="A25" s="1">
        <v>48721</v>
      </c>
      <c r="B25" s="7">
        <f>(B$10*C$10)+(A25-B$4-B$10)*C$11</f>
        <v>7556.67</v>
      </c>
    </row>
    <row r="26" spans="1:3">
      <c r="A26" s="1">
        <v>82823</v>
      </c>
      <c r="B26" s="7">
        <f>(B$10*C$10)+(A26-B$4-B$10)*C$11</f>
        <v>16764.21</v>
      </c>
    </row>
    <row r="27" spans="1:3">
      <c r="B27" s="13">
        <f>B26-'HTC 3'!B26</f>
        <v>4771.1499999999996</v>
      </c>
    </row>
    <row r="28" spans="1:3">
      <c r="A28" s="1">
        <v>171479</v>
      </c>
      <c r="B28" s="13">
        <f>(B$10*C$10)+(A28-B$4-B$10)*C$11</f>
        <v>40701.33</v>
      </c>
    </row>
  </sheetData>
  <mergeCells count="2">
    <mergeCell ref="A8:C8"/>
    <mergeCell ref="A15:C15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2492E-7DEB-4928-AD8A-7A7B182C3C99}">
  <dimension ref="A1:E27"/>
  <sheetViews>
    <sheetView workbookViewId="0">
      <selection activeCell="B21" sqref="B21"/>
    </sheetView>
  </sheetViews>
  <sheetFormatPr defaultColWidth="8.77734375" defaultRowHeight="15.75"/>
  <cols>
    <col min="1" max="1" width="20.44140625" style="1" bestFit="1" customWidth="1"/>
    <col min="2" max="2" width="10" style="1" customWidth="1"/>
    <col min="3" max="3" width="17.77734375" style="1" bestFit="1" customWidth="1"/>
    <col min="4" max="6" width="8.77734375" style="1" customWidth="1"/>
    <col min="7" max="7" width="13.109375" style="1" customWidth="1"/>
    <col min="8" max="8" width="8.77734375" style="1" customWidth="1"/>
    <col min="9" max="16384" width="8.77734375" style="1"/>
  </cols>
  <sheetData>
    <row r="1" spans="1:5">
      <c r="A1" s="1" t="s">
        <v>0</v>
      </c>
      <c r="B1" s="7">
        <f>'Actual Tax'!B1</f>
        <v>47500</v>
      </c>
    </row>
    <row r="2" spans="1:5">
      <c r="B2" s="7"/>
    </row>
    <row r="3" spans="1:5">
      <c r="A3" s="1" t="s">
        <v>1</v>
      </c>
      <c r="B3" s="7">
        <f>'Actual Tax'!B3</f>
        <v>0</v>
      </c>
    </row>
    <row r="4" spans="1:5">
      <c r="A4" s="1" t="s">
        <v>2</v>
      </c>
      <c r="B4" s="7">
        <f>'Actual Tax'!B4</f>
        <v>12400</v>
      </c>
    </row>
    <row r="5" spans="1:5">
      <c r="B5" s="7"/>
    </row>
    <row r="6" spans="1:5">
      <c r="A6" s="1" t="s">
        <v>3</v>
      </c>
      <c r="B6" s="6">
        <f>B1-B3-B4</f>
        <v>35100</v>
      </c>
    </row>
    <row r="8" spans="1:5">
      <c r="A8" s="15" t="s">
        <v>4</v>
      </c>
      <c r="B8" s="16"/>
      <c r="C8" s="16"/>
    </row>
    <row r="9" spans="1:5" ht="31.5">
      <c r="A9" s="4" t="s">
        <v>5</v>
      </c>
      <c r="B9" s="5" t="s">
        <v>6</v>
      </c>
      <c r="C9" s="4" t="s">
        <v>7</v>
      </c>
      <c r="D9" s="10" t="s">
        <v>21</v>
      </c>
      <c r="E9" s="14" t="s">
        <v>20</v>
      </c>
    </row>
    <row r="10" spans="1:5">
      <c r="A10" s="1">
        <v>0</v>
      </c>
      <c r="B10" s="3">
        <v>25000</v>
      </c>
      <c r="C10" s="2">
        <v>0.08</v>
      </c>
      <c r="D10" s="7">
        <f>B10</f>
        <v>25000</v>
      </c>
      <c r="E10" s="7">
        <f>C10*D10</f>
        <v>2000</v>
      </c>
    </row>
    <row r="11" spans="1:5">
      <c r="A11" s="3">
        <f>B10</f>
        <v>25000</v>
      </c>
      <c r="B11" s="3" t="s">
        <v>8</v>
      </c>
      <c r="C11" s="2">
        <v>0.22</v>
      </c>
      <c r="D11" s="7">
        <f>B6-B10</f>
        <v>10100</v>
      </c>
      <c r="E11" s="7">
        <f>C11*D11</f>
        <v>2222</v>
      </c>
    </row>
    <row r="15" spans="1:5">
      <c r="A15" s="17" t="s">
        <v>22</v>
      </c>
      <c r="B15" s="17"/>
      <c r="C15" s="17"/>
    </row>
    <row r="16" spans="1:5" ht="31.5">
      <c r="A16" s="1" t="s">
        <v>0</v>
      </c>
      <c r="B16" s="1" t="s">
        <v>23</v>
      </c>
      <c r="C16" s="10" t="s">
        <v>24</v>
      </c>
    </row>
    <row r="17" spans="1:3">
      <c r="A17" s="7">
        <v>5000</v>
      </c>
      <c r="B17" s="1">
        <v>0</v>
      </c>
      <c r="C17" s="1">
        <v>0</v>
      </c>
    </row>
    <row r="18" spans="1:3">
      <c r="A18" s="7">
        <f>10000+A17</f>
        <v>15000</v>
      </c>
      <c r="B18" s="7">
        <f>(A18-B$4)*C$10</f>
        <v>208</v>
      </c>
      <c r="C18" s="11">
        <f>B18/A18</f>
        <v>1.3866666666666666E-2</v>
      </c>
    </row>
    <row r="19" spans="1:3">
      <c r="A19" s="7">
        <f t="shared" ref="A19:A21" si="0">10000+A18</f>
        <v>25000</v>
      </c>
      <c r="B19" s="7">
        <f>(A19-B$4)*C$10</f>
        <v>1008</v>
      </c>
      <c r="C19" s="11">
        <f>B19/A19</f>
        <v>4.0320000000000002E-2</v>
      </c>
    </row>
    <row r="20" spans="1:3">
      <c r="A20" s="7">
        <f t="shared" si="0"/>
        <v>35000</v>
      </c>
      <c r="B20" s="7">
        <f>(A20-B$4)*C$10</f>
        <v>1808</v>
      </c>
      <c r="C20" s="11">
        <f t="shared" ref="C20:C21" si="1">B20/A20</f>
        <v>5.165714285714286E-2</v>
      </c>
    </row>
    <row r="21" spans="1:3">
      <c r="A21" s="7">
        <f t="shared" si="0"/>
        <v>45000</v>
      </c>
      <c r="B21" s="7">
        <f>(B$10*C$10)+(A21-B$4-B$10)*C$11</f>
        <v>3672</v>
      </c>
      <c r="C21" s="11">
        <f t="shared" si="1"/>
        <v>8.1600000000000006E-2</v>
      </c>
    </row>
    <row r="23" spans="1:3">
      <c r="A23" s="1">
        <v>21000</v>
      </c>
      <c r="B23" s="7">
        <f>(A23-B$4)*C$10</f>
        <v>688</v>
      </c>
    </row>
    <row r="24" spans="1:3">
      <c r="A24" s="1">
        <v>32000</v>
      </c>
      <c r="B24" s="7">
        <f>(A24-B$4)*C$10</f>
        <v>1568</v>
      </c>
    </row>
    <row r="26" spans="1:3">
      <c r="A26" s="1">
        <v>82823</v>
      </c>
      <c r="B26" s="7">
        <f>(B$10*C$10)+(A26-B$4-B$10)*C$11</f>
        <v>11993.06</v>
      </c>
    </row>
    <row r="27" spans="1:3">
      <c r="B27" s="7">
        <f>3528-B24</f>
        <v>1960</v>
      </c>
    </row>
  </sheetData>
  <mergeCells count="2">
    <mergeCell ref="A8:C8"/>
    <mergeCell ref="A15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opLeftCell="A23" workbookViewId="0">
      <selection activeCell="D29" sqref="D29"/>
    </sheetView>
  </sheetViews>
  <sheetFormatPr defaultColWidth="8.77734375" defaultRowHeight="15.75"/>
  <cols>
    <col min="1" max="1" width="20.109375" style="1" bestFit="1" customWidth="1"/>
    <col min="2" max="2" width="13.44140625" style="1" bestFit="1" customWidth="1"/>
    <col min="3" max="3" width="11.77734375" style="1" bestFit="1" customWidth="1"/>
    <col min="4" max="4" width="14.33203125" style="1" bestFit="1" customWidth="1"/>
    <col min="5" max="6" width="8.77734375" style="1" customWidth="1"/>
    <col min="7" max="7" width="15.33203125" style="1" customWidth="1"/>
    <col min="8" max="8" width="14.44140625" style="1" customWidth="1"/>
    <col min="9" max="9" width="8.77734375" style="1" customWidth="1"/>
    <col min="10" max="16384" width="8.77734375" style="1"/>
  </cols>
  <sheetData>
    <row r="1" spans="1:3">
      <c r="A1" s="1" t="s">
        <v>0</v>
      </c>
      <c r="B1" s="7">
        <v>47500</v>
      </c>
    </row>
    <row r="3" spans="1:3">
      <c r="A3" s="1" t="s">
        <v>1</v>
      </c>
      <c r="B3" s="7">
        <v>0</v>
      </c>
    </row>
    <row r="4" spans="1:3">
      <c r="A4" s="1" t="s">
        <v>2</v>
      </c>
      <c r="B4" s="7">
        <v>12400</v>
      </c>
    </row>
    <row r="5" spans="1:3">
      <c r="B5" s="7"/>
    </row>
    <row r="6" spans="1:3">
      <c r="A6" s="1" t="s">
        <v>3</v>
      </c>
      <c r="B6" s="6">
        <v>35100</v>
      </c>
    </row>
    <row r="8" spans="1:3">
      <c r="A8" s="15" t="s">
        <v>4</v>
      </c>
      <c r="B8" s="16"/>
      <c r="C8" s="16"/>
    </row>
    <row r="9" spans="1:3">
      <c r="A9" s="4" t="s">
        <v>5</v>
      </c>
      <c r="B9" s="5" t="s">
        <v>6</v>
      </c>
      <c r="C9" s="4" t="s">
        <v>7</v>
      </c>
    </row>
    <row r="10" spans="1:3">
      <c r="A10" s="1">
        <v>0</v>
      </c>
      <c r="B10" s="9">
        <v>9875</v>
      </c>
      <c r="C10" s="2">
        <v>0.1</v>
      </c>
    </row>
    <row r="11" spans="1:3">
      <c r="A11" s="3">
        <f t="shared" ref="A11:A16" si="0">B10</f>
        <v>9875</v>
      </c>
      <c r="B11" s="9">
        <v>40125</v>
      </c>
      <c r="C11" s="2">
        <v>0.12</v>
      </c>
    </row>
    <row r="12" spans="1:3">
      <c r="A12" s="3">
        <f t="shared" si="0"/>
        <v>40125</v>
      </c>
      <c r="B12" s="9">
        <v>85525</v>
      </c>
      <c r="C12" s="2">
        <v>0.22</v>
      </c>
    </row>
    <row r="13" spans="1:3">
      <c r="A13" s="3">
        <f t="shared" si="0"/>
        <v>85525</v>
      </c>
      <c r="B13" s="9">
        <v>163300</v>
      </c>
      <c r="C13" s="2">
        <v>0.24</v>
      </c>
    </row>
    <row r="14" spans="1:3">
      <c r="A14" s="3">
        <f t="shared" si="0"/>
        <v>163300</v>
      </c>
      <c r="B14" s="9">
        <v>207350</v>
      </c>
      <c r="C14" s="2">
        <v>0.32</v>
      </c>
    </row>
    <row r="15" spans="1:3">
      <c r="A15" s="3">
        <f t="shared" si="0"/>
        <v>207350</v>
      </c>
      <c r="B15" s="9">
        <v>518400</v>
      </c>
      <c r="C15" s="2">
        <v>0.35</v>
      </c>
    </row>
    <row r="16" spans="1:3">
      <c r="A16" s="3">
        <f t="shared" si="0"/>
        <v>518400</v>
      </c>
      <c r="B16" s="8" t="s">
        <v>8</v>
      </c>
      <c r="C16" s="2">
        <v>0.37</v>
      </c>
    </row>
    <row r="18" spans="1:5" ht="47.25">
      <c r="A18" s="1" t="s">
        <v>0</v>
      </c>
      <c r="B18" s="1" t="s">
        <v>18</v>
      </c>
      <c r="C18" s="10" t="s">
        <v>24</v>
      </c>
    </row>
    <row r="19" spans="1:5">
      <c r="A19" s="13">
        <v>5000</v>
      </c>
      <c r="B19" s="7">
        <v>0</v>
      </c>
      <c r="C19" s="1">
        <v>0</v>
      </c>
      <c r="E19" s="1">
        <f>987.5+3630+4372.5</f>
        <v>8990</v>
      </c>
    </row>
    <row r="20" spans="1:5">
      <c r="A20" s="13">
        <v>20000</v>
      </c>
      <c r="B20" s="7">
        <f>(A20-B$4)*C10</f>
        <v>760</v>
      </c>
      <c r="C20" s="11">
        <f>B20/A20</f>
        <v>3.7999999999999999E-2</v>
      </c>
    </row>
    <row r="21" spans="1:5">
      <c r="A21" s="13">
        <v>45000</v>
      </c>
      <c r="B21" s="13">
        <f>(B$10*C$10)+(A21-B$4-B$10)*C$11</f>
        <v>3714.5</v>
      </c>
      <c r="C21" s="11">
        <f t="shared" ref="C21:C25" si="1">B21/A21</f>
        <v>8.2544444444444448E-2</v>
      </c>
    </row>
    <row r="22" spans="1:5">
      <c r="A22" s="13">
        <v>60000</v>
      </c>
      <c r="B22" s="13">
        <f>(B$10*C$10)+((B$11-A$11)*C$11)+((A22-B$4-A$12)*C$12)</f>
        <v>6262</v>
      </c>
      <c r="C22" s="11">
        <f t="shared" si="1"/>
        <v>0.10436666666666666</v>
      </c>
    </row>
    <row r="23" spans="1:5">
      <c r="A23" s="13">
        <v>75000</v>
      </c>
      <c r="B23" s="13">
        <f>(B$10*C$10)+((B$11-A$11)*C$11)+((A23-B$4-A$12)*C$12)</f>
        <v>9562</v>
      </c>
      <c r="C23" s="11">
        <f t="shared" si="1"/>
        <v>0.12749333333333332</v>
      </c>
    </row>
    <row r="24" spans="1:5">
      <c r="A24" s="13">
        <v>95000</v>
      </c>
      <c r="B24" s="13">
        <f>(B$10*C$10)+((B$11-A$11)*C$11)+((A24-B$4-A$12)*C$12)</f>
        <v>13962</v>
      </c>
      <c r="C24" s="11">
        <f t="shared" si="1"/>
        <v>0.14696842105263158</v>
      </c>
    </row>
    <row r="25" spans="1:5">
      <c r="A25" s="13">
        <v>115000</v>
      </c>
      <c r="B25" s="13">
        <f>(B$10*C$10)+((B$11-A$11)*C$11)+((B$12-A$12)*C$12)+((A25-B$4-A$13)*C$13)</f>
        <v>18703.5</v>
      </c>
      <c r="C25" s="11">
        <f t="shared" si="1"/>
        <v>0.16263913043478262</v>
      </c>
    </row>
    <row r="27" spans="1:5">
      <c r="C27" s="2">
        <v>0.1</v>
      </c>
    </row>
    <row r="28" spans="1:5">
      <c r="A28" s="13">
        <v>47500</v>
      </c>
      <c r="B28" s="13">
        <f>(B$10*C$10)+(A28-B$4-B$10)*C$11</f>
        <v>4014.5</v>
      </c>
      <c r="C28" s="11">
        <f>B28/A28</f>
        <v>8.4515789473684211E-2</v>
      </c>
    </row>
    <row r="30" spans="1:5">
      <c r="A30" s="1">
        <v>182032</v>
      </c>
      <c r="B30" s="13">
        <f>(B$10*C$10)+((B$11-A$11)*C$11)+((B$12-A$12)*C$12)+((B$13-A$13)*C$13)+(A30-A$14-B$4)*C$14</f>
        <v>35297.74</v>
      </c>
    </row>
    <row r="31" spans="1:5">
      <c r="A31" s="1">
        <v>199695</v>
      </c>
      <c r="B31" s="13">
        <f>(B$10*C$10)+((B$11-A$11)*C$11)+((B$12-A$12)*C$12)+((B$13-A$13)*C$13)+(A31-A$14-B$4)*C$14</f>
        <v>40949.9</v>
      </c>
      <c r="C31" s="11">
        <f>B31/A31</f>
        <v>0.20506221988532514</v>
      </c>
    </row>
  </sheetData>
  <mergeCells count="1">
    <mergeCell ref="A8:C8"/>
  </mergeCells>
  <dataValidations count="1">
    <dataValidation type="custom" showInputMessage="1" showErrorMessage="1" sqref="A985:E985" xr:uid="{00000000-0002-0000-0200-000000000000}">
      <formula1>IF(1,1,"WMDAU:1672858800")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B038-6FCF-4027-A96B-70B5DC0988CA}">
  <dimension ref="A1:D15"/>
  <sheetViews>
    <sheetView workbookViewId="0">
      <selection activeCell="B16" sqref="B16"/>
    </sheetView>
  </sheetViews>
  <sheetFormatPr defaultRowHeight="15"/>
  <sheetData>
    <row r="1" spans="1:4">
      <c r="A1" t="s">
        <v>12</v>
      </c>
      <c r="B1" t="s">
        <v>13</v>
      </c>
    </row>
    <row r="2" spans="1:4">
      <c r="A2">
        <v>-2</v>
      </c>
      <c r="B2">
        <v>4</v>
      </c>
    </row>
    <row r="3" spans="1:4">
      <c r="A3">
        <v>3</v>
      </c>
      <c r="B3">
        <v>7</v>
      </c>
    </row>
    <row r="5" spans="1:4">
      <c r="A5" t="s">
        <v>14</v>
      </c>
      <c r="B5" t="s">
        <v>15</v>
      </c>
    </row>
    <row r="6" spans="1:4">
      <c r="A6">
        <f>SLOPE(B2:B3,A2:A3)</f>
        <v>0.6</v>
      </c>
      <c r="B6">
        <f>INTERCEPT(B2:B3, A2:A3)</f>
        <v>5.2</v>
      </c>
    </row>
    <row r="8" spans="1:4" ht="45" customHeight="1">
      <c r="A8" s="18" t="s">
        <v>16</v>
      </c>
      <c r="B8" s="18"/>
      <c r="D8" t="s">
        <v>17</v>
      </c>
    </row>
    <row r="9" spans="1:4">
      <c r="A9">
        <f t="array" ref="A9:B9">LINEST(B2:B3, A2:A3)</f>
        <v>0.6</v>
      </c>
      <c r="B9">
        <v>5.2</v>
      </c>
      <c r="D9" t="str">
        <f>CONCATENATE("y=",A9, "x+", B9)</f>
        <v>y=0.6x+5.2</v>
      </c>
    </row>
    <row r="15" spans="1:4">
      <c r="B15">
        <f>0.38*(1734.81-800)</f>
        <v>355.2278</v>
      </c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HTC 1</vt:lpstr>
      <vt:lpstr>HTC 2</vt:lpstr>
      <vt:lpstr>HTC 3</vt:lpstr>
      <vt:lpstr>Actual Tax</vt:lpstr>
      <vt:lpstr>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Brayden Jonason</dc:creator>
  <cp:lastModifiedBy>Brayden Jonason</cp:lastModifiedBy>
  <dcterms:created xsi:type="dcterms:W3CDTF">2023-01-04T12:00:00Z</dcterms:created>
  <dcterms:modified xsi:type="dcterms:W3CDTF">2026-04-04T23:01:36Z</dcterms:modified>
</cp:coreProperties>
</file>