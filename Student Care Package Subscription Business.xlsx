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jona\Downloads\"/>
    </mc:Choice>
  </mc:AlternateContent>
  <xr:revisionPtr revIDLastSave="0" documentId="8_{C54DD987-0F59-4261-A2B8-731B3F38FEAF}" xr6:coauthVersionLast="47" xr6:coauthVersionMax="47" xr10:uidLastSave="{00000000-0000-0000-0000-000000000000}"/>
  <bookViews>
    <workbookView xWindow="4275" yWindow="4095" windowWidth="21585" windowHeight="11370" xr2:uid="{00000000-000D-0000-FFFF-FFFF00000000}"/>
  </bookViews>
  <sheets>
    <sheet name="Sales estimates" sheetId="1" r:id="rId1"/>
    <sheet name="Cost percentage estima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0" i="1" l="1"/>
  <c r="D40" i="1"/>
  <c r="E40" i="1"/>
  <c r="D41" i="1"/>
  <c r="E41" i="1"/>
  <c r="C42" i="1"/>
  <c r="D43" i="1"/>
  <c r="E43" i="1"/>
  <c r="D39" i="1"/>
  <c r="E39" i="1"/>
  <c r="C38" i="1"/>
  <c r="D38" i="1"/>
  <c r="E38" i="1"/>
  <c r="B38" i="1"/>
  <c r="B29" i="1"/>
  <c r="A40" i="1"/>
  <c r="A41" i="1"/>
  <c r="A42" i="1"/>
  <c r="A43" i="1"/>
  <c r="A39" i="1"/>
  <c r="A30" i="1"/>
  <c r="B30" i="1"/>
  <c r="B39" i="1" s="1"/>
  <c r="B19" i="1"/>
  <c r="B20" i="1"/>
  <c r="C30" i="1"/>
  <c r="C39" i="1" s="1"/>
  <c r="D30" i="1"/>
  <c r="E30" i="1"/>
  <c r="C31" i="1"/>
  <c r="D31" i="1"/>
  <c r="E31" i="1"/>
  <c r="C32" i="1"/>
  <c r="C41" i="1" s="1"/>
  <c r="D32" i="1"/>
  <c r="E32" i="1"/>
  <c r="C33" i="1"/>
  <c r="D33" i="1"/>
  <c r="D42" i="1" s="1"/>
  <c r="E33" i="1"/>
  <c r="E42" i="1" s="1"/>
  <c r="C34" i="1"/>
  <c r="C43" i="1" s="1"/>
  <c r="D34" i="1"/>
  <c r="E34" i="1"/>
  <c r="B31" i="1"/>
  <c r="B40" i="1" s="1"/>
  <c r="B32" i="1"/>
  <c r="B41" i="1" s="1"/>
  <c r="B33" i="1"/>
  <c r="B42" i="1" s="1"/>
  <c r="B34" i="1"/>
  <c r="B43" i="1" s="1"/>
  <c r="D20" i="1"/>
  <c r="D21" i="1"/>
  <c r="B21" i="1"/>
  <c r="C21" i="1"/>
  <c r="E21" i="1"/>
  <c r="B22" i="1"/>
  <c r="C22" i="1"/>
  <c r="D22" i="1"/>
  <c r="E22" i="1"/>
  <c r="B23" i="1"/>
  <c r="C23" i="1"/>
  <c r="D23" i="1"/>
  <c r="E23" i="1"/>
  <c r="E19" i="1"/>
  <c r="E20" i="1"/>
  <c r="D19" i="1"/>
  <c r="C19" i="1"/>
  <c r="C20" i="1"/>
  <c r="C29" i="1"/>
  <c r="D29" i="1"/>
  <c r="E29" i="1"/>
  <c r="A31" i="1"/>
  <c r="A32" i="1"/>
  <c r="A33" i="1"/>
  <c r="A34" i="1"/>
  <c r="A23" i="1"/>
  <c r="A22" i="1"/>
  <c r="A21" i="1"/>
  <c r="A20" i="1"/>
  <c r="A19" i="1"/>
  <c r="E18" i="1"/>
  <c r="D18" i="1"/>
  <c r="C18" i="1"/>
  <c r="B18" i="1"/>
</calcChain>
</file>

<file path=xl/sharedStrings.xml><?xml version="1.0" encoding="utf-8"?>
<sst xmlns="http://schemas.openxmlformats.org/spreadsheetml/2006/main" count="30" uniqueCount="18">
  <si>
    <t>The values in the cells in this table show the estimated number of units that could be sold if the price point in that column and the service in that row were selected.</t>
  </si>
  <si>
    <t>Some student entrepreneurs are considering starting a business where parents subscribe to "good-for-you" care packages for their college students.</t>
  </si>
  <si>
    <t>Monthly Price Point</t>
  </si>
  <si>
    <t>Service</t>
  </si>
  <si>
    <t>Shaving and grooming supplies</t>
  </si>
  <si>
    <t>Healthy foods: dried goods</t>
  </si>
  <si>
    <t>Fresh produce</t>
  </si>
  <si>
    <t>Pampering supplies</t>
  </si>
  <si>
    <t>Room decorations</t>
  </si>
  <si>
    <t>Part 1: Revenue</t>
  </si>
  <si>
    <t>Create a revenue table: for each service and each price point, the cell should contain a formula that gives the price for that column times the units for the price and service combination.</t>
  </si>
  <si>
    <t>Write the formula for cell B19 so that you can drag it right and drag it down without having to change it.</t>
  </si>
  <si>
    <t>Part 2: Profit</t>
  </si>
  <si>
    <t>Using the cost percentage estimates on the next tab, create a profit table: for each service and each price point, the cell should contain a formula that gives profit for that price and service combination.</t>
  </si>
  <si>
    <t>Write the formula for cell B30 so that you can drag it right and drag it down without having to change it.</t>
  </si>
  <si>
    <t>Estimated cost of materials, production, and delivery, as a percentage of price charged.</t>
  </si>
  <si>
    <t>For example: if the price charged is $25 (per month) and the cost is 60% of the price, the entrepreneurs make $10 in profit (per month) for each subscription.</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</si>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</sst>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4">
    <font>
      <sz val="12"/>
      <color theme="1"/>
      <name val="TimesNewRomanPSMT"/>
      <family val="2"/>
    </font>
    <font>
      <sz val="11"/>
      <color theme="1"/>
      <name val="Calibri"/>
      <family val="2"/>
      <scheme val="minor"/>
    </font>
    <font>
      <sz val="12"/>
      <color theme="1"/>
      <name val="Times New Roman"/>
      <family val="1"/>
    </font>
    <font>
      <b/>
      <sz val="12"/>
      <color theme="1"/>
      <name val="Times New Roman"/>
      <family val="1"/>
    </font>
  </fonts>
  <fills count="9">
    <fill>
      <patternFill patternType="none"/>
    </fill>
    <fill>
      <patternFill patternType="gray125"/>
    </fill>
    <fill>
      <patternFill patternType="solid">
        <fgColor theme="5" tint="0.59999389629810485"/>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8"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26">
    <xf numFmtId="0" fontId="0" fillId="0" borderId="0" xfId="0"/>
    <xf numFmtId="0" fontId="2" fillId="0" borderId="0" xfId="1" applyFont="1"/>
    <xf numFmtId="3" fontId="2" fillId="0" borderId="0" xfId="1" applyNumberFormat="1" applyFont="1"/>
    <xf numFmtId="6" fontId="2" fillId="0" borderId="0" xfId="1" applyNumberFormat="1" applyFont="1"/>
    <xf numFmtId="0" fontId="3" fillId="0" borderId="0" xfId="1" applyFont="1"/>
    <xf numFmtId="0" fontId="2" fillId="2" borderId="0" xfId="1" applyFont="1" applyFill="1"/>
    <xf numFmtId="0" fontId="2" fillId="4" borderId="0" xfId="1" applyFont="1" applyFill="1"/>
    <xf numFmtId="3" fontId="2" fillId="0" borderId="1" xfId="1" applyNumberFormat="1" applyFont="1" applyBorder="1"/>
    <xf numFmtId="0" fontId="2" fillId="0" borderId="1" xfId="1" applyFont="1" applyBorder="1"/>
    <xf numFmtId="0" fontId="2" fillId="5" borderId="2" xfId="1" applyFont="1" applyFill="1" applyBorder="1"/>
    <xf numFmtId="6" fontId="2" fillId="6" borderId="1" xfId="1" applyNumberFormat="1" applyFont="1" applyFill="1" applyBorder="1"/>
    <xf numFmtId="0" fontId="3" fillId="5" borderId="2" xfId="1" applyFont="1" applyFill="1" applyBorder="1" applyAlignment="1">
      <alignment horizontal="center"/>
    </xf>
    <xf numFmtId="9" fontId="2" fillId="0" borderId="0" xfId="1" applyNumberFormat="1" applyFont="1"/>
    <xf numFmtId="0" fontId="2" fillId="7" borderId="0" xfId="1" applyFont="1" applyFill="1"/>
    <xf numFmtId="0" fontId="3" fillId="8" borderId="1" xfId="1" applyFont="1" applyFill="1" applyBorder="1" applyAlignment="1">
      <alignment horizontal="center"/>
    </xf>
    <xf numFmtId="6" fontId="2" fillId="8" borderId="1" xfId="1" applyNumberFormat="1" applyFont="1" applyFill="1" applyBorder="1"/>
    <xf numFmtId="0" fontId="2" fillId="8" borderId="1" xfId="1" applyFont="1" applyFill="1" applyBorder="1"/>
    <xf numFmtId="3" fontId="2" fillId="3" borderId="1" xfId="1" applyNumberFormat="1" applyFont="1" applyFill="1" applyBorder="1"/>
    <xf numFmtId="0" fontId="3" fillId="5" borderId="1" xfId="1" applyFont="1" applyFill="1" applyBorder="1" applyAlignment="1">
      <alignment horizontal="center"/>
    </xf>
    <xf numFmtId="0" fontId="0" fillId="0" borderId="3" xfId="0" applyBorder="1"/>
    <xf numFmtId="0" fontId="0" fillId="0" borderId="4" xfId="0" applyBorder="1"/>
    <xf numFmtId="0" fontId="3" fillId="8" borderId="1" xfId="1" applyFont="1" applyFill="1" applyBorder="1" applyAlignment="1">
      <alignment horizontal="center"/>
    </xf>
    <xf numFmtId="0" fontId="2" fillId="8" borderId="1" xfId="1" applyFont="1" applyFill="1" applyBorder="1"/>
    <xf numFmtId="0" fontId="3" fillId="8" borderId="2" xfId="1" applyFont="1" applyFill="1" applyBorder="1" applyAlignment="1">
      <alignment horizontal="center"/>
    </xf>
    <xf numFmtId="0" fontId="3" fillId="8" borderId="3" xfId="1" applyFont="1" applyFill="1" applyBorder="1" applyAlignment="1">
      <alignment horizontal="center"/>
    </xf>
    <xf numFmtId="0" fontId="3" fillId="8" borderId="4" xfId="1" applyFont="1" applyFill="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G43"/>
  <sheetViews>
    <sheetView tabSelected="1" workbookViewId="0">
      <selection activeCell="B39" sqref="B39"/>
    </sheetView>
  </sheetViews>
  <sheetFormatPr defaultColWidth="8.77734375" defaultRowHeight="15.75"/>
  <cols>
    <col min="1" max="1" width="27.77734375" style="1" customWidth="1"/>
    <col min="2" max="5" width="9.6640625" style="1" bestFit="1" customWidth="1"/>
    <col min="6" max="6" width="10.6640625" style="1" bestFit="1" customWidth="1"/>
    <col min="7" max="7" width="8.77734375" style="1" customWidth="1"/>
    <col min="8" max="16384" width="8.77734375" style="1"/>
  </cols>
  <sheetData>
    <row r="2" spans="1:7">
      <c r="A2" s="1" t="s">
        <v>0</v>
      </c>
    </row>
    <row r="3" spans="1:7">
      <c r="A3" s="1" t="s">
        <v>1</v>
      </c>
    </row>
    <row r="4" spans="1:7">
      <c r="B4" s="18" t="s">
        <v>2</v>
      </c>
      <c r="C4" s="19"/>
      <c r="D4" s="19"/>
      <c r="E4" s="20"/>
    </row>
    <row r="5" spans="1:7">
      <c r="A5" s="11" t="s">
        <v>3</v>
      </c>
      <c r="B5" s="10">
        <v>50</v>
      </c>
      <c r="C5" s="10">
        <v>35</v>
      </c>
      <c r="D5" s="10">
        <v>25</v>
      </c>
      <c r="E5" s="10">
        <v>15</v>
      </c>
    </row>
    <row r="6" spans="1:7">
      <c r="A6" s="9" t="s">
        <v>4</v>
      </c>
      <c r="B6" s="7">
        <v>1200</v>
      </c>
      <c r="C6" s="7">
        <v>2000</v>
      </c>
      <c r="D6" s="7">
        <v>3000</v>
      </c>
      <c r="E6" s="7">
        <v>4000</v>
      </c>
      <c r="F6" s="2"/>
    </row>
    <row r="7" spans="1:7">
      <c r="A7" s="9" t="s">
        <v>5</v>
      </c>
      <c r="B7" s="7">
        <v>1500</v>
      </c>
      <c r="C7" s="7">
        <v>1800</v>
      </c>
      <c r="D7" s="7">
        <v>2500</v>
      </c>
      <c r="E7" s="7">
        <v>3500</v>
      </c>
      <c r="F7" s="2"/>
    </row>
    <row r="8" spans="1:7">
      <c r="A8" s="9" t="s">
        <v>6</v>
      </c>
      <c r="B8" s="7">
        <v>2000</v>
      </c>
      <c r="C8" s="7">
        <v>2500</v>
      </c>
      <c r="D8" s="7">
        <v>2500</v>
      </c>
      <c r="E8" s="7">
        <v>2000</v>
      </c>
      <c r="F8" s="2"/>
    </row>
    <row r="9" spans="1:7">
      <c r="A9" s="9" t="s">
        <v>7</v>
      </c>
      <c r="B9" s="8">
        <v>500</v>
      </c>
      <c r="C9" s="7">
        <v>1200</v>
      </c>
      <c r="D9" s="7">
        <v>3000</v>
      </c>
      <c r="E9" s="7">
        <v>5000</v>
      </c>
      <c r="F9" s="2"/>
    </row>
    <row r="10" spans="1:7">
      <c r="A10" s="9" t="s">
        <v>8</v>
      </c>
      <c r="B10" s="8">
        <v>400</v>
      </c>
      <c r="C10" s="7">
        <v>1000</v>
      </c>
      <c r="D10" s="7">
        <v>3500</v>
      </c>
      <c r="E10" s="7">
        <v>6000</v>
      </c>
      <c r="F10" s="2"/>
    </row>
    <row r="11" spans="1:7">
      <c r="C11" s="2"/>
      <c r="D11" s="2"/>
      <c r="E11" s="2"/>
      <c r="F11" s="2"/>
    </row>
    <row r="12" spans="1:7">
      <c r="C12" s="2"/>
      <c r="D12" s="2"/>
      <c r="E12" s="2"/>
      <c r="F12" s="2"/>
    </row>
    <row r="14" spans="1:7">
      <c r="A14" s="6" t="s">
        <v>9</v>
      </c>
    </row>
    <row r="15" spans="1:7">
      <c r="A15" s="1" t="s">
        <v>10</v>
      </c>
    </row>
    <row r="16" spans="1:7">
      <c r="A16" s="6" t="s">
        <v>11</v>
      </c>
      <c r="B16" s="6"/>
      <c r="C16" s="6"/>
      <c r="D16" s="6"/>
      <c r="E16" s="6"/>
      <c r="F16" s="6"/>
      <c r="G16" s="6"/>
    </row>
    <row r="17" spans="1:7">
      <c r="A17" s="8"/>
      <c r="B17" s="21" t="s">
        <v>2</v>
      </c>
      <c r="C17" s="22"/>
      <c r="D17" s="22"/>
      <c r="E17" s="22"/>
    </row>
    <row r="18" spans="1:7">
      <c r="A18" s="14" t="s">
        <v>3</v>
      </c>
      <c r="B18" s="15">
        <f>B5</f>
        <v>50</v>
      </c>
      <c r="C18" s="15">
        <f>C5</f>
        <v>35</v>
      </c>
      <c r="D18" s="15">
        <f>D5</f>
        <v>25</v>
      </c>
      <c r="E18" s="15">
        <f>E5</f>
        <v>15</v>
      </c>
    </row>
    <row r="19" spans="1:7">
      <c r="A19" s="16" t="str">
        <f>A6</f>
        <v>Shaving and grooming supplies</v>
      </c>
      <c r="B19" s="17">
        <f t="shared" ref="B19:E20" si="0">B$5*B6</f>
        <v>60000</v>
      </c>
      <c r="C19" s="17">
        <f t="shared" si="0"/>
        <v>70000</v>
      </c>
      <c r="D19" s="17">
        <f t="shared" si="0"/>
        <v>75000</v>
      </c>
      <c r="E19" s="17">
        <f t="shared" si="0"/>
        <v>60000</v>
      </c>
      <c r="G19" s="3"/>
    </row>
    <row r="20" spans="1:7">
      <c r="A20" s="16" t="str">
        <f>A7</f>
        <v>Healthy foods: dried goods</v>
      </c>
      <c r="B20" s="17">
        <f t="shared" si="0"/>
        <v>75000</v>
      </c>
      <c r="C20" s="17">
        <f t="shared" si="0"/>
        <v>63000</v>
      </c>
      <c r="D20" s="17">
        <f t="shared" si="0"/>
        <v>62500</v>
      </c>
      <c r="E20" s="17">
        <f t="shared" si="0"/>
        <v>52500</v>
      </c>
      <c r="G20" s="3"/>
    </row>
    <row r="21" spans="1:7">
      <c r="A21" s="16" t="str">
        <f>A8</f>
        <v>Fresh produce</v>
      </c>
      <c r="B21" s="17">
        <f t="shared" ref="B21:E21" si="1">B$5*B8</f>
        <v>100000</v>
      </c>
      <c r="C21" s="17">
        <f t="shared" si="1"/>
        <v>87500</v>
      </c>
      <c r="D21" s="17">
        <f>D$5*D8</f>
        <v>62500</v>
      </c>
      <c r="E21" s="17">
        <f t="shared" si="1"/>
        <v>30000</v>
      </c>
      <c r="G21" s="3"/>
    </row>
    <row r="22" spans="1:7">
      <c r="A22" s="16" t="str">
        <f>A9</f>
        <v>Pampering supplies</v>
      </c>
      <c r="B22" s="17">
        <f t="shared" ref="B22:E22" si="2">B$5*B9</f>
        <v>25000</v>
      </c>
      <c r="C22" s="17">
        <f t="shared" si="2"/>
        <v>42000</v>
      </c>
      <c r="D22" s="17">
        <f t="shared" si="2"/>
        <v>75000</v>
      </c>
      <c r="E22" s="17">
        <f t="shared" si="2"/>
        <v>75000</v>
      </c>
    </row>
    <row r="23" spans="1:7">
      <c r="A23" s="16" t="str">
        <f>A10</f>
        <v>Room decorations</v>
      </c>
      <c r="B23" s="17">
        <f t="shared" ref="B23:E23" si="3">B$5*B10</f>
        <v>20000</v>
      </c>
      <c r="C23" s="17">
        <f t="shared" si="3"/>
        <v>35000</v>
      </c>
      <c r="D23" s="17">
        <f t="shared" si="3"/>
        <v>87500</v>
      </c>
      <c r="E23" s="17">
        <f t="shared" si="3"/>
        <v>90000</v>
      </c>
    </row>
    <row r="25" spans="1:7">
      <c r="A25" s="5" t="s">
        <v>12</v>
      </c>
    </row>
    <row r="26" spans="1:7">
      <c r="A26" s="1" t="s">
        <v>13</v>
      </c>
    </row>
    <row r="27" spans="1:7">
      <c r="A27" s="5" t="s">
        <v>14</v>
      </c>
      <c r="B27" s="5"/>
      <c r="C27" s="5"/>
      <c r="D27" s="5"/>
      <c r="E27" s="5"/>
      <c r="F27" s="5"/>
      <c r="G27" s="5"/>
    </row>
    <row r="28" spans="1:7">
      <c r="A28" s="8"/>
      <c r="B28" s="23" t="s">
        <v>2</v>
      </c>
      <c r="C28" s="24"/>
      <c r="D28" s="24"/>
      <c r="E28" s="25"/>
    </row>
    <row r="29" spans="1:7">
      <c r="A29" s="14" t="s">
        <v>3</v>
      </c>
      <c r="B29" s="15">
        <f>B5</f>
        <v>50</v>
      </c>
      <c r="C29" s="15">
        <f t="shared" ref="C29:E29" si="4">C5</f>
        <v>35</v>
      </c>
      <c r="D29" s="15">
        <f t="shared" si="4"/>
        <v>25</v>
      </c>
      <c r="E29" s="15">
        <f t="shared" si="4"/>
        <v>15</v>
      </c>
    </row>
    <row r="30" spans="1:7">
      <c r="A30" s="16" t="str">
        <f>A6</f>
        <v>Shaving and grooming supplies</v>
      </c>
      <c r="B30" s="7">
        <f>B19-'Cost percentage estimates'!$B2*B$29*B6</f>
        <v>24000</v>
      </c>
      <c r="C30" s="7">
        <f>C19-'Cost percentage estimates'!$B2*C$29*C6</f>
        <v>28000</v>
      </c>
      <c r="D30" s="7">
        <f>D19-'Cost percentage estimates'!$B2*D$29*D6</f>
        <v>30000</v>
      </c>
      <c r="E30" s="7">
        <f>E19-'Cost percentage estimates'!$B2*E$29*E6</f>
        <v>24000</v>
      </c>
    </row>
    <row r="31" spans="1:7">
      <c r="A31" s="16" t="str">
        <f t="shared" ref="A31:A34" si="5">A7</f>
        <v>Healthy foods: dried goods</v>
      </c>
      <c r="B31" s="7">
        <f>B20-'Cost percentage estimates'!$B3*B$29*B7</f>
        <v>33749.999999999993</v>
      </c>
      <c r="C31" s="7">
        <f>C20-'Cost percentage estimates'!$B3*C$29*C7</f>
        <v>28350</v>
      </c>
      <c r="D31" s="7">
        <f>D20-'Cost percentage estimates'!$B3*D$29*D7</f>
        <v>28124.999999999993</v>
      </c>
      <c r="E31" s="7">
        <f>E20-'Cost percentage estimates'!$B3*E$29*E7</f>
        <v>23625</v>
      </c>
    </row>
    <row r="32" spans="1:7">
      <c r="A32" s="16" t="str">
        <f t="shared" si="5"/>
        <v>Fresh produce</v>
      </c>
      <c r="B32" s="7">
        <f>B21-'Cost percentage estimates'!$B4*B$29*B8</f>
        <v>25000</v>
      </c>
      <c r="C32" s="7">
        <f>C21-'Cost percentage estimates'!$B4*C$29*C8</f>
        <v>21875</v>
      </c>
      <c r="D32" s="7">
        <f>D21-'Cost percentage estimates'!$B4*D$29*D8</f>
        <v>15625</v>
      </c>
      <c r="E32" s="7">
        <f>E21-'Cost percentage estimates'!$B4*E$29*E8</f>
        <v>7500</v>
      </c>
    </row>
    <row r="33" spans="1:5">
      <c r="A33" s="16" t="str">
        <f t="shared" si="5"/>
        <v>Pampering supplies</v>
      </c>
      <c r="B33" s="7">
        <f>B22-'Cost percentage estimates'!$B5*B$29*B9</f>
        <v>10000</v>
      </c>
      <c r="C33" s="7">
        <f>C22-'Cost percentage estimates'!$B5*C$29*C9</f>
        <v>16800</v>
      </c>
      <c r="D33" s="7">
        <f>D22-'Cost percentage estimates'!$B5*D$29*D9</f>
        <v>30000</v>
      </c>
      <c r="E33" s="7">
        <f>E22-'Cost percentage estimates'!$B5*E$29*E9</f>
        <v>30000</v>
      </c>
    </row>
    <row r="34" spans="1:5">
      <c r="A34" s="16" t="str">
        <f t="shared" si="5"/>
        <v>Room decorations</v>
      </c>
      <c r="B34" s="7">
        <f>B23-'Cost percentage estimates'!$B6*B$29*B10</f>
        <v>10000</v>
      </c>
      <c r="C34" s="7">
        <f>C23-'Cost percentage estimates'!$B6*C$29*C10</f>
        <v>17500</v>
      </c>
      <c r="D34" s="7">
        <f>D23-'Cost percentage estimates'!$B6*D$29*D10</f>
        <v>43750</v>
      </c>
      <c r="E34" s="7">
        <f>E23-'Cost percentage estimates'!$B6*E$29*E10</f>
        <v>45000</v>
      </c>
    </row>
    <row r="36" spans="1:5">
      <c r="A36" s="1" t="s">
        <v>17</v>
      </c>
    </row>
    <row r="37" spans="1:5">
      <c r="A37" s="8"/>
      <c r="B37" s="23" t="s">
        <v>2</v>
      </c>
      <c r="C37" s="24"/>
      <c r="D37" s="24"/>
      <c r="E37" s="25"/>
    </row>
    <row r="38" spans="1:5">
      <c r="A38" s="14" t="s">
        <v>3</v>
      </c>
      <c r="B38" s="15">
        <f>B5</f>
        <v>50</v>
      </c>
      <c r="C38" s="15">
        <f t="shared" ref="C38:E38" si="6">C5</f>
        <v>35</v>
      </c>
      <c r="D38" s="15">
        <f t="shared" si="6"/>
        <v>25</v>
      </c>
      <c r="E38" s="15">
        <f t="shared" si="6"/>
        <v>15</v>
      </c>
    </row>
    <row r="39" spans="1:5">
      <c r="A39" s="8" t="str">
        <f>A6</f>
        <v>Shaving and grooming supplies</v>
      </c>
      <c r="B39" s="8">
        <f>B30/B19</f>
        <v>0.4</v>
      </c>
      <c r="C39" s="8">
        <f t="shared" ref="C39:E39" si="7">C30/C19</f>
        <v>0.4</v>
      </c>
      <c r="D39" s="8">
        <f t="shared" si="7"/>
        <v>0.4</v>
      </c>
      <c r="E39" s="8">
        <f t="shared" si="7"/>
        <v>0.4</v>
      </c>
    </row>
    <row r="40" spans="1:5">
      <c r="A40" s="8" t="str">
        <f t="shared" ref="A40:A43" si="8">A7</f>
        <v>Healthy foods: dried goods</v>
      </c>
      <c r="B40" s="8">
        <f t="shared" ref="B40:E40" si="9">B31/B20</f>
        <v>0.4499999999999999</v>
      </c>
      <c r="C40" s="8">
        <f t="shared" si="9"/>
        <v>0.45</v>
      </c>
      <c r="D40" s="8">
        <f t="shared" si="9"/>
        <v>0.4499999999999999</v>
      </c>
      <c r="E40" s="8">
        <f t="shared" si="9"/>
        <v>0.45</v>
      </c>
    </row>
    <row r="41" spans="1:5">
      <c r="A41" s="8" t="str">
        <f t="shared" si="8"/>
        <v>Fresh produce</v>
      </c>
      <c r="B41" s="8">
        <f t="shared" ref="B41:E41" si="10">B32/B21</f>
        <v>0.25</v>
      </c>
      <c r="C41" s="8">
        <f t="shared" si="10"/>
        <v>0.25</v>
      </c>
      <c r="D41" s="8">
        <f t="shared" si="10"/>
        <v>0.25</v>
      </c>
      <c r="E41" s="8">
        <f t="shared" si="10"/>
        <v>0.25</v>
      </c>
    </row>
    <row r="42" spans="1:5">
      <c r="A42" s="8" t="str">
        <f t="shared" si="8"/>
        <v>Pampering supplies</v>
      </c>
      <c r="B42" s="8">
        <f t="shared" ref="B42:E42" si="11">B33/B22</f>
        <v>0.4</v>
      </c>
      <c r="C42" s="8">
        <f t="shared" si="11"/>
        <v>0.4</v>
      </c>
      <c r="D42" s="8">
        <f t="shared" si="11"/>
        <v>0.4</v>
      </c>
      <c r="E42" s="8">
        <f t="shared" si="11"/>
        <v>0.4</v>
      </c>
    </row>
    <row r="43" spans="1:5">
      <c r="A43" s="8" t="str">
        <f t="shared" si="8"/>
        <v>Room decorations</v>
      </c>
      <c r="B43" s="8">
        <f t="shared" ref="B43:E43" si="12">B34/B23</f>
        <v>0.5</v>
      </c>
      <c r="C43" s="8">
        <f t="shared" si="12"/>
        <v>0.5</v>
      </c>
      <c r="D43" s="8">
        <f t="shared" si="12"/>
        <v>0.5</v>
      </c>
      <c r="E43" s="8">
        <f t="shared" si="12"/>
        <v>0.5</v>
      </c>
    </row>
  </sheetData>
  <mergeCells count="4">
    <mergeCell ref="B4:E4"/>
    <mergeCell ref="B17:E17"/>
    <mergeCell ref="B28:E28"/>
    <mergeCell ref="B37:E37"/>
  </mergeCells>
  <dataValidations count="1">
    <dataValidation type="custom" showInputMessage="1" showErrorMessage="1" sqref="A985:E985" xr:uid="{00000000-0002-0000-0000-000000000000}">
      <formula1>IF(1,1,"WMDAU:1672599600")</formula1>
    </dataValidation>
  </dataValidations>
  <printOptions headings="1" gridLines="1"/>
  <pageMargins left="0.7" right="0.7" top="0.75" bottom="0.75" header="0.3" footer="0.3"/>
  <pageSetup scale="7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workbookViewId="0">
      <selection activeCell="B2" sqref="B2"/>
    </sheetView>
  </sheetViews>
  <sheetFormatPr defaultColWidth="8.77734375" defaultRowHeight="15.75"/>
  <cols>
    <col min="1" max="1" width="28.44140625" style="1" customWidth="1"/>
    <col min="2" max="2" width="8.77734375" style="1" customWidth="1"/>
    <col min="3" max="16384" width="8.77734375" style="1"/>
  </cols>
  <sheetData>
    <row r="1" spans="1:2">
      <c r="A1" s="4" t="s">
        <v>3</v>
      </c>
      <c r="B1" s="4" t="s">
        <v>15</v>
      </c>
    </row>
    <row r="2" spans="1:2">
      <c r="A2" s="13" t="s">
        <v>4</v>
      </c>
      <c r="B2" s="12">
        <v>0.6</v>
      </c>
    </row>
    <row r="3" spans="1:2">
      <c r="A3" s="13" t="s">
        <v>5</v>
      </c>
      <c r="B3" s="12">
        <v>0.55000000000000004</v>
      </c>
    </row>
    <row r="4" spans="1:2">
      <c r="A4" s="13" t="s">
        <v>6</v>
      </c>
      <c r="B4" s="12">
        <v>0.75</v>
      </c>
    </row>
    <row r="5" spans="1:2">
      <c r="A5" s="13" t="s">
        <v>7</v>
      </c>
      <c r="B5" s="12">
        <v>0.6</v>
      </c>
    </row>
    <row r="6" spans="1:2">
      <c r="A6" s="13" t="s">
        <v>8</v>
      </c>
      <c r="B6" s="12">
        <v>0.5</v>
      </c>
    </row>
    <row r="9" spans="1:2">
      <c r="A9" s="1" t="s">
        <v>16</v>
      </c>
    </row>
  </sheetData>
  <printOptions headings="1" gridLines="1"/>
  <pageMargins left="0.7" right="0.7" top="0.75" bottom="0.75" header="0.3" footer="0.3"/>
  <pageSetup scale="92"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dc78176-0aa7-48cb-bce0-f6ad3844ead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63DD240E679CE4E91A4CCF47F558473" ma:contentTypeVersion="8" ma:contentTypeDescription="Create a new document." ma:contentTypeScope="" ma:versionID="05a029494834c523756e16f82a5195ff">
  <xsd:schema xmlns:xsd="http://www.w3.org/2001/XMLSchema" xmlns:xs="http://www.w3.org/2001/XMLSchema" xmlns:p="http://schemas.microsoft.com/office/2006/metadata/properties" xmlns:ns3="6dc78176-0aa7-48cb-bce0-f6ad3844ead7" xmlns:ns4="453b2298-32ff-4db2-9f02-8b177f75be33" targetNamespace="http://schemas.microsoft.com/office/2006/metadata/properties" ma:root="true" ma:fieldsID="35172e72b1ecaec4d163bf006329b9fb" ns3:_="" ns4:_="">
    <xsd:import namespace="6dc78176-0aa7-48cb-bce0-f6ad3844ead7"/>
    <xsd:import namespace="453b2298-32ff-4db2-9f02-8b177f75be33"/>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4:SharedWithUsers" minOccurs="0"/>
                <xsd:element ref="ns4:SharedWithDetails" minOccurs="0"/>
                <xsd:element ref="ns4:SharingHintHash" minOccurs="0"/>
                <xsd:element ref="ns3:_activity"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c78176-0aa7-48cb-bce0-f6ad3844ea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3b2298-32ff-4db2-9f02-8b177f75be33"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0C211D-459B-4F2B-8436-2C4A2331898E}">
  <ds:schemaRefs>
    <ds:schemaRef ds:uri="http://purl.org/dc/dcmitype/"/>
    <ds:schemaRef ds:uri="http://purl.org/dc/elements/1.1/"/>
    <ds:schemaRef ds:uri="http://schemas.microsoft.com/office/2006/metadata/properties"/>
    <ds:schemaRef ds:uri="http://schemas.microsoft.com/office/2006/documentManagement/types"/>
    <ds:schemaRef ds:uri="http://www.w3.org/XML/1998/namespace"/>
    <ds:schemaRef ds:uri="http://purl.org/dc/terms/"/>
    <ds:schemaRef ds:uri="http://schemas.microsoft.com/office/infopath/2007/PartnerControls"/>
    <ds:schemaRef ds:uri="http://schemas.openxmlformats.org/package/2006/metadata/core-properties"/>
    <ds:schemaRef ds:uri="453b2298-32ff-4db2-9f02-8b177f75be33"/>
    <ds:schemaRef ds:uri="6dc78176-0aa7-48cb-bce0-f6ad3844ead7"/>
  </ds:schemaRefs>
</ds:datastoreItem>
</file>

<file path=customXml/itemProps2.xml><?xml version="1.0" encoding="utf-8"?>
<ds:datastoreItem xmlns:ds="http://schemas.openxmlformats.org/officeDocument/2006/customXml" ds:itemID="{82E96177-A75C-4A4E-B5B5-622015A2E87B}">
  <ds:schemaRefs>
    <ds:schemaRef ds:uri="http://schemas.microsoft.com/sharepoint/v3/contenttype/forms"/>
  </ds:schemaRefs>
</ds:datastoreItem>
</file>

<file path=customXml/itemProps3.xml><?xml version="1.0" encoding="utf-8"?>
<ds:datastoreItem xmlns:ds="http://schemas.openxmlformats.org/officeDocument/2006/customXml" ds:itemID="{B3D3557A-3F50-4CC3-BB9A-50D68457ED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c78176-0aa7-48cb-bce0-f6ad3844ead7"/>
    <ds:schemaRef ds:uri="453b2298-32ff-4db2-9f02-8b177f75be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ded8b1b-070d-4629-82e4-c0b019f46057}" enabled="0" method="" siteId="{3ded8b1b-070d-4629-82e4-c0b019f4605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 estimates</vt:lpstr>
      <vt:lpstr>Cost percentage estimates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Jonason, Brayden (bjonason@student.cccs.edu)</dc:creator>
  <cp:lastModifiedBy>Brayden Jonason</cp:lastModifiedBy>
  <dcterms:created xsi:type="dcterms:W3CDTF">2023-01-01T12:00:00Z</dcterms:created>
  <dcterms:modified xsi:type="dcterms:W3CDTF">2026-04-04T23:31:57Z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0x010100A63DD240E679CE4E91A4CCF47F558473</vt:lpwstr>
  </property>
</Properties>
</file>